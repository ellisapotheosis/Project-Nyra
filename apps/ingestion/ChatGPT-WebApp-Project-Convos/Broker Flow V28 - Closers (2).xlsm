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drawings/drawing5.xml" ContentType="application/vnd.openxmlformats-officedocument.drawing+xml"/>
  <Override PartName="/xl/ctrlProps/ctrlProp7.xml" ContentType="application/vnd.ms-excel.controlproperties+xml"/>
  <Override PartName="/xl/drawings/drawing6.xml" ContentType="application/vnd.openxmlformats-officedocument.drawing+xml"/>
  <Override PartName="/xl/ctrlProps/ctrlProp8.xml" ContentType="application/vnd.ms-excel.controlproperties+xml"/>
  <Override PartName="/xl/drawings/drawing7.xml" ContentType="application/vnd.openxmlformats-officedocument.drawing+xml"/>
  <Override PartName="/xl/ctrlProps/ctrlProp9.xml" ContentType="application/vnd.ms-excel.controlproperties+xml"/>
  <Override PartName="/xl/drawings/drawing8.xml" ContentType="application/vnd.openxmlformats-officedocument.drawing+xml"/>
  <Override PartName="/xl/drawings/drawing9.xml" ContentType="application/vnd.openxmlformats-officedocument.drawing+xml"/>
  <Override PartName="/xl/ctrlProps/ctrlProp10.xml" ContentType="application/vnd.ms-excel.controlproperties+xml"/>
  <Override PartName="/xl/drawings/drawing10.xml" ContentType="application/vnd.openxmlformats-officedocument.drawing+xml"/>
  <Override PartName="/xl/ctrlProps/ctrlProp11.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mc:AlternateContent xmlns:mc="http://schemas.openxmlformats.org/markup-compatibility/2006">
    <mc:Choice Requires="x15">
      <x15ac:absPath xmlns:x15ac="http://schemas.microsoft.com/office/spreadsheetml/2010/11/ac" url="https://d.docs.live.net/c0414d3fcd3aaaa0/Desktop/Brokerfloww/"/>
    </mc:Choice>
  </mc:AlternateContent>
  <xr:revisionPtr revIDLastSave="8782" documentId="13_ncr:1_{8BCF00F1-2A38-413E-A4F7-EF226AF1C906}" xr6:coauthVersionLast="47" xr6:coauthVersionMax="47" xr10:uidLastSave="{37052959-7BAD-4B06-9AB4-FD0A5FE66735}"/>
  <bookViews>
    <workbookView xWindow="-108" yWindow="-108" windowWidth="23256" windowHeight="12456" firstSheet="5" activeTab="8" xr2:uid="{00000000-000D-0000-FFFF-FFFF00000000}"/>
  </bookViews>
  <sheets>
    <sheet name="LEADS" sheetId="1" r:id="rId1"/>
    <sheet name="Quote" sheetId="22" r:id="rId2"/>
    <sheet name="Active Pipeline" sheetId="8" r:id="rId3"/>
    <sheet name="Hot Hot" sheetId="6" r:id="rId4"/>
    <sheet name="Funded" sheetId="9" r:id="rId5"/>
    <sheet name="Cancel-Decline" sheetId="16" r:id="rId6"/>
    <sheet name="Rocket Credit Pre-Register x" sheetId="17" state="hidden" r:id="rId7"/>
    <sheet name="Rocket Credit Post-Register" sheetId="24" r:id="rId8"/>
    <sheet name="Rocket Credit Pre-Register" sheetId="23" r:id="rId9"/>
    <sheet name="Benefit Analysis" sheetId="13" r:id="rId10"/>
    <sheet name="Lending Pad 2021 Credit" sheetId="12" r:id="rId11"/>
    <sheet name="Lending Pad 2023 Credit" sheetId="18" r:id="rId12"/>
    <sheet name="Analysis Sheet" sheetId="5" r:id="rId13"/>
    <sheet name="WCL" sheetId="3" r:id="rId14"/>
    <sheet name="RawProc" sheetId="2" r:id="rId15"/>
    <sheet name="settings" sheetId="4" r:id="rId16"/>
  </sheets>
  <definedNames>
    <definedName name="_xlnm._FilterDatabase" localSheetId="3" hidden="1">'Hot Hot'!$A$3:$V$3</definedName>
    <definedName name="_xlnm._FilterDatabase" localSheetId="0" hidden="1">LEADS!$A$5:$Z$1449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199" i="13" l="1"/>
  <c r="H200" i="13"/>
  <c r="H201" i="13"/>
  <c r="H202" i="13"/>
  <c r="H203" i="13"/>
  <c r="H204" i="13"/>
  <c r="H205" i="13"/>
  <c r="H206" i="13"/>
  <c r="H207" i="13"/>
  <c r="H208" i="13"/>
  <c r="H209" i="13"/>
  <c r="H210" i="13"/>
  <c r="H211" i="13"/>
  <c r="H212" i="13"/>
  <c r="H213" i="13"/>
  <c r="H214" i="13"/>
  <c r="H215" i="13"/>
  <c r="H216" i="13"/>
  <c r="H217" i="13"/>
  <c r="H218" i="13"/>
  <c r="H219" i="13"/>
  <c r="H220" i="13"/>
  <c r="H221" i="13"/>
  <c r="H222" i="13"/>
  <c r="H223" i="13"/>
  <c r="H224" i="13"/>
  <c r="H225" i="13"/>
  <c r="H226" i="13"/>
  <c r="H227" i="13"/>
  <c r="H228" i="13"/>
  <c r="H229" i="13"/>
  <c r="H230" i="13"/>
  <c r="H231" i="13"/>
  <c r="H232" i="13"/>
  <c r="H233" i="13"/>
  <c r="H234" i="13"/>
  <c r="H235" i="13"/>
  <c r="H236" i="13"/>
  <c r="H237" i="13"/>
  <c r="H238" i="13"/>
  <c r="H239" i="13"/>
  <c r="H240" i="13"/>
  <c r="H241" i="13"/>
  <c r="H242" i="13"/>
  <c r="H243" i="13"/>
  <c r="H244" i="13"/>
  <c r="H245" i="13"/>
  <c r="H246" i="13"/>
  <c r="H247" i="13"/>
  <c r="H248" i="13"/>
  <c r="H249" i="13"/>
  <c r="H250" i="13"/>
  <c r="H251" i="13"/>
  <c r="H252" i="13"/>
  <c r="H253" i="13"/>
  <c r="H254" i="13"/>
  <c r="H255" i="13"/>
  <c r="H256" i="13"/>
  <c r="F199" i="13"/>
  <c r="F200" i="13"/>
  <c r="F201" i="13"/>
  <c r="F202" i="13"/>
  <c r="F203" i="13"/>
  <c r="F204" i="13"/>
  <c r="F205" i="13"/>
  <c r="F206" i="13"/>
  <c r="F207" i="13"/>
  <c r="F208" i="13"/>
  <c r="F209" i="13"/>
  <c r="F210" i="13"/>
  <c r="F211" i="13"/>
  <c r="F212" i="13"/>
  <c r="F213" i="13"/>
  <c r="F214" i="13"/>
  <c r="F215" i="13"/>
  <c r="F216" i="13"/>
  <c r="F217" i="13"/>
  <c r="F218" i="13"/>
  <c r="F219" i="13"/>
  <c r="F220" i="13"/>
  <c r="F221" i="13"/>
  <c r="F222" i="13"/>
  <c r="F223" i="13"/>
  <c r="F224" i="13"/>
  <c r="F225" i="13"/>
  <c r="F226" i="13"/>
  <c r="F227" i="13"/>
  <c r="F228" i="13"/>
  <c r="F229" i="13"/>
  <c r="F230" i="13"/>
  <c r="F231" i="13"/>
  <c r="F232" i="13"/>
  <c r="F233" i="13"/>
  <c r="F234" i="13"/>
  <c r="F235" i="13"/>
  <c r="F236" i="13"/>
  <c r="F237" i="13"/>
  <c r="F238" i="13"/>
  <c r="F239" i="13"/>
  <c r="F240" i="13"/>
  <c r="F241" i="13"/>
  <c r="F242" i="13"/>
  <c r="F243" i="13"/>
  <c r="F244" i="13"/>
  <c r="F245" i="13"/>
  <c r="F246" i="13"/>
  <c r="F247" i="13"/>
  <c r="F248" i="13"/>
  <c r="F249" i="13"/>
  <c r="F250" i="13"/>
  <c r="F251" i="13"/>
  <c r="F252" i="13"/>
  <c r="F253" i="13"/>
  <c r="F254" i="13"/>
  <c r="F255" i="13"/>
  <c r="F256" i="13"/>
  <c r="F257" i="13"/>
  <c r="C199" i="13"/>
  <c r="C200" i="13"/>
  <c r="C201" i="13"/>
  <c r="C202" i="13"/>
  <c r="C203" i="13"/>
  <c r="C204" i="13"/>
  <c r="C205" i="13"/>
  <c r="C206" i="13"/>
  <c r="C207" i="13"/>
  <c r="C208" i="13"/>
  <c r="C209" i="13"/>
  <c r="C210" i="13"/>
  <c r="C211" i="13"/>
  <c r="C212" i="13"/>
  <c r="C213" i="13"/>
  <c r="C214" i="13"/>
  <c r="C215" i="13"/>
  <c r="C216" i="13"/>
  <c r="C217" i="13"/>
  <c r="C218" i="13"/>
  <c r="C219" i="13"/>
  <c r="C220" i="13"/>
  <c r="C221" i="13"/>
  <c r="C222" i="13"/>
  <c r="C223" i="13"/>
  <c r="C224" i="13"/>
  <c r="C225" i="13"/>
  <c r="C226" i="13"/>
  <c r="C227" i="13"/>
  <c r="C228" i="13"/>
  <c r="C229" i="13"/>
  <c r="C230" i="13"/>
  <c r="C231" i="13"/>
  <c r="C232" i="13"/>
  <c r="C233" i="13"/>
  <c r="C234" i="13"/>
  <c r="C235" i="13"/>
  <c r="C236" i="13"/>
  <c r="C237" i="13"/>
  <c r="C238" i="13"/>
  <c r="C239" i="13"/>
  <c r="C240" i="13"/>
  <c r="C241" i="13"/>
  <c r="C242" i="13"/>
  <c r="C243" i="13"/>
  <c r="C244" i="13"/>
  <c r="C245" i="13"/>
  <c r="C246" i="13"/>
  <c r="C247" i="13"/>
  <c r="C248" i="13"/>
  <c r="C249" i="13"/>
  <c r="C250" i="13"/>
  <c r="C251" i="13"/>
  <c r="C252" i="13"/>
  <c r="C253" i="13"/>
  <c r="C254" i="13"/>
  <c r="C255" i="13"/>
  <c r="C256" i="13"/>
  <c r="H198" i="13"/>
  <c r="F198" i="13"/>
  <c r="C198" i="13"/>
  <c r="L149" i="24" a="1"/>
  <c r="L149" i="24" s="1"/>
  <c r="K149" i="24" a="1"/>
  <c r="K149" i="24" s="1"/>
  <c r="J149" i="24" a="1"/>
  <c r="J149" i="24" s="1"/>
  <c r="L148" i="24" a="1"/>
  <c r="L148" i="24" s="1"/>
  <c r="K148" i="24" a="1"/>
  <c r="K148" i="24" s="1"/>
  <c r="J148" i="24" a="1"/>
  <c r="J148" i="24" s="1"/>
  <c r="L147" i="24" a="1"/>
  <c r="L147" i="24" s="1"/>
  <c r="K147" i="24" a="1"/>
  <c r="K147" i="24" s="1"/>
  <c r="J147" i="24" a="1"/>
  <c r="J147" i="24" s="1"/>
  <c r="L146" i="24" a="1"/>
  <c r="L146" i="24" s="1"/>
  <c r="K146" i="24" a="1"/>
  <c r="K146" i="24" s="1"/>
  <c r="J146" i="24" a="1"/>
  <c r="J146" i="24" s="1"/>
  <c r="L145" i="24" a="1"/>
  <c r="L145" i="24" s="1"/>
  <c r="K145" i="24" a="1"/>
  <c r="K145" i="24" s="1"/>
  <c r="J145" i="24" a="1"/>
  <c r="J145" i="24" s="1"/>
  <c r="L144" i="24" a="1"/>
  <c r="L144" i="24" s="1"/>
  <c r="K144" i="24" a="1"/>
  <c r="K144" i="24" s="1"/>
  <c r="J144" i="24" a="1"/>
  <c r="J144" i="24" s="1"/>
  <c r="L143" i="24" a="1"/>
  <c r="L143" i="24" s="1"/>
  <c r="K143" i="24" a="1"/>
  <c r="K143" i="24" s="1"/>
  <c r="J143" i="24" a="1"/>
  <c r="J143" i="24" s="1"/>
  <c r="L142" i="24" a="1"/>
  <c r="L142" i="24" s="1"/>
  <c r="K142" i="24" a="1"/>
  <c r="K142" i="24" s="1"/>
  <c r="J142" i="24" a="1"/>
  <c r="J142" i="24" s="1"/>
  <c r="L141" i="24" a="1"/>
  <c r="L141" i="24" s="1"/>
  <c r="K141" i="24" a="1"/>
  <c r="K141" i="24" s="1"/>
  <c r="J141" i="24" a="1"/>
  <c r="J141" i="24" s="1"/>
  <c r="L140" i="24" a="1"/>
  <c r="L140" i="24" s="1"/>
  <c r="K140" i="24" a="1"/>
  <c r="K140" i="24" s="1"/>
  <c r="J140" i="24" a="1"/>
  <c r="J140" i="24" s="1"/>
  <c r="L139" i="24" a="1"/>
  <c r="L139" i="24" s="1"/>
  <c r="K139" i="24" a="1"/>
  <c r="K139" i="24" s="1"/>
  <c r="J139" i="24" a="1"/>
  <c r="J139" i="24" s="1"/>
  <c r="L138" i="24" a="1"/>
  <c r="L138" i="24" s="1"/>
  <c r="K138" i="24" a="1"/>
  <c r="K138" i="24" s="1"/>
  <c r="J138" i="24" a="1"/>
  <c r="J138" i="24" s="1"/>
  <c r="L137" i="24" a="1"/>
  <c r="L137" i="24" s="1"/>
  <c r="K137" i="24" a="1"/>
  <c r="K137" i="24" s="1"/>
  <c r="J137" i="24" a="1"/>
  <c r="J137" i="24" s="1"/>
  <c r="L136" i="24" a="1"/>
  <c r="L136" i="24" s="1"/>
  <c r="K136" i="24" a="1"/>
  <c r="K136" i="24" s="1"/>
  <c r="J136" i="24" a="1"/>
  <c r="J136" i="24" s="1"/>
  <c r="L135" i="24" a="1"/>
  <c r="L135" i="24" s="1"/>
  <c r="K135" i="24" a="1"/>
  <c r="K135" i="24" s="1"/>
  <c r="J135" i="24" a="1"/>
  <c r="J135" i="24" s="1"/>
  <c r="L134" i="24" a="1"/>
  <c r="L134" i="24" s="1"/>
  <c r="K134" i="24" a="1"/>
  <c r="K134" i="24" s="1"/>
  <c r="J134" i="24" a="1"/>
  <c r="J134" i="24" s="1"/>
  <c r="L133" i="24" a="1"/>
  <c r="L133" i="24" s="1"/>
  <c r="K133" i="24" a="1"/>
  <c r="K133" i="24" s="1"/>
  <c r="J133" i="24" a="1"/>
  <c r="J133" i="24" s="1"/>
  <c r="L132" i="24" a="1"/>
  <c r="L132" i="24" s="1"/>
  <c r="K132" i="24" a="1"/>
  <c r="K132" i="24" s="1"/>
  <c r="J132" i="24" a="1"/>
  <c r="J132" i="24" s="1"/>
  <c r="L131" i="24" a="1"/>
  <c r="L131" i="24" s="1"/>
  <c r="K131" i="24" a="1"/>
  <c r="K131" i="24" s="1"/>
  <c r="J131" i="24" a="1"/>
  <c r="J131" i="24" s="1"/>
  <c r="L130" i="24" a="1"/>
  <c r="L130" i="24" s="1"/>
  <c r="K130" i="24" a="1"/>
  <c r="K130" i="24" s="1"/>
  <c r="J130" i="24" a="1"/>
  <c r="J130" i="24" s="1"/>
  <c r="L129" i="24" a="1"/>
  <c r="L129" i="24" s="1"/>
  <c r="K129" i="24" a="1"/>
  <c r="K129" i="24" s="1"/>
  <c r="J129" i="24" a="1"/>
  <c r="J129" i="24" s="1"/>
  <c r="L128" i="24" a="1"/>
  <c r="L128" i="24" s="1"/>
  <c r="K128" i="24" a="1"/>
  <c r="K128" i="24" s="1"/>
  <c r="J128" i="24" a="1"/>
  <c r="J128" i="24" s="1"/>
  <c r="L127" i="24" a="1"/>
  <c r="L127" i="24" s="1"/>
  <c r="K127" i="24" a="1"/>
  <c r="K127" i="24" s="1"/>
  <c r="J127" i="24" a="1"/>
  <c r="J127" i="24" s="1"/>
  <c r="L126" i="24" a="1"/>
  <c r="L126" i="24" s="1"/>
  <c r="K126" i="24" a="1"/>
  <c r="K126" i="24" s="1"/>
  <c r="J126" i="24" a="1"/>
  <c r="J126" i="24" s="1"/>
  <c r="L125" i="24" a="1"/>
  <c r="L125" i="24" s="1"/>
  <c r="K125" i="24" a="1"/>
  <c r="K125" i="24" s="1"/>
  <c r="J125" i="24" a="1"/>
  <c r="J125" i="24" s="1"/>
  <c r="L124" i="24" a="1"/>
  <c r="L124" i="24" s="1"/>
  <c r="K124" i="24" a="1"/>
  <c r="K124" i="24" s="1"/>
  <c r="J124" i="24" a="1"/>
  <c r="J124" i="24" s="1"/>
  <c r="L123" i="24" a="1"/>
  <c r="L123" i="24" s="1"/>
  <c r="K123" i="24" a="1"/>
  <c r="K123" i="24" s="1"/>
  <c r="J123" i="24" a="1"/>
  <c r="J123" i="24" s="1"/>
  <c r="L122" i="24" a="1"/>
  <c r="L122" i="24" s="1"/>
  <c r="K122" i="24" a="1"/>
  <c r="K122" i="24" s="1"/>
  <c r="J122" i="24" a="1"/>
  <c r="J122" i="24" s="1"/>
  <c r="L121" i="24" a="1"/>
  <c r="L121" i="24" s="1"/>
  <c r="K121" i="24" a="1"/>
  <c r="K121" i="24" s="1"/>
  <c r="J121" i="24" a="1"/>
  <c r="J121" i="24" s="1"/>
  <c r="L120" i="24" a="1"/>
  <c r="L120" i="24" s="1"/>
  <c r="K120" i="24" a="1"/>
  <c r="K120" i="24" s="1"/>
  <c r="J120" i="24" a="1"/>
  <c r="J120" i="24" s="1"/>
  <c r="L119" i="24" a="1"/>
  <c r="L119" i="24" s="1"/>
  <c r="K119" i="24" a="1"/>
  <c r="K119" i="24" s="1"/>
  <c r="J119" i="24" a="1"/>
  <c r="J119" i="24" s="1"/>
  <c r="L118" i="24" a="1"/>
  <c r="L118" i="24" s="1"/>
  <c r="K118" i="24" a="1"/>
  <c r="K118" i="24" s="1"/>
  <c r="J118" i="24" a="1"/>
  <c r="J118" i="24" s="1"/>
  <c r="L117" i="24" a="1"/>
  <c r="L117" i="24" s="1"/>
  <c r="K117" i="24" a="1"/>
  <c r="K117" i="24" s="1"/>
  <c r="J117" i="24" a="1"/>
  <c r="J117" i="24" s="1"/>
  <c r="L116" i="24" a="1"/>
  <c r="L116" i="24" s="1"/>
  <c r="K116" i="24" a="1"/>
  <c r="K116" i="24" s="1"/>
  <c r="J116" i="24" a="1"/>
  <c r="J116" i="24" s="1"/>
  <c r="L115" i="24" a="1"/>
  <c r="L115" i="24" s="1"/>
  <c r="K115" i="24" a="1"/>
  <c r="K115" i="24" s="1"/>
  <c r="J115" i="24" a="1"/>
  <c r="J115" i="24" s="1"/>
  <c r="L114" i="24" a="1"/>
  <c r="L114" i="24" s="1"/>
  <c r="K114" i="24" a="1"/>
  <c r="K114" i="24" s="1"/>
  <c r="J114" i="24" a="1"/>
  <c r="J114" i="24" s="1"/>
  <c r="L113" i="24" a="1"/>
  <c r="L113" i="24" s="1"/>
  <c r="K113" i="24" a="1"/>
  <c r="K113" i="24" s="1"/>
  <c r="J113" i="24" a="1"/>
  <c r="J113" i="24" s="1"/>
  <c r="L112" i="24" a="1"/>
  <c r="L112" i="24" s="1"/>
  <c r="K112" i="24" a="1"/>
  <c r="K112" i="24" s="1"/>
  <c r="J112" i="24" a="1"/>
  <c r="J112" i="24" s="1"/>
  <c r="L111" i="24" a="1"/>
  <c r="L111" i="24" s="1"/>
  <c r="K111" i="24" a="1"/>
  <c r="K111" i="24" s="1"/>
  <c r="J111" i="24" a="1"/>
  <c r="J111" i="24" s="1"/>
  <c r="L110" i="24" a="1"/>
  <c r="L110" i="24" s="1"/>
  <c r="K110" i="24" a="1"/>
  <c r="K110" i="24" s="1"/>
  <c r="J110" i="24" a="1"/>
  <c r="J110" i="24" s="1"/>
  <c r="L109" i="24" a="1"/>
  <c r="L109" i="24" s="1"/>
  <c r="K109" i="24" a="1"/>
  <c r="K109" i="24" s="1"/>
  <c r="J109" i="24" a="1"/>
  <c r="J109" i="24" s="1"/>
  <c r="L108" i="24" a="1"/>
  <c r="L108" i="24" s="1"/>
  <c r="K108" i="24" a="1"/>
  <c r="K108" i="24" s="1"/>
  <c r="J108" i="24" a="1"/>
  <c r="J108" i="24" s="1"/>
  <c r="L107" i="24" a="1"/>
  <c r="L107" i="24" s="1"/>
  <c r="K107" i="24" a="1"/>
  <c r="K107" i="24" s="1"/>
  <c r="J107" i="24" a="1"/>
  <c r="J107" i="24" s="1"/>
  <c r="L106" i="24" a="1"/>
  <c r="L106" i="24" s="1"/>
  <c r="K106" i="24" a="1"/>
  <c r="K106" i="24" s="1"/>
  <c r="J106" i="24" a="1"/>
  <c r="J106" i="24" s="1"/>
  <c r="L105" i="24" a="1"/>
  <c r="L105" i="24" s="1"/>
  <c r="K105" i="24" a="1"/>
  <c r="K105" i="24" s="1"/>
  <c r="J105" i="24" a="1"/>
  <c r="J105" i="24" s="1"/>
  <c r="L104" i="24" a="1"/>
  <c r="L104" i="24" s="1"/>
  <c r="K104" i="24" a="1"/>
  <c r="K104" i="24" s="1"/>
  <c r="J104" i="24" a="1"/>
  <c r="J104" i="24" s="1"/>
  <c r="L103" i="24" a="1"/>
  <c r="L103" i="24" s="1"/>
  <c r="K103" i="24" a="1"/>
  <c r="K103" i="24" s="1"/>
  <c r="J103" i="24" a="1"/>
  <c r="J103" i="24" s="1"/>
  <c r="L102" i="24" a="1"/>
  <c r="L102" i="24" s="1"/>
  <c r="K102" i="24" a="1"/>
  <c r="K102" i="24" s="1"/>
  <c r="J102" i="24" a="1"/>
  <c r="J102" i="24" s="1"/>
  <c r="L101" i="24" a="1"/>
  <c r="L101" i="24" s="1"/>
  <c r="K101" i="24" a="1"/>
  <c r="K101" i="24" s="1"/>
  <c r="J101" i="24" a="1"/>
  <c r="J101" i="24" s="1"/>
  <c r="L100" i="24" a="1"/>
  <c r="L100" i="24" s="1"/>
  <c r="K100" i="24" a="1"/>
  <c r="K100" i="24" s="1"/>
  <c r="J100" i="24" a="1"/>
  <c r="J100" i="24" s="1"/>
  <c r="L99" i="24" a="1"/>
  <c r="L99" i="24" s="1"/>
  <c r="K99" i="24" a="1"/>
  <c r="K99" i="24" s="1"/>
  <c r="J99" i="24" a="1"/>
  <c r="J99" i="24" s="1"/>
  <c r="L98" i="24" a="1"/>
  <c r="L98" i="24" s="1"/>
  <c r="K98" i="24" a="1"/>
  <c r="K98" i="24" s="1"/>
  <c r="J98" i="24" a="1"/>
  <c r="J98" i="24" s="1"/>
  <c r="L97" i="24" a="1"/>
  <c r="L97" i="24" s="1"/>
  <c r="K97" i="24" a="1"/>
  <c r="K97" i="24" s="1"/>
  <c r="J97" i="24" a="1"/>
  <c r="J97" i="24" s="1"/>
  <c r="L96" i="24" a="1"/>
  <c r="L96" i="24" s="1"/>
  <c r="K96" i="24" a="1"/>
  <c r="K96" i="24" s="1"/>
  <c r="J96" i="24" a="1"/>
  <c r="J96" i="24" s="1"/>
  <c r="L95" i="24" a="1"/>
  <c r="L95" i="24" s="1"/>
  <c r="K95" i="24" a="1"/>
  <c r="K95" i="24" s="1"/>
  <c r="J95" i="24" a="1"/>
  <c r="J95" i="24" s="1"/>
  <c r="L94" i="24"/>
  <c r="L94" i="24" a="1"/>
  <c r="K94" i="24" a="1"/>
  <c r="K94" i="24" s="1"/>
  <c r="J94" i="24" a="1"/>
  <c r="J94" i="24" s="1"/>
  <c r="L93" i="24" a="1"/>
  <c r="L93" i="24" s="1"/>
  <c r="K93" i="24" a="1"/>
  <c r="K93" i="24" s="1"/>
  <c r="J93" i="24" a="1"/>
  <c r="J93" i="24" s="1"/>
  <c r="L92" i="24" a="1"/>
  <c r="L92" i="24" s="1"/>
  <c r="K92" i="24" a="1"/>
  <c r="K92" i="24" s="1"/>
  <c r="J92" i="24" a="1"/>
  <c r="J92" i="24" s="1"/>
  <c r="L91" i="24" a="1"/>
  <c r="L91" i="24" s="1"/>
  <c r="K91" i="24" a="1"/>
  <c r="K91" i="24" s="1"/>
  <c r="J91" i="24" a="1"/>
  <c r="J91" i="24" s="1"/>
  <c r="L90" i="24" a="1"/>
  <c r="L90" i="24" s="1"/>
  <c r="K90" i="24" a="1"/>
  <c r="K90" i="24" s="1"/>
  <c r="J90" i="24" a="1"/>
  <c r="J90" i="24" s="1"/>
  <c r="L89" i="24" a="1"/>
  <c r="L89" i="24" s="1"/>
  <c r="K89" i="24" a="1"/>
  <c r="K89" i="24" s="1"/>
  <c r="J89" i="24" a="1"/>
  <c r="J89" i="24" s="1"/>
  <c r="L88" i="24" a="1"/>
  <c r="L88" i="24" s="1"/>
  <c r="K88" i="24" a="1"/>
  <c r="K88" i="24" s="1"/>
  <c r="J88" i="24" a="1"/>
  <c r="J88" i="24" s="1"/>
  <c r="L87" i="24" a="1"/>
  <c r="L87" i="24" s="1"/>
  <c r="K87" i="24" a="1"/>
  <c r="K87" i="24" s="1"/>
  <c r="J87" i="24" a="1"/>
  <c r="J87" i="24" s="1"/>
  <c r="L86" i="24" a="1"/>
  <c r="L86" i="24" s="1"/>
  <c r="K86" i="24" a="1"/>
  <c r="K86" i="24" s="1"/>
  <c r="J86" i="24" a="1"/>
  <c r="J86" i="24" s="1"/>
  <c r="L85" i="24" a="1"/>
  <c r="L85" i="24" s="1"/>
  <c r="K85" i="24" a="1"/>
  <c r="K85" i="24" s="1"/>
  <c r="J85" i="24" a="1"/>
  <c r="J85" i="24" s="1"/>
  <c r="L84" i="24" a="1"/>
  <c r="L84" i="24" s="1"/>
  <c r="K84" i="24" a="1"/>
  <c r="K84" i="24" s="1"/>
  <c r="J84" i="24"/>
  <c r="J84" i="24" a="1"/>
  <c r="L83" i="24" a="1"/>
  <c r="L83" i="24" s="1"/>
  <c r="K83" i="24" a="1"/>
  <c r="K83" i="24" s="1"/>
  <c r="J83" i="24" a="1"/>
  <c r="J83" i="24" s="1"/>
  <c r="L82" i="24" a="1"/>
  <c r="L82" i="24" s="1"/>
  <c r="K82" i="24" a="1"/>
  <c r="K82" i="24" s="1"/>
  <c r="J82" i="24" a="1"/>
  <c r="J82" i="24" s="1"/>
  <c r="L81" i="24" a="1"/>
  <c r="L81" i="24" s="1"/>
  <c r="K81" i="24" a="1"/>
  <c r="K81" i="24" s="1"/>
  <c r="J81" i="24" a="1"/>
  <c r="J81" i="24" s="1"/>
  <c r="L80" i="24" a="1"/>
  <c r="L80" i="24" s="1"/>
  <c r="K80" i="24" a="1"/>
  <c r="K80" i="24" s="1"/>
  <c r="J80" i="24" a="1"/>
  <c r="J80" i="24" s="1"/>
  <c r="L79" i="24" a="1"/>
  <c r="L79" i="24" s="1"/>
  <c r="K79" i="24" a="1"/>
  <c r="K79" i="24" s="1"/>
  <c r="J79" i="24" a="1"/>
  <c r="J79" i="24" s="1"/>
  <c r="L78" i="24" a="1"/>
  <c r="L78" i="24" s="1"/>
  <c r="K78" i="24" a="1"/>
  <c r="K78" i="24" s="1"/>
  <c r="J78" i="24" a="1"/>
  <c r="J78" i="24" s="1"/>
  <c r="L77" i="24" a="1"/>
  <c r="L77" i="24" s="1"/>
  <c r="K77" i="24" a="1"/>
  <c r="K77" i="24" s="1"/>
  <c r="J77" i="24" a="1"/>
  <c r="J77" i="24" s="1"/>
  <c r="L76" i="24" a="1"/>
  <c r="L76" i="24" s="1"/>
  <c r="K76" i="24" a="1"/>
  <c r="K76" i="24" s="1"/>
  <c r="J76" i="24" a="1"/>
  <c r="J76" i="24" s="1"/>
  <c r="L75" i="24" a="1"/>
  <c r="L75" i="24" s="1"/>
  <c r="K75" i="24" a="1"/>
  <c r="K75" i="24" s="1"/>
  <c r="J75" i="24" a="1"/>
  <c r="J75" i="24" s="1"/>
  <c r="L74" i="24" a="1"/>
  <c r="L74" i="24" s="1"/>
  <c r="K74" i="24" a="1"/>
  <c r="K74" i="24" s="1"/>
  <c r="J74" i="24" a="1"/>
  <c r="J74" i="24" s="1"/>
  <c r="L73" i="24" a="1"/>
  <c r="L73" i="24" s="1"/>
  <c r="K73" i="24" a="1"/>
  <c r="K73" i="24" s="1"/>
  <c r="J73" i="24" a="1"/>
  <c r="J73" i="24" s="1"/>
  <c r="L72" i="24" a="1"/>
  <c r="L72" i="24" s="1"/>
  <c r="K72" i="24" a="1"/>
  <c r="K72" i="24" s="1"/>
  <c r="J72" i="24" a="1"/>
  <c r="J72" i="24" s="1"/>
  <c r="L71" i="24" a="1"/>
  <c r="L71" i="24" s="1"/>
  <c r="K71" i="24" a="1"/>
  <c r="K71" i="24" s="1"/>
  <c r="J71" i="24" a="1"/>
  <c r="J71" i="24" s="1"/>
  <c r="L70" i="24" a="1"/>
  <c r="L70" i="24" s="1"/>
  <c r="K70" i="24" a="1"/>
  <c r="K70" i="24" s="1"/>
  <c r="J70" i="24" a="1"/>
  <c r="J70" i="24" s="1"/>
  <c r="L69" i="24"/>
  <c r="L69" i="24" a="1"/>
  <c r="K69" i="24" a="1"/>
  <c r="K69" i="24" s="1"/>
  <c r="J69" i="24" a="1"/>
  <c r="J69" i="24" s="1"/>
  <c r="L68" i="24" a="1"/>
  <c r="L68" i="24" s="1"/>
  <c r="K68" i="24" a="1"/>
  <c r="K68" i="24" s="1"/>
  <c r="J68" i="24" a="1"/>
  <c r="J68" i="24" s="1"/>
  <c r="L67" i="24" a="1"/>
  <c r="L67" i="24" s="1"/>
  <c r="K67" i="24" a="1"/>
  <c r="K67" i="24" s="1"/>
  <c r="J67" i="24" a="1"/>
  <c r="J67" i="24" s="1"/>
  <c r="L66" i="24" a="1"/>
  <c r="L66" i="24" s="1"/>
  <c r="K66" i="24" a="1"/>
  <c r="K66" i="24" s="1"/>
  <c r="J66" i="24" a="1"/>
  <c r="J66" i="24" s="1"/>
  <c r="L65" i="24" a="1"/>
  <c r="L65" i="24" s="1"/>
  <c r="K65" i="24" a="1"/>
  <c r="K65" i="24" s="1"/>
  <c r="J65" i="24" a="1"/>
  <c r="J65" i="24" s="1"/>
  <c r="L64" i="24" a="1"/>
  <c r="L64" i="24" s="1"/>
  <c r="K64" i="24" a="1"/>
  <c r="K64" i="24" s="1"/>
  <c r="J64" i="24" a="1"/>
  <c r="J64" i="24" s="1"/>
  <c r="L63" i="24" a="1"/>
  <c r="L63" i="24" s="1"/>
  <c r="K63" i="24" a="1"/>
  <c r="K63" i="24" s="1"/>
  <c r="J63" i="24" a="1"/>
  <c r="J63" i="24" s="1"/>
  <c r="L62" i="24" a="1"/>
  <c r="L62" i="24" s="1"/>
  <c r="K62" i="24" a="1"/>
  <c r="K62" i="24" s="1"/>
  <c r="J62" i="24" a="1"/>
  <c r="J62" i="24" s="1"/>
  <c r="L61" i="24" a="1"/>
  <c r="L61" i="24" s="1"/>
  <c r="K61" i="24" a="1"/>
  <c r="K61" i="24" s="1"/>
  <c r="J61" i="24" a="1"/>
  <c r="J61" i="24" s="1"/>
  <c r="L60" i="24" a="1"/>
  <c r="L60" i="24" s="1"/>
  <c r="K60" i="24" a="1"/>
  <c r="K60" i="24" s="1"/>
  <c r="J60" i="24" a="1"/>
  <c r="J60" i="24" s="1"/>
  <c r="L59" i="24" a="1"/>
  <c r="L59" i="24" s="1"/>
  <c r="K59" i="24" a="1"/>
  <c r="K59" i="24" s="1"/>
  <c r="J59" i="24" a="1"/>
  <c r="J59" i="24" s="1"/>
  <c r="L58" i="24" a="1"/>
  <c r="L58" i="24" s="1"/>
  <c r="K58" i="24" a="1"/>
  <c r="K58" i="24" s="1"/>
  <c r="J58" i="24" a="1"/>
  <c r="J58" i="24" s="1"/>
  <c r="L57" i="24" a="1"/>
  <c r="L57" i="24" s="1"/>
  <c r="K57" i="24" a="1"/>
  <c r="K57" i="24" s="1"/>
  <c r="J57" i="24" a="1"/>
  <c r="J57" i="24" s="1"/>
  <c r="L56" i="24" a="1"/>
  <c r="L56" i="24" s="1"/>
  <c r="K56" i="24" a="1"/>
  <c r="K56" i="24" s="1"/>
  <c r="J56" i="24" a="1"/>
  <c r="J56" i="24" s="1"/>
  <c r="L55" i="24" a="1"/>
  <c r="L55" i="24" s="1"/>
  <c r="K55" i="24" a="1"/>
  <c r="K55" i="24" s="1"/>
  <c r="J55" i="24" a="1"/>
  <c r="J55" i="24" s="1"/>
  <c r="L54" i="24" a="1"/>
  <c r="L54" i="24" s="1"/>
  <c r="K54" i="24" a="1"/>
  <c r="K54" i="24" s="1"/>
  <c r="J54" i="24" a="1"/>
  <c r="J54" i="24" s="1"/>
  <c r="L53" i="24" a="1"/>
  <c r="L53" i="24" s="1"/>
  <c r="K53" i="24" a="1"/>
  <c r="K53" i="24" s="1"/>
  <c r="J53" i="24" a="1"/>
  <c r="J53" i="24" s="1"/>
  <c r="L52" i="24" a="1"/>
  <c r="L52" i="24" s="1"/>
  <c r="K52" i="24" a="1"/>
  <c r="K52" i="24" s="1"/>
  <c r="J52" i="24" a="1"/>
  <c r="J52" i="24" s="1"/>
  <c r="L51" i="24" a="1"/>
  <c r="L51" i="24" s="1"/>
  <c r="K51" i="24" a="1"/>
  <c r="K51" i="24" s="1"/>
  <c r="J51" i="24" a="1"/>
  <c r="J51" i="24" s="1"/>
  <c r="L50" i="24" a="1"/>
  <c r="L50" i="24" s="1"/>
  <c r="K50" i="24" a="1"/>
  <c r="K50" i="24" s="1"/>
  <c r="J50" i="24" a="1"/>
  <c r="J50" i="24" s="1"/>
  <c r="L49" i="24" a="1"/>
  <c r="L49" i="24" s="1"/>
  <c r="K49" i="24" a="1"/>
  <c r="K49" i="24" s="1"/>
  <c r="J49" i="24" a="1"/>
  <c r="J49" i="24" s="1"/>
  <c r="L48" i="24" a="1"/>
  <c r="L48" i="24" s="1"/>
  <c r="K48" i="24"/>
  <c r="K48" i="24" a="1"/>
  <c r="J48" i="24" a="1"/>
  <c r="J48" i="24" s="1"/>
  <c r="L47" i="24" a="1"/>
  <c r="L47" i="24" s="1"/>
  <c r="K47" i="24" a="1"/>
  <c r="K47" i="24" s="1"/>
  <c r="J47" i="24" a="1"/>
  <c r="J47" i="24" s="1"/>
  <c r="L46" i="24" a="1"/>
  <c r="L46" i="24" s="1"/>
  <c r="K46" i="24" a="1"/>
  <c r="K46" i="24" s="1"/>
  <c r="J46" i="24" a="1"/>
  <c r="J46" i="24" s="1"/>
  <c r="L45" i="24" a="1"/>
  <c r="L45" i="24" s="1"/>
  <c r="K45" i="24" a="1"/>
  <c r="K45" i="24" s="1"/>
  <c r="J45" i="24" a="1"/>
  <c r="J45" i="24" s="1"/>
  <c r="L44" i="24" a="1"/>
  <c r="L44" i="24" s="1"/>
  <c r="K44" i="24" a="1"/>
  <c r="K44" i="24" s="1"/>
  <c r="J44" i="24" a="1"/>
  <c r="J44" i="24" s="1"/>
  <c r="L43" i="24" a="1"/>
  <c r="L43" i="24" s="1"/>
  <c r="K43" i="24" a="1"/>
  <c r="K43" i="24" s="1"/>
  <c r="J43" i="24" a="1"/>
  <c r="J43" i="24" s="1"/>
  <c r="L42" i="24" a="1"/>
  <c r="L42" i="24" s="1"/>
  <c r="K42" i="24" a="1"/>
  <c r="K42" i="24" s="1"/>
  <c r="J42" i="24" a="1"/>
  <c r="J42" i="24" s="1"/>
  <c r="L41" i="24" a="1"/>
  <c r="L41" i="24" s="1"/>
  <c r="K41" i="24" a="1"/>
  <c r="K41" i="24" s="1"/>
  <c r="J41" i="24" a="1"/>
  <c r="J41" i="24" s="1"/>
  <c r="L40" i="24" a="1"/>
  <c r="L40" i="24" s="1"/>
  <c r="K40" i="24" a="1"/>
  <c r="K40" i="24" s="1"/>
  <c r="J40" i="24" a="1"/>
  <c r="J40" i="24" s="1"/>
  <c r="L39" i="24" a="1"/>
  <c r="L39" i="24" s="1"/>
  <c r="K39" i="24" a="1"/>
  <c r="K39" i="24" s="1"/>
  <c r="J39" i="24" a="1"/>
  <c r="J39" i="24" s="1"/>
  <c r="L38" i="24" a="1"/>
  <c r="L38" i="24" s="1"/>
  <c r="K38" i="24" a="1"/>
  <c r="K38" i="24" s="1"/>
  <c r="J38" i="24" a="1"/>
  <c r="J38" i="24" s="1"/>
  <c r="L37" i="24"/>
  <c r="L37" i="24" a="1"/>
  <c r="K37" i="24" a="1"/>
  <c r="K37" i="24" s="1"/>
  <c r="J37" i="24" a="1"/>
  <c r="J37" i="24" s="1"/>
  <c r="L36" i="24" a="1"/>
  <c r="L36" i="24" s="1"/>
  <c r="K36" i="24" a="1"/>
  <c r="K36" i="24" s="1"/>
  <c r="J36" i="24" a="1"/>
  <c r="J36" i="24" s="1"/>
  <c r="L35" i="24" a="1"/>
  <c r="L35" i="24" s="1"/>
  <c r="K35" i="24" a="1"/>
  <c r="K35" i="24" s="1"/>
  <c r="J35" i="24" a="1"/>
  <c r="J35" i="24" s="1"/>
  <c r="L34" i="24" a="1"/>
  <c r="L34" i="24" s="1"/>
  <c r="K34" i="24" a="1"/>
  <c r="K34" i="24" s="1"/>
  <c r="J34" i="24" a="1"/>
  <c r="J34" i="24" s="1"/>
  <c r="L33" i="24" a="1"/>
  <c r="L33" i="24" s="1"/>
  <c r="K33" i="24"/>
  <c r="K33" i="24" a="1"/>
  <c r="J33" i="24" a="1"/>
  <c r="J33" i="24" s="1"/>
  <c r="L32" i="24" a="1"/>
  <c r="L32" i="24" s="1"/>
  <c r="K32" i="24" a="1"/>
  <c r="K32" i="24" s="1"/>
  <c r="J32" i="24" a="1"/>
  <c r="J32" i="24" s="1"/>
  <c r="L31" i="24" a="1"/>
  <c r="L31" i="24" s="1"/>
  <c r="K31" i="24" a="1"/>
  <c r="K31" i="24" s="1"/>
  <c r="J31" i="24" a="1"/>
  <c r="J31" i="24" s="1"/>
  <c r="L30" i="24" a="1"/>
  <c r="L30" i="24" s="1"/>
  <c r="K30" i="24" a="1"/>
  <c r="K30" i="24" s="1"/>
  <c r="J30" i="24" a="1"/>
  <c r="J30" i="24" s="1"/>
  <c r="L29" i="24" a="1"/>
  <c r="L29" i="24" s="1"/>
  <c r="K29" i="24" a="1"/>
  <c r="K29" i="24" s="1"/>
  <c r="J29" i="24" a="1"/>
  <c r="J29" i="24" s="1"/>
  <c r="L28" i="24" a="1"/>
  <c r="L28" i="24" s="1"/>
  <c r="K28" i="24" a="1"/>
  <c r="K28" i="24" s="1"/>
  <c r="J28" i="24" a="1"/>
  <c r="J28" i="24" s="1"/>
  <c r="L27" i="24" a="1"/>
  <c r="L27" i="24" s="1"/>
  <c r="K27" i="24" a="1"/>
  <c r="K27" i="24" s="1"/>
  <c r="J27" i="24" a="1"/>
  <c r="J27" i="24" s="1"/>
  <c r="L26" i="24" a="1"/>
  <c r="L26" i="24" s="1"/>
  <c r="K26" i="24" a="1"/>
  <c r="K26" i="24" s="1"/>
  <c r="J26" i="24" a="1"/>
  <c r="J26" i="24" s="1"/>
  <c r="L25" i="24" a="1"/>
  <c r="L25" i="24" s="1"/>
  <c r="K25" i="24" a="1"/>
  <c r="K25" i="24" s="1"/>
  <c r="J25" i="24" a="1"/>
  <c r="J25" i="24" s="1"/>
  <c r="L24" i="24" a="1"/>
  <c r="L24" i="24" s="1"/>
  <c r="K24" i="24" a="1"/>
  <c r="K24" i="24" s="1"/>
  <c r="J24" i="24" a="1"/>
  <c r="J24" i="24" s="1"/>
  <c r="L23" i="24" a="1"/>
  <c r="L23" i="24" s="1"/>
  <c r="K23" i="24" a="1"/>
  <c r="K23" i="24" s="1"/>
  <c r="J23" i="24" a="1"/>
  <c r="J23" i="24" s="1"/>
  <c r="L22" i="24" a="1"/>
  <c r="L22" i="24" s="1"/>
  <c r="K22" i="24" a="1"/>
  <c r="K22" i="24" s="1"/>
  <c r="J22" i="24" a="1"/>
  <c r="J22" i="24" s="1"/>
  <c r="L21" i="24" a="1"/>
  <c r="L21" i="24" s="1"/>
  <c r="K21" i="24" a="1"/>
  <c r="K21" i="24" s="1"/>
  <c r="J21" i="24" a="1"/>
  <c r="J21" i="24" s="1"/>
  <c r="L20" i="24" a="1"/>
  <c r="L20" i="24" s="1"/>
  <c r="K20" i="24" a="1"/>
  <c r="K20" i="24" s="1"/>
  <c r="J20" i="24" a="1"/>
  <c r="J20" i="24" s="1"/>
  <c r="L19" i="24" a="1"/>
  <c r="L19" i="24" s="1"/>
  <c r="K19" i="24" a="1"/>
  <c r="K19" i="24" s="1"/>
  <c r="J19" i="24" a="1"/>
  <c r="J19" i="24" s="1"/>
  <c r="L18" i="24" a="1"/>
  <c r="L18" i="24" s="1"/>
  <c r="K18" i="24" a="1"/>
  <c r="K18" i="24" s="1"/>
  <c r="J18" i="24" a="1"/>
  <c r="J18" i="24" s="1"/>
  <c r="L17" i="24" a="1"/>
  <c r="L17" i="24" s="1"/>
  <c r="K17" i="24" a="1"/>
  <c r="K17" i="24" s="1"/>
  <c r="J17" i="24" a="1"/>
  <c r="J17" i="24" s="1"/>
  <c r="L16" i="24" a="1"/>
  <c r="L16" i="24" s="1"/>
  <c r="K16" i="24" a="1"/>
  <c r="K16" i="24" s="1"/>
  <c r="J16" i="24" a="1"/>
  <c r="J16" i="24" s="1"/>
  <c r="L15" i="24" a="1"/>
  <c r="L15" i="24" s="1"/>
  <c r="K15" i="24" a="1"/>
  <c r="K15" i="24" s="1"/>
  <c r="J15" i="24" a="1"/>
  <c r="J15" i="24" s="1"/>
  <c r="L14" i="24" a="1"/>
  <c r="L14" i="24" s="1"/>
  <c r="K14" i="24" a="1"/>
  <c r="K14" i="24" s="1"/>
  <c r="J14" i="24" a="1"/>
  <c r="J14" i="24" s="1"/>
  <c r="L13" i="24" a="1"/>
  <c r="L13" i="24" s="1"/>
  <c r="K13" i="24" a="1"/>
  <c r="K13" i="24" s="1"/>
  <c r="J13" i="24" a="1"/>
  <c r="J13" i="24" s="1"/>
  <c r="L12" i="24" a="1"/>
  <c r="L12" i="24" s="1"/>
  <c r="K12" i="24" a="1"/>
  <c r="K12" i="24" s="1"/>
  <c r="J12" i="24" a="1"/>
  <c r="J12" i="24" s="1"/>
  <c r="L11" i="24" a="1"/>
  <c r="L11" i="24" s="1"/>
  <c r="K11" i="24" a="1"/>
  <c r="K11" i="24" s="1"/>
  <c r="J11" i="24" a="1"/>
  <c r="J11" i="24" s="1"/>
  <c r="L10" i="24" a="1"/>
  <c r="L10" i="24" s="1"/>
  <c r="K10" i="24" a="1"/>
  <c r="K10" i="24" s="1"/>
  <c r="J10" i="24" a="1"/>
  <c r="J10" i="24" s="1"/>
  <c r="L9" i="24" a="1"/>
  <c r="L9" i="24" s="1"/>
  <c r="K9" i="24" a="1"/>
  <c r="K9" i="24" s="1"/>
  <c r="J9" i="24" a="1"/>
  <c r="J9" i="24" s="1"/>
  <c r="L8" i="24" a="1"/>
  <c r="L8" i="24" s="1"/>
  <c r="K8" i="24" a="1"/>
  <c r="K8" i="24" s="1"/>
  <c r="J8" i="24" a="1"/>
  <c r="J8" i="24" s="1"/>
  <c r="L7" i="24" a="1"/>
  <c r="L7" i="24" s="1"/>
  <c r="K7" i="24" a="1"/>
  <c r="K7" i="24" s="1"/>
  <c r="J7" i="24" a="1"/>
  <c r="J7" i="24" s="1"/>
  <c r="L6" i="24" a="1"/>
  <c r="L6" i="24" s="1"/>
  <c r="K6" i="24" a="1"/>
  <c r="K6" i="24" s="1"/>
  <c r="J6" i="24" a="1"/>
  <c r="J6" i="24" s="1"/>
  <c r="L5" i="24" a="1"/>
  <c r="L5" i="24" s="1"/>
  <c r="K5" i="24" a="1"/>
  <c r="K5" i="24" s="1"/>
  <c r="J5" i="24" a="1"/>
  <c r="J5" i="24" s="1"/>
  <c r="L4" i="24" a="1"/>
  <c r="L4" i="24" s="1"/>
  <c r="K4" i="24" a="1"/>
  <c r="K4" i="24" s="1"/>
  <c r="J4" i="24" a="1"/>
  <c r="J4" i="24" s="1"/>
  <c r="L3" i="24" a="1"/>
  <c r="L3" i="24" s="1"/>
  <c r="K3" i="24" a="1"/>
  <c r="K3" i="24" s="1"/>
  <c r="J3" i="24" a="1"/>
  <c r="J3" i="24" s="1"/>
  <c r="Y3" i="23" a="1"/>
  <c r="Y3" i="23" s="1"/>
  <c r="F137" i="13" s="1"/>
  <c r="H140" i="13"/>
  <c r="H141" i="13"/>
  <c r="H142" i="13"/>
  <c r="H143" i="13"/>
  <c r="H144" i="13"/>
  <c r="H145" i="13"/>
  <c r="H146" i="13"/>
  <c r="H147" i="13"/>
  <c r="H148" i="13"/>
  <c r="H149" i="13"/>
  <c r="H150" i="13"/>
  <c r="H151" i="13"/>
  <c r="H152" i="13"/>
  <c r="H153" i="13"/>
  <c r="H154" i="13"/>
  <c r="H155" i="13"/>
  <c r="H156" i="13"/>
  <c r="H157" i="13"/>
  <c r="H158" i="13"/>
  <c r="H159" i="13"/>
  <c r="H160" i="13"/>
  <c r="H161" i="13"/>
  <c r="H162" i="13"/>
  <c r="H163" i="13"/>
  <c r="H164" i="13"/>
  <c r="H165" i="13"/>
  <c r="H166" i="13"/>
  <c r="H167" i="13"/>
  <c r="H168" i="13"/>
  <c r="H169" i="13"/>
  <c r="H170" i="13"/>
  <c r="H171" i="13"/>
  <c r="H172" i="13"/>
  <c r="H173" i="13"/>
  <c r="H174" i="13"/>
  <c r="H175" i="13"/>
  <c r="H176" i="13"/>
  <c r="H177" i="13"/>
  <c r="H178" i="13"/>
  <c r="H179" i="13"/>
  <c r="H180" i="13"/>
  <c r="H181" i="13"/>
  <c r="H182" i="13"/>
  <c r="H183" i="13"/>
  <c r="H184" i="13"/>
  <c r="H185" i="13"/>
  <c r="H186" i="13"/>
  <c r="H187" i="13"/>
  <c r="H188" i="13"/>
  <c r="H189" i="13"/>
  <c r="H190" i="13"/>
  <c r="H191" i="13"/>
  <c r="H192" i="13"/>
  <c r="H193" i="13"/>
  <c r="H194" i="13"/>
  <c r="H195" i="13"/>
  <c r="H196" i="13"/>
  <c r="H197" i="13"/>
  <c r="F140" i="13"/>
  <c r="F141" i="13"/>
  <c r="F142" i="13"/>
  <c r="F143" i="13"/>
  <c r="F144" i="13"/>
  <c r="F145" i="13"/>
  <c r="F146" i="13"/>
  <c r="F147" i="13"/>
  <c r="F148" i="13"/>
  <c r="F149" i="13"/>
  <c r="F150" i="13"/>
  <c r="F151" i="13"/>
  <c r="F152" i="13"/>
  <c r="F153" i="13"/>
  <c r="F154" i="13"/>
  <c r="F155" i="13"/>
  <c r="F156" i="13"/>
  <c r="F157" i="13"/>
  <c r="F158" i="13"/>
  <c r="F159" i="13"/>
  <c r="F160" i="13"/>
  <c r="F161" i="13"/>
  <c r="F162" i="13"/>
  <c r="F163" i="13"/>
  <c r="F164" i="13"/>
  <c r="F165" i="13"/>
  <c r="F166" i="13"/>
  <c r="F167" i="13"/>
  <c r="F168" i="13"/>
  <c r="F169" i="13"/>
  <c r="F170" i="13"/>
  <c r="F171" i="13"/>
  <c r="F172" i="13"/>
  <c r="F173" i="13"/>
  <c r="F174" i="13"/>
  <c r="F175" i="13"/>
  <c r="F176" i="13"/>
  <c r="F177" i="13"/>
  <c r="F178" i="13"/>
  <c r="F179" i="13"/>
  <c r="F180" i="13"/>
  <c r="F181" i="13"/>
  <c r="F182" i="13"/>
  <c r="F183" i="13"/>
  <c r="F184" i="13"/>
  <c r="F185" i="13"/>
  <c r="F186" i="13"/>
  <c r="F187" i="13"/>
  <c r="F188" i="13"/>
  <c r="F189" i="13"/>
  <c r="F190" i="13"/>
  <c r="F191" i="13"/>
  <c r="F192" i="13"/>
  <c r="F193" i="13"/>
  <c r="F194" i="13"/>
  <c r="F195" i="13"/>
  <c r="F196" i="13"/>
  <c r="F197" i="13"/>
  <c r="C140" i="13"/>
  <c r="C141" i="13"/>
  <c r="C142" i="13"/>
  <c r="C143" i="13"/>
  <c r="C144" i="13"/>
  <c r="C145" i="13"/>
  <c r="C146" i="13"/>
  <c r="C147" i="13"/>
  <c r="C148" i="13"/>
  <c r="C149" i="13"/>
  <c r="C150" i="13"/>
  <c r="C151" i="13"/>
  <c r="C152" i="13"/>
  <c r="C153" i="13"/>
  <c r="C154" i="13"/>
  <c r="C155" i="13"/>
  <c r="C156" i="13"/>
  <c r="C157" i="13"/>
  <c r="C158" i="13"/>
  <c r="C159" i="13"/>
  <c r="C160" i="13"/>
  <c r="C161" i="13"/>
  <c r="C162" i="13"/>
  <c r="C163" i="13"/>
  <c r="C164" i="13"/>
  <c r="C165" i="13"/>
  <c r="C166" i="13"/>
  <c r="C167" i="13"/>
  <c r="C168" i="13"/>
  <c r="C169" i="13"/>
  <c r="C170" i="13"/>
  <c r="C171" i="13"/>
  <c r="C172" i="13"/>
  <c r="C173" i="13"/>
  <c r="C174" i="13"/>
  <c r="C175" i="13"/>
  <c r="C176" i="13"/>
  <c r="C177" i="13"/>
  <c r="C178" i="13"/>
  <c r="C179" i="13"/>
  <c r="C180" i="13"/>
  <c r="C181" i="13"/>
  <c r="C182" i="13"/>
  <c r="C183" i="13"/>
  <c r="C184" i="13"/>
  <c r="C185" i="13"/>
  <c r="C186" i="13"/>
  <c r="C187" i="13"/>
  <c r="C188" i="13"/>
  <c r="C189" i="13"/>
  <c r="C190" i="13"/>
  <c r="C191" i="13"/>
  <c r="C192" i="13"/>
  <c r="C193" i="13"/>
  <c r="C194" i="13"/>
  <c r="C195" i="13"/>
  <c r="C196" i="13"/>
  <c r="C197" i="13"/>
  <c r="H137" i="13" l="1"/>
  <c r="F138" i="13"/>
  <c r="H139" i="13"/>
  <c r="H138" i="13"/>
  <c r="F139" i="13"/>
  <c r="A3" i="23"/>
  <c r="M201" i="23" a="1"/>
  <c r="M201" i="23" s="1"/>
  <c r="L201" i="23" a="1"/>
  <c r="L201" i="23" s="1"/>
  <c r="K201" i="23" a="1"/>
  <c r="K201" i="23" s="1"/>
  <c r="J201" i="23"/>
  <c r="J201" i="23" a="1"/>
  <c r="I201" i="23" a="1"/>
  <c r="I201" i="23" s="1"/>
  <c r="H201" i="23"/>
  <c r="M200" i="23" a="1"/>
  <c r="M200" i="23" s="1"/>
  <c r="L200" i="23" a="1"/>
  <c r="L200" i="23" s="1"/>
  <c r="K200" i="23" a="1"/>
  <c r="K200" i="23" s="1"/>
  <c r="J200" i="23" a="1"/>
  <c r="J200" i="23" s="1"/>
  <c r="I200" i="23" a="1"/>
  <c r="I200" i="23" s="1"/>
  <c r="H200" i="23"/>
  <c r="M199" i="23"/>
  <c r="M199" i="23" a="1"/>
  <c r="L199" i="23" a="1"/>
  <c r="L199" i="23" s="1"/>
  <c r="K199" i="23" a="1"/>
  <c r="K199" i="23" s="1"/>
  <c r="J199" i="23" a="1"/>
  <c r="J199" i="23" s="1"/>
  <c r="I199" i="23" a="1"/>
  <c r="I199" i="23" s="1"/>
  <c r="H199" i="23"/>
  <c r="M198" i="23"/>
  <c r="M198" i="23" a="1"/>
  <c r="L198" i="23" a="1"/>
  <c r="L198" i="23" s="1"/>
  <c r="K198" i="23" a="1"/>
  <c r="K198" i="23" s="1"/>
  <c r="J198" i="23" a="1"/>
  <c r="J198" i="23" s="1"/>
  <c r="I198" i="23" a="1"/>
  <c r="I198" i="23" s="1"/>
  <c r="H198" i="23"/>
  <c r="M197" i="23"/>
  <c r="M197" i="23" a="1"/>
  <c r="L197" i="23"/>
  <c r="L197" i="23" a="1"/>
  <c r="K197" i="23"/>
  <c r="K197" i="23" a="1"/>
  <c r="J197" i="23" a="1"/>
  <c r="J197" i="23" s="1"/>
  <c r="I197" i="23" a="1"/>
  <c r="I197" i="23" s="1"/>
  <c r="H197" i="23"/>
  <c r="M196" i="23" a="1"/>
  <c r="M196" i="23" s="1"/>
  <c r="L196" i="23"/>
  <c r="L196" i="23" a="1"/>
  <c r="K196" i="23" a="1"/>
  <c r="K196" i="23" s="1"/>
  <c r="J196" i="23" a="1"/>
  <c r="J196" i="23" s="1"/>
  <c r="I196" i="23" a="1"/>
  <c r="I196" i="23" s="1"/>
  <c r="H196" i="23"/>
  <c r="M195" i="23" a="1"/>
  <c r="M195" i="23" s="1"/>
  <c r="L195" i="23"/>
  <c r="L195" i="23" a="1"/>
  <c r="K195" i="23"/>
  <c r="K195" i="23" a="1"/>
  <c r="J195" i="23" a="1"/>
  <c r="J195" i="23" s="1"/>
  <c r="I195" i="23" a="1"/>
  <c r="I195" i="23" s="1"/>
  <c r="H195" i="23"/>
  <c r="M194" i="23" a="1"/>
  <c r="M194" i="23" s="1"/>
  <c r="L194" i="23" a="1"/>
  <c r="L194" i="23" s="1"/>
  <c r="K194" i="23"/>
  <c r="K194" i="23" a="1"/>
  <c r="J194" i="23" a="1"/>
  <c r="J194" i="23" s="1"/>
  <c r="I194" i="23" a="1"/>
  <c r="I194" i="23" s="1"/>
  <c r="H194" i="23"/>
  <c r="M193" i="23" a="1"/>
  <c r="M193" i="23" s="1"/>
  <c r="L193" i="23" a="1"/>
  <c r="L193" i="23" s="1"/>
  <c r="K193" i="23"/>
  <c r="K193" i="23" a="1"/>
  <c r="J193" i="23" a="1"/>
  <c r="J193" i="23" s="1"/>
  <c r="I193" i="23" a="1"/>
  <c r="I193" i="23" s="1"/>
  <c r="H193" i="23"/>
  <c r="M192" i="23" a="1"/>
  <c r="M192" i="23" s="1"/>
  <c r="L192" i="23" a="1"/>
  <c r="L192" i="23" s="1"/>
  <c r="K192" i="23" a="1"/>
  <c r="K192" i="23" s="1"/>
  <c r="J192" i="23"/>
  <c r="J192" i="23" a="1"/>
  <c r="I192" i="23" a="1"/>
  <c r="I192" i="23" s="1"/>
  <c r="H192" i="23"/>
  <c r="M191" i="23"/>
  <c r="M191" i="23" a="1"/>
  <c r="L191" i="23" a="1"/>
  <c r="L191" i="23" s="1"/>
  <c r="K191" i="23" a="1"/>
  <c r="K191" i="23" s="1"/>
  <c r="J191" i="23"/>
  <c r="J191" i="23" a="1"/>
  <c r="I191" i="23" a="1"/>
  <c r="I191" i="23" s="1"/>
  <c r="H191" i="23"/>
  <c r="M190" i="23"/>
  <c r="M190" i="23" a="1"/>
  <c r="L190" i="23" a="1"/>
  <c r="L190" i="23" s="1"/>
  <c r="K190" i="23" a="1"/>
  <c r="K190" i="23" s="1"/>
  <c r="J190" i="23" a="1"/>
  <c r="J190" i="23" s="1"/>
  <c r="I190" i="23" a="1"/>
  <c r="I190" i="23" s="1"/>
  <c r="H190" i="23"/>
  <c r="M189" i="23"/>
  <c r="M189" i="23" a="1"/>
  <c r="L189" i="23"/>
  <c r="L189" i="23" a="1"/>
  <c r="K189" i="23"/>
  <c r="K189" i="23" a="1"/>
  <c r="J189" i="23" a="1"/>
  <c r="J189" i="23" s="1"/>
  <c r="I189" i="23" a="1"/>
  <c r="I189" i="23" s="1"/>
  <c r="H189" i="23"/>
  <c r="M188" i="23" a="1"/>
  <c r="M188" i="23" s="1"/>
  <c r="L188" i="23"/>
  <c r="L188" i="23" a="1"/>
  <c r="K188" i="23" a="1"/>
  <c r="K188" i="23" s="1"/>
  <c r="J188" i="23" a="1"/>
  <c r="J188" i="23" s="1"/>
  <c r="I188" i="23" a="1"/>
  <c r="I188" i="23" s="1"/>
  <c r="H188" i="23"/>
  <c r="M187" i="23" a="1"/>
  <c r="M187" i="23" s="1"/>
  <c r="L187" i="23"/>
  <c r="L187" i="23" a="1"/>
  <c r="K187" i="23"/>
  <c r="K187" i="23" a="1"/>
  <c r="J187" i="23"/>
  <c r="J187" i="23" a="1"/>
  <c r="I187" i="23" a="1"/>
  <c r="I187" i="23" s="1"/>
  <c r="H187" i="23"/>
  <c r="M186" i="23" a="1"/>
  <c r="M186" i="23" s="1"/>
  <c r="L186" i="23" a="1"/>
  <c r="L186" i="23" s="1"/>
  <c r="K186" i="23"/>
  <c r="K186" i="23" a="1"/>
  <c r="J186" i="23" a="1"/>
  <c r="J186" i="23" s="1"/>
  <c r="I186" i="23" a="1"/>
  <c r="I186" i="23" s="1"/>
  <c r="H186" i="23"/>
  <c r="M185" i="23" a="1"/>
  <c r="M185" i="23" s="1"/>
  <c r="L185" i="23" a="1"/>
  <c r="L185" i="23" s="1"/>
  <c r="K185" i="23"/>
  <c r="K185" i="23" a="1"/>
  <c r="J185" i="23" a="1"/>
  <c r="J185" i="23" s="1"/>
  <c r="I185" i="23" a="1"/>
  <c r="I185" i="23" s="1"/>
  <c r="H185" i="23"/>
  <c r="M184" i="23" a="1"/>
  <c r="M184" i="23" s="1"/>
  <c r="L184" i="23" a="1"/>
  <c r="L184" i="23" s="1"/>
  <c r="K184" i="23" a="1"/>
  <c r="K184" i="23" s="1"/>
  <c r="J184" i="23" a="1"/>
  <c r="J184" i="23" s="1"/>
  <c r="I184" i="23" a="1"/>
  <c r="I184" i="23" s="1"/>
  <c r="H184" i="23"/>
  <c r="M183" i="23"/>
  <c r="M183" i="23" a="1"/>
  <c r="L183" i="23" a="1"/>
  <c r="L183" i="23" s="1"/>
  <c r="K183" i="23" a="1"/>
  <c r="K183" i="23" s="1"/>
  <c r="J183" i="23" a="1"/>
  <c r="J183" i="23" s="1"/>
  <c r="I183" i="23"/>
  <c r="I183" i="23" a="1"/>
  <c r="H183" i="23"/>
  <c r="M182" i="23"/>
  <c r="M182" i="23" a="1"/>
  <c r="L182" i="23" a="1"/>
  <c r="L182" i="23" s="1"/>
  <c r="K182" i="23" a="1"/>
  <c r="K182" i="23" s="1"/>
  <c r="J182" i="23" a="1"/>
  <c r="J182" i="23" s="1"/>
  <c r="I182" i="23"/>
  <c r="I182" i="23" a="1"/>
  <c r="H182" i="23"/>
  <c r="M181" i="23"/>
  <c r="M181" i="23" a="1"/>
  <c r="L181" i="23"/>
  <c r="L181" i="23" a="1"/>
  <c r="K181" i="23"/>
  <c r="K181" i="23" a="1"/>
  <c r="J181" i="23" a="1"/>
  <c r="J181" i="23" s="1"/>
  <c r="I181" i="23" a="1"/>
  <c r="I181" i="23" s="1"/>
  <c r="H181" i="23"/>
  <c r="M180" i="23" a="1"/>
  <c r="M180" i="23" s="1"/>
  <c r="L180" i="23"/>
  <c r="L180" i="23" a="1"/>
  <c r="K180" i="23" a="1"/>
  <c r="K180" i="23" s="1"/>
  <c r="J180" i="23" a="1"/>
  <c r="J180" i="23" s="1"/>
  <c r="I180" i="23" a="1"/>
  <c r="I180" i="23" s="1"/>
  <c r="H180" i="23"/>
  <c r="M179" i="23" a="1"/>
  <c r="M179" i="23" s="1"/>
  <c r="L179" i="23"/>
  <c r="L179" i="23" a="1"/>
  <c r="K179" i="23"/>
  <c r="K179" i="23" a="1"/>
  <c r="J179" i="23"/>
  <c r="J179" i="23" a="1"/>
  <c r="I179" i="23" a="1"/>
  <c r="I179" i="23" s="1"/>
  <c r="H179" i="23"/>
  <c r="M178" i="23" a="1"/>
  <c r="M178" i="23" s="1"/>
  <c r="L178" i="23" a="1"/>
  <c r="L178" i="23" s="1"/>
  <c r="K178" i="23"/>
  <c r="K178" i="23" a="1"/>
  <c r="J178" i="23" a="1"/>
  <c r="J178" i="23" s="1"/>
  <c r="I178" i="23" a="1"/>
  <c r="I178" i="23" s="1"/>
  <c r="H178" i="23"/>
  <c r="M177" i="23"/>
  <c r="M177" i="23" a="1"/>
  <c r="L177" i="23" a="1"/>
  <c r="L177" i="23" s="1"/>
  <c r="K177" i="23"/>
  <c r="K177" i="23" a="1"/>
  <c r="J177" i="23"/>
  <c r="J177" i="23" a="1"/>
  <c r="I177" i="23" a="1"/>
  <c r="I177" i="23" s="1"/>
  <c r="H177" i="23"/>
  <c r="M176" i="23" a="1"/>
  <c r="M176" i="23" s="1"/>
  <c r="L176" i="23" a="1"/>
  <c r="L176" i="23" s="1"/>
  <c r="K176" i="23" a="1"/>
  <c r="K176" i="23" s="1"/>
  <c r="J176" i="23" a="1"/>
  <c r="J176" i="23" s="1"/>
  <c r="I176" i="23" a="1"/>
  <c r="I176" i="23" s="1"/>
  <c r="H176" i="23"/>
  <c r="M175" i="23"/>
  <c r="M175" i="23" a="1"/>
  <c r="L175" i="23" a="1"/>
  <c r="L175" i="23" s="1"/>
  <c r="K175" i="23" a="1"/>
  <c r="K175" i="23" s="1"/>
  <c r="J175" i="23" a="1"/>
  <c r="J175" i="23" s="1"/>
  <c r="I175" i="23" a="1"/>
  <c r="I175" i="23" s="1"/>
  <c r="H175" i="23"/>
  <c r="M174" i="23"/>
  <c r="M174" i="23" a="1"/>
  <c r="L174" i="23" a="1"/>
  <c r="L174" i="23" s="1"/>
  <c r="K174" i="23" a="1"/>
  <c r="K174" i="23" s="1"/>
  <c r="J174" i="23" a="1"/>
  <c r="J174" i="23" s="1"/>
  <c r="I174" i="23" a="1"/>
  <c r="I174" i="23" s="1"/>
  <c r="H174" i="23"/>
  <c r="M173" i="23"/>
  <c r="M173" i="23" a="1"/>
  <c r="L173" i="23"/>
  <c r="L173" i="23" a="1"/>
  <c r="K173" i="23"/>
  <c r="K173" i="23" a="1"/>
  <c r="J173" i="23" a="1"/>
  <c r="J173" i="23" s="1"/>
  <c r="I173" i="23" a="1"/>
  <c r="I173" i="23" s="1"/>
  <c r="H173" i="23"/>
  <c r="M172" i="23" a="1"/>
  <c r="M172" i="23" s="1"/>
  <c r="L172" i="23"/>
  <c r="L172" i="23" a="1"/>
  <c r="K172" i="23" a="1"/>
  <c r="K172" i="23" s="1"/>
  <c r="J172" i="23" a="1"/>
  <c r="J172" i="23" s="1"/>
  <c r="I172" i="23" a="1"/>
  <c r="I172" i="23" s="1"/>
  <c r="H172" i="23"/>
  <c r="M171" i="23" a="1"/>
  <c r="M171" i="23" s="1"/>
  <c r="L171" i="23"/>
  <c r="L171" i="23" a="1"/>
  <c r="K171" i="23"/>
  <c r="K171" i="23" a="1"/>
  <c r="J171" i="23" a="1"/>
  <c r="J171" i="23" s="1"/>
  <c r="I171" i="23" a="1"/>
  <c r="I171" i="23" s="1"/>
  <c r="H171" i="23"/>
  <c r="M170" i="23" a="1"/>
  <c r="M170" i="23" s="1"/>
  <c r="L170" i="23" a="1"/>
  <c r="L170" i="23" s="1"/>
  <c r="K170" i="23"/>
  <c r="K170" i="23" a="1"/>
  <c r="J170" i="23" a="1"/>
  <c r="J170" i="23" s="1"/>
  <c r="I170" i="23" a="1"/>
  <c r="I170" i="23" s="1"/>
  <c r="H170" i="23"/>
  <c r="M169" i="23"/>
  <c r="M169" i="23" a="1"/>
  <c r="L169" i="23" a="1"/>
  <c r="L169" i="23" s="1"/>
  <c r="K169" i="23"/>
  <c r="K169" i="23" a="1"/>
  <c r="J169" i="23" a="1"/>
  <c r="J169" i="23" s="1"/>
  <c r="I169" i="23" a="1"/>
  <c r="I169" i="23" s="1"/>
  <c r="H169" i="23"/>
  <c r="M168" i="23" a="1"/>
  <c r="M168" i="23" s="1"/>
  <c r="L168" i="23" a="1"/>
  <c r="L168" i="23" s="1"/>
  <c r="K168" i="23" a="1"/>
  <c r="K168" i="23" s="1"/>
  <c r="J168" i="23" a="1"/>
  <c r="J168" i="23" s="1"/>
  <c r="I168" i="23" a="1"/>
  <c r="I168" i="23" s="1"/>
  <c r="H168" i="23"/>
  <c r="M167" i="23"/>
  <c r="M167" i="23" a="1"/>
  <c r="L167" i="23" a="1"/>
  <c r="L167" i="23" s="1"/>
  <c r="K167" i="23" a="1"/>
  <c r="K167" i="23" s="1"/>
  <c r="J167" i="23" a="1"/>
  <c r="J167" i="23" s="1"/>
  <c r="I167" i="23" a="1"/>
  <c r="I167" i="23" s="1"/>
  <c r="H167" i="23"/>
  <c r="M166" i="23"/>
  <c r="M166" i="23" a="1"/>
  <c r="L166" i="23" a="1"/>
  <c r="L166" i="23" s="1"/>
  <c r="K166" i="23" a="1"/>
  <c r="K166" i="23" s="1"/>
  <c r="J166" i="23" a="1"/>
  <c r="J166" i="23" s="1"/>
  <c r="I166" i="23" a="1"/>
  <c r="I166" i="23" s="1"/>
  <c r="H166" i="23"/>
  <c r="M165" i="23"/>
  <c r="M165" i="23" a="1"/>
  <c r="L165" i="23"/>
  <c r="L165" i="23" a="1"/>
  <c r="K165" i="23"/>
  <c r="K165" i="23" a="1"/>
  <c r="J165" i="23" a="1"/>
  <c r="J165" i="23" s="1"/>
  <c r="I165" i="23" a="1"/>
  <c r="I165" i="23" s="1"/>
  <c r="H165" i="23"/>
  <c r="M164" i="23" a="1"/>
  <c r="M164" i="23" s="1"/>
  <c r="L164" i="23"/>
  <c r="L164" i="23" a="1"/>
  <c r="K164" i="23" a="1"/>
  <c r="K164" i="23" s="1"/>
  <c r="J164" i="23" a="1"/>
  <c r="J164" i="23" s="1"/>
  <c r="I164" i="23" a="1"/>
  <c r="I164" i="23" s="1"/>
  <c r="H164" i="23"/>
  <c r="M163" i="23" a="1"/>
  <c r="M163" i="23" s="1"/>
  <c r="L163" i="23"/>
  <c r="L163" i="23" a="1"/>
  <c r="K163" i="23"/>
  <c r="K163" i="23" a="1"/>
  <c r="J163" i="23" a="1"/>
  <c r="J163" i="23" s="1"/>
  <c r="I163" i="23" a="1"/>
  <c r="I163" i="23" s="1"/>
  <c r="H163" i="23"/>
  <c r="M162" i="23" a="1"/>
  <c r="M162" i="23" s="1"/>
  <c r="L162" i="23" a="1"/>
  <c r="L162" i="23" s="1"/>
  <c r="K162" i="23"/>
  <c r="K162" i="23" a="1"/>
  <c r="J162" i="23" a="1"/>
  <c r="J162" i="23" s="1"/>
  <c r="I162" i="23" a="1"/>
  <c r="I162" i="23" s="1"/>
  <c r="H162" i="23"/>
  <c r="M161" i="23"/>
  <c r="M161" i="23" a="1"/>
  <c r="L161" i="23" a="1"/>
  <c r="L161" i="23" s="1"/>
  <c r="K161" i="23"/>
  <c r="K161" i="23" a="1"/>
  <c r="J161" i="23" a="1"/>
  <c r="J161" i="23" s="1"/>
  <c r="I161" i="23" a="1"/>
  <c r="I161" i="23" s="1"/>
  <c r="H161" i="23"/>
  <c r="M160" i="23" a="1"/>
  <c r="M160" i="23" s="1"/>
  <c r="L160" i="23" a="1"/>
  <c r="L160" i="23" s="1"/>
  <c r="K160" i="23" a="1"/>
  <c r="K160" i="23" s="1"/>
  <c r="J160" i="23" a="1"/>
  <c r="J160" i="23" s="1"/>
  <c r="I160" i="23" a="1"/>
  <c r="I160" i="23" s="1"/>
  <c r="H160" i="23"/>
  <c r="M159" i="23"/>
  <c r="M159" i="23" a="1"/>
  <c r="L159" i="23" a="1"/>
  <c r="L159" i="23" s="1"/>
  <c r="K159" i="23"/>
  <c r="K159" i="23" a="1"/>
  <c r="J159" i="23" a="1"/>
  <c r="J159" i="23" s="1"/>
  <c r="I159" i="23" a="1"/>
  <c r="I159" i="23" s="1"/>
  <c r="H159" i="23"/>
  <c r="M158" i="23"/>
  <c r="M158" i="23" a="1"/>
  <c r="L158" i="23" a="1"/>
  <c r="L158" i="23" s="1"/>
  <c r="K158" i="23" a="1"/>
  <c r="K158" i="23" s="1"/>
  <c r="J158" i="23" a="1"/>
  <c r="J158" i="23" s="1"/>
  <c r="I158" i="23" a="1"/>
  <c r="I158" i="23" s="1"/>
  <c r="H158" i="23"/>
  <c r="M157" i="23"/>
  <c r="M157" i="23" a="1"/>
  <c r="L157" i="23"/>
  <c r="L157" i="23" a="1"/>
  <c r="K157" i="23"/>
  <c r="K157" i="23" a="1"/>
  <c r="J157" i="23" a="1"/>
  <c r="J157" i="23" s="1"/>
  <c r="I157" i="23" a="1"/>
  <c r="I157" i="23" s="1"/>
  <c r="H157" i="23"/>
  <c r="M156" i="23" a="1"/>
  <c r="M156" i="23" s="1"/>
  <c r="L156" i="23"/>
  <c r="L156" i="23" a="1"/>
  <c r="K156" i="23" a="1"/>
  <c r="K156" i="23" s="1"/>
  <c r="J156" i="23" a="1"/>
  <c r="J156" i="23" s="1"/>
  <c r="I156" i="23" a="1"/>
  <c r="I156" i="23" s="1"/>
  <c r="H156" i="23"/>
  <c r="M155" i="23" a="1"/>
  <c r="M155" i="23" s="1"/>
  <c r="L155" i="23"/>
  <c r="L155" i="23" a="1"/>
  <c r="K155" i="23"/>
  <c r="K155" i="23" a="1"/>
  <c r="J155" i="23" a="1"/>
  <c r="J155" i="23" s="1"/>
  <c r="I155" i="23" a="1"/>
  <c r="I155" i="23" s="1"/>
  <c r="H155" i="23"/>
  <c r="M154" i="23" a="1"/>
  <c r="M154" i="23" s="1"/>
  <c r="L154" i="23" a="1"/>
  <c r="L154" i="23" s="1"/>
  <c r="K154" i="23"/>
  <c r="K154" i="23" a="1"/>
  <c r="J154" i="23" a="1"/>
  <c r="J154" i="23" s="1"/>
  <c r="I154" i="23" a="1"/>
  <c r="I154" i="23" s="1"/>
  <c r="H154" i="23"/>
  <c r="M153" i="23"/>
  <c r="M153" i="23" a="1"/>
  <c r="L153" i="23" a="1"/>
  <c r="L153" i="23" s="1"/>
  <c r="K153" i="23"/>
  <c r="K153" i="23" a="1"/>
  <c r="J153" i="23" a="1"/>
  <c r="J153" i="23" s="1"/>
  <c r="I153" i="23" a="1"/>
  <c r="I153" i="23" s="1"/>
  <c r="H153" i="23"/>
  <c r="M152" i="23" a="1"/>
  <c r="M152" i="23" s="1"/>
  <c r="L152" i="23" a="1"/>
  <c r="L152" i="23" s="1"/>
  <c r="K152" i="23" a="1"/>
  <c r="K152" i="23" s="1"/>
  <c r="J152" i="23" a="1"/>
  <c r="J152" i="23" s="1"/>
  <c r="I152" i="23" a="1"/>
  <c r="I152" i="23" s="1"/>
  <c r="H152" i="23"/>
  <c r="M151" i="23"/>
  <c r="M151" i="23" a="1"/>
  <c r="L151" i="23" a="1"/>
  <c r="L151" i="23" s="1"/>
  <c r="K151" i="23" a="1"/>
  <c r="K151" i="23" s="1"/>
  <c r="J151" i="23" a="1"/>
  <c r="J151" i="23" s="1"/>
  <c r="I151" i="23" a="1"/>
  <c r="I151" i="23" s="1"/>
  <c r="H151" i="23"/>
  <c r="M150" i="23"/>
  <c r="M150" i="23" a="1"/>
  <c r="L150" i="23" a="1"/>
  <c r="L150" i="23" s="1"/>
  <c r="K150" i="23" a="1"/>
  <c r="K150" i="23" s="1"/>
  <c r="J150" i="23" a="1"/>
  <c r="J150" i="23" s="1"/>
  <c r="I150" i="23" a="1"/>
  <c r="I150" i="23" s="1"/>
  <c r="H150" i="23"/>
  <c r="M149" i="23"/>
  <c r="M149" i="23" a="1"/>
  <c r="L149" i="23"/>
  <c r="L149" i="23" a="1"/>
  <c r="K149" i="23"/>
  <c r="K149" i="23" a="1"/>
  <c r="J149" i="23" a="1"/>
  <c r="J149" i="23" s="1"/>
  <c r="I149" i="23" a="1"/>
  <c r="I149" i="23" s="1"/>
  <c r="H149" i="23"/>
  <c r="M148" i="23" a="1"/>
  <c r="M148" i="23" s="1"/>
  <c r="L148" i="23"/>
  <c r="L148" i="23" a="1"/>
  <c r="K148" i="23" a="1"/>
  <c r="K148" i="23" s="1"/>
  <c r="J148" i="23" a="1"/>
  <c r="J148" i="23" s="1"/>
  <c r="I148" i="23" a="1"/>
  <c r="I148" i="23" s="1"/>
  <c r="H148" i="23"/>
  <c r="M147" i="23" a="1"/>
  <c r="M147" i="23" s="1"/>
  <c r="L147" i="23"/>
  <c r="L147" i="23" a="1"/>
  <c r="K147" i="23"/>
  <c r="K147" i="23" a="1"/>
  <c r="J147" i="23" a="1"/>
  <c r="J147" i="23" s="1"/>
  <c r="I147" i="23" a="1"/>
  <c r="I147" i="23" s="1"/>
  <c r="H147" i="23"/>
  <c r="M146" i="23" a="1"/>
  <c r="M146" i="23" s="1"/>
  <c r="L146" i="23" a="1"/>
  <c r="L146" i="23" s="1"/>
  <c r="K146" i="23"/>
  <c r="K146" i="23" a="1"/>
  <c r="J146" i="23" a="1"/>
  <c r="J146" i="23" s="1"/>
  <c r="I146" i="23" a="1"/>
  <c r="I146" i="23" s="1"/>
  <c r="H146" i="23"/>
  <c r="M145" i="23" a="1"/>
  <c r="M145" i="23" s="1"/>
  <c r="L145" i="23" a="1"/>
  <c r="L145" i="23" s="1"/>
  <c r="K145" i="23"/>
  <c r="K145" i="23" a="1"/>
  <c r="J145" i="23"/>
  <c r="J145" i="23" a="1"/>
  <c r="I145" i="23" a="1"/>
  <c r="I145" i="23" s="1"/>
  <c r="H145" i="23"/>
  <c r="M144" i="23" a="1"/>
  <c r="M144" i="23" s="1"/>
  <c r="L144" i="23" a="1"/>
  <c r="L144" i="23" s="1"/>
  <c r="K144" i="23" a="1"/>
  <c r="K144" i="23" s="1"/>
  <c r="J144" i="23" a="1"/>
  <c r="J144" i="23" s="1"/>
  <c r="I144" i="23" a="1"/>
  <c r="I144" i="23" s="1"/>
  <c r="H144" i="23"/>
  <c r="M143" i="23"/>
  <c r="M143" i="23" a="1"/>
  <c r="L143" i="23" a="1"/>
  <c r="L143" i="23" s="1"/>
  <c r="K143" i="23" a="1"/>
  <c r="K143" i="23" s="1"/>
  <c r="J143" i="23" a="1"/>
  <c r="J143" i="23" s="1"/>
  <c r="I143" i="23" a="1"/>
  <c r="I143" i="23" s="1"/>
  <c r="H143" i="23"/>
  <c r="M142" i="23"/>
  <c r="M142" i="23" a="1"/>
  <c r="L142" i="23" a="1"/>
  <c r="L142" i="23" s="1"/>
  <c r="K142" i="23" a="1"/>
  <c r="K142" i="23" s="1"/>
  <c r="J142" i="23" a="1"/>
  <c r="J142" i="23" s="1"/>
  <c r="I142" i="23" a="1"/>
  <c r="I142" i="23" s="1"/>
  <c r="H142" i="23"/>
  <c r="M141" i="23"/>
  <c r="M141" i="23" a="1"/>
  <c r="L141" i="23"/>
  <c r="L141" i="23" a="1"/>
  <c r="K141" i="23"/>
  <c r="K141" i="23" a="1"/>
  <c r="J141" i="23" a="1"/>
  <c r="J141" i="23" s="1"/>
  <c r="I141" i="23"/>
  <c r="I141" i="23" a="1"/>
  <c r="H141" i="23"/>
  <c r="M140" i="23" a="1"/>
  <c r="M140" i="23" s="1"/>
  <c r="L140" i="23"/>
  <c r="L140" i="23" a="1"/>
  <c r="K140" i="23" a="1"/>
  <c r="K140" i="23" s="1"/>
  <c r="J140" i="23" a="1"/>
  <c r="J140" i="23" s="1"/>
  <c r="I140" i="23" a="1"/>
  <c r="I140" i="23" s="1"/>
  <c r="H140" i="23"/>
  <c r="M139" i="23" a="1"/>
  <c r="M139" i="23" s="1"/>
  <c r="L139" i="23"/>
  <c r="L139" i="23" a="1"/>
  <c r="K139" i="23"/>
  <c r="K139" i="23" a="1"/>
  <c r="J139" i="23"/>
  <c r="J139" i="23" a="1"/>
  <c r="I139" i="23" a="1"/>
  <c r="I139" i="23" s="1"/>
  <c r="H139" i="23"/>
  <c r="M138" i="23" a="1"/>
  <c r="M138" i="23" s="1"/>
  <c r="L138" i="23" a="1"/>
  <c r="L138" i="23" s="1"/>
  <c r="K138" i="23"/>
  <c r="K138" i="23" a="1"/>
  <c r="J138" i="23" a="1"/>
  <c r="J138" i="23" s="1"/>
  <c r="I138" i="23" a="1"/>
  <c r="I138" i="23" s="1"/>
  <c r="H138" i="23"/>
  <c r="M137" i="23"/>
  <c r="M137" i="23" a="1"/>
  <c r="L137" i="23" a="1"/>
  <c r="L137" i="23" s="1"/>
  <c r="K137" i="23"/>
  <c r="K137" i="23" a="1"/>
  <c r="J137" i="23"/>
  <c r="J137" i="23" a="1"/>
  <c r="I137" i="23" a="1"/>
  <c r="I137" i="23" s="1"/>
  <c r="H137" i="23"/>
  <c r="M136" i="23" a="1"/>
  <c r="M136" i="23" s="1"/>
  <c r="L136" i="23" a="1"/>
  <c r="L136" i="23" s="1"/>
  <c r="K136" i="23" a="1"/>
  <c r="K136" i="23" s="1"/>
  <c r="J136" i="23" a="1"/>
  <c r="J136" i="23" s="1"/>
  <c r="I136" i="23" a="1"/>
  <c r="I136" i="23" s="1"/>
  <c r="H136" i="23"/>
  <c r="M135" i="23"/>
  <c r="M135" i="23" a="1"/>
  <c r="L135" i="23" a="1"/>
  <c r="L135" i="23" s="1"/>
  <c r="K135" i="23" a="1"/>
  <c r="K135" i="23" s="1"/>
  <c r="J135" i="23" a="1"/>
  <c r="J135" i="23" s="1"/>
  <c r="I135" i="23"/>
  <c r="I135" i="23" a="1"/>
  <c r="H135" i="23"/>
  <c r="M134" i="23"/>
  <c r="M134" i="23" a="1"/>
  <c r="L134" i="23" a="1"/>
  <c r="L134" i="23" s="1"/>
  <c r="K134" i="23" a="1"/>
  <c r="K134" i="23" s="1"/>
  <c r="J134" i="23" a="1"/>
  <c r="J134" i="23" s="1"/>
  <c r="I134" i="23"/>
  <c r="I134" i="23" a="1"/>
  <c r="H134" i="23"/>
  <c r="M133" i="23"/>
  <c r="M133" i="23" a="1"/>
  <c r="L133" i="23"/>
  <c r="L133" i="23" a="1"/>
  <c r="K133" i="23"/>
  <c r="K133" i="23" a="1"/>
  <c r="J133" i="23" a="1"/>
  <c r="J133" i="23" s="1"/>
  <c r="I133" i="23" a="1"/>
  <c r="I133" i="23" s="1"/>
  <c r="H133" i="23"/>
  <c r="M132" i="23" a="1"/>
  <c r="M132" i="23" s="1"/>
  <c r="L132" i="23"/>
  <c r="L132" i="23" a="1"/>
  <c r="K132" i="23" a="1"/>
  <c r="K132" i="23" s="1"/>
  <c r="J132" i="23" a="1"/>
  <c r="J132" i="23" s="1"/>
  <c r="I132" i="23" a="1"/>
  <c r="I132" i="23" s="1"/>
  <c r="H132" i="23"/>
  <c r="M131" i="23" a="1"/>
  <c r="M131" i="23" s="1"/>
  <c r="L131" i="23"/>
  <c r="L131" i="23" a="1"/>
  <c r="K131" i="23"/>
  <c r="K131" i="23" a="1"/>
  <c r="J131" i="23" a="1"/>
  <c r="J131" i="23" s="1"/>
  <c r="I131" i="23" a="1"/>
  <c r="I131" i="23" s="1"/>
  <c r="H131" i="23"/>
  <c r="M130" i="23" a="1"/>
  <c r="M130" i="23" s="1"/>
  <c r="L130" i="23" a="1"/>
  <c r="L130" i="23" s="1"/>
  <c r="K130" i="23"/>
  <c r="K130" i="23" a="1"/>
  <c r="J130" i="23" a="1"/>
  <c r="J130" i="23" s="1"/>
  <c r="I130" i="23" a="1"/>
  <c r="I130" i="23" s="1"/>
  <c r="H130" i="23"/>
  <c r="M129" i="23"/>
  <c r="M129" i="23" a="1"/>
  <c r="L129" i="23" a="1"/>
  <c r="L129" i="23" s="1"/>
  <c r="K129" i="23"/>
  <c r="K129" i="23" a="1"/>
  <c r="J129" i="23" a="1"/>
  <c r="J129" i="23" s="1"/>
  <c r="I129" i="23" a="1"/>
  <c r="I129" i="23" s="1"/>
  <c r="H129" i="23"/>
  <c r="M128" i="23" a="1"/>
  <c r="M128" i="23" s="1"/>
  <c r="L128" i="23" a="1"/>
  <c r="L128" i="23" s="1"/>
  <c r="K128" i="23" a="1"/>
  <c r="K128" i="23" s="1"/>
  <c r="J128" i="23"/>
  <c r="J128" i="23" a="1"/>
  <c r="I128" i="23" a="1"/>
  <c r="I128" i="23" s="1"/>
  <c r="H128" i="23"/>
  <c r="M127" i="23"/>
  <c r="M127" i="23" a="1"/>
  <c r="L127" i="23" a="1"/>
  <c r="L127" i="23" s="1"/>
  <c r="K127" i="23" a="1"/>
  <c r="K127" i="23" s="1"/>
  <c r="J127" i="23"/>
  <c r="J127" i="23" a="1"/>
  <c r="I127" i="23" a="1"/>
  <c r="I127" i="23" s="1"/>
  <c r="H127" i="23"/>
  <c r="M126" i="23"/>
  <c r="M126" i="23" a="1"/>
  <c r="L126" i="23" a="1"/>
  <c r="L126" i="23" s="1"/>
  <c r="K126" i="23" a="1"/>
  <c r="K126" i="23" s="1"/>
  <c r="J126" i="23" a="1"/>
  <c r="J126" i="23" s="1"/>
  <c r="I126" i="23" a="1"/>
  <c r="I126" i="23" s="1"/>
  <c r="H126" i="23"/>
  <c r="M125" i="23"/>
  <c r="M125" i="23" a="1"/>
  <c r="L125" i="23"/>
  <c r="L125" i="23" a="1"/>
  <c r="K125" i="23"/>
  <c r="K125" i="23" a="1"/>
  <c r="J125" i="23" a="1"/>
  <c r="J125" i="23" s="1"/>
  <c r="I125" i="23" a="1"/>
  <c r="I125" i="23" s="1"/>
  <c r="H125" i="23"/>
  <c r="M124" i="23" a="1"/>
  <c r="M124" i="23" s="1"/>
  <c r="L124" i="23"/>
  <c r="L124" i="23" a="1"/>
  <c r="K124" i="23" a="1"/>
  <c r="K124" i="23" s="1"/>
  <c r="J124" i="23" a="1"/>
  <c r="J124" i="23" s="1"/>
  <c r="I124" i="23" a="1"/>
  <c r="I124" i="23" s="1"/>
  <c r="H124" i="23"/>
  <c r="M123" i="23" a="1"/>
  <c r="M123" i="23" s="1"/>
  <c r="L123" i="23"/>
  <c r="L123" i="23" a="1"/>
  <c r="K123" i="23"/>
  <c r="K123" i="23" a="1"/>
  <c r="J123" i="23" a="1"/>
  <c r="J123" i="23" s="1"/>
  <c r="I123" i="23" a="1"/>
  <c r="I123" i="23" s="1"/>
  <c r="H123" i="23"/>
  <c r="M122" i="23" a="1"/>
  <c r="M122" i="23" s="1"/>
  <c r="L122" i="23" a="1"/>
  <c r="L122" i="23" s="1"/>
  <c r="K122" i="23"/>
  <c r="K122" i="23" a="1"/>
  <c r="J122" i="23" a="1"/>
  <c r="J122" i="23" s="1"/>
  <c r="I122" i="23" a="1"/>
  <c r="I122" i="23" s="1"/>
  <c r="H122" i="23"/>
  <c r="M121" i="23" a="1"/>
  <c r="M121" i="23" s="1"/>
  <c r="L121" i="23" a="1"/>
  <c r="L121" i="23" s="1"/>
  <c r="K121" i="23"/>
  <c r="K121" i="23" a="1"/>
  <c r="J121" i="23"/>
  <c r="J121" i="23" a="1"/>
  <c r="I121" i="23" a="1"/>
  <c r="I121" i="23" s="1"/>
  <c r="H121" i="23"/>
  <c r="M120" i="23" a="1"/>
  <c r="M120" i="23" s="1"/>
  <c r="L120" i="23" a="1"/>
  <c r="L120" i="23" s="1"/>
  <c r="K120" i="23" a="1"/>
  <c r="K120" i="23" s="1"/>
  <c r="J120" i="23" a="1"/>
  <c r="J120" i="23" s="1"/>
  <c r="I120" i="23" a="1"/>
  <c r="I120" i="23" s="1"/>
  <c r="H120" i="23"/>
  <c r="M119" i="23"/>
  <c r="M119" i="23" a="1"/>
  <c r="L119" i="23" a="1"/>
  <c r="L119" i="23" s="1"/>
  <c r="K119" i="23" a="1"/>
  <c r="K119" i="23" s="1"/>
  <c r="J119" i="23" a="1"/>
  <c r="J119" i="23" s="1"/>
  <c r="I119" i="23" a="1"/>
  <c r="I119" i="23" s="1"/>
  <c r="H119" i="23"/>
  <c r="M118" i="23"/>
  <c r="M118" i="23" a="1"/>
  <c r="L118" i="23" a="1"/>
  <c r="L118" i="23" s="1"/>
  <c r="K118" i="23" a="1"/>
  <c r="K118" i="23" s="1"/>
  <c r="J118" i="23" a="1"/>
  <c r="J118" i="23" s="1"/>
  <c r="I118" i="23" a="1"/>
  <c r="I118" i="23" s="1"/>
  <c r="H118" i="23"/>
  <c r="M117" i="23"/>
  <c r="M117" i="23" a="1"/>
  <c r="L117" i="23"/>
  <c r="L117" i="23" a="1"/>
  <c r="K117" i="23"/>
  <c r="K117" i="23" a="1"/>
  <c r="J117" i="23" a="1"/>
  <c r="J117" i="23" s="1"/>
  <c r="I117" i="23" a="1"/>
  <c r="I117" i="23" s="1"/>
  <c r="H117" i="23"/>
  <c r="M116" i="23" a="1"/>
  <c r="M116" i="23" s="1"/>
  <c r="L116" i="23"/>
  <c r="L116" i="23" a="1"/>
  <c r="K116" i="23" a="1"/>
  <c r="K116" i="23" s="1"/>
  <c r="J116" i="23" a="1"/>
  <c r="J116" i="23" s="1"/>
  <c r="I116" i="23" a="1"/>
  <c r="I116" i="23" s="1"/>
  <c r="H116" i="23"/>
  <c r="M115" i="23" a="1"/>
  <c r="M115" i="23" s="1"/>
  <c r="L115" i="23"/>
  <c r="L115" i="23" a="1"/>
  <c r="K115" i="23"/>
  <c r="K115" i="23" a="1"/>
  <c r="J115" i="23" a="1"/>
  <c r="J115" i="23" s="1"/>
  <c r="I115" i="23" a="1"/>
  <c r="I115" i="23" s="1"/>
  <c r="H115" i="23"/>
  <c r="M114" i="23" a="1"/>
  <c r="M114" i="23" s="1"/>
  <c r="L114" i="23" a="1"/>
  <c r="L114" i="23" s="1"/>
  <c r="K114" i="23"/>
  <c r="K114" i="23" a="1"/>
  <c r="J114" i="23" a="1"/>
  <c r="J114" i="23" s="1"/>
  <c r="I114" i="23" a="1"/>
  <c r="I114" i="23" s="1"/>
  <c r="H114" i="23"/>
  <c r="M113" i="23" a="1"/>
  <c r="M113" i="23" s="1"/>
  <c r="L113" i="23" a="1"/>
  <c r="L113" i="23" s="1"/>
  <c r="K113" i="23"/>
  <c r="K113" i="23" a="1"/>
  <c r="J113" i="23" a="1"/>
  <c r="J113" i="23" s="1"/>
  <c r="I113" i="23" a="1"/>
  <c r="I113" i="23" s="1"/>
  <c r="H113" i="23"/>
  <c r="M112" i="23" a="1"/>
  <c r="M112" i="23" s="1"/>
  <c r="L112" i="23" a="1"/>
  <c r="L112" i="23" s="1"/>
  <c r="K112" i="23" a="1"/>
  <c r="K112" i="23" s="1"/>
  <c r="J112" i="23" a="1"/>
  <c r="J112" i="23" s="1"/>
  <c r="I112" i="23" a="1"/>
  <c r="I112" i="23" s="1"/>
  <c r="H112" i="23"/>
  <c r="M111" i="23"/>
  <c r="M111" i="23" a="1"/>
  <c r="L111" i="23" a="1"/>
  <c r="L111" i="23" s="1"/>
  <c r="K111" i="23" a="1"/>
  <c r="K111" i="23" s="1"/>
  <c r="J111" i="23" a="1"/>
  <c r="J111" i="23" s="1"/>
  <c r="I111" i="23" a="1"/>
  <c r="I111" i="23" s="1"/>
  <c r="H111" i="23"/>
  <c r="M110" i="23"/>
  <c r="M110" i="23" a="1"/>
  <c r="L110" i="23" a="1"/>
  <c r="L110" i="23" s="1"/>
  <c r="K110" i="23" a="1"/>
  <c r="K110" i="23" s="1"/>
  <c r="J110" i="23" a="1"/>
  <c r="J110" i="23" s="1"/>
  <c r="I110" i="23" a="1"/>
  <c r="I110" i="23" s="1"/>
  <c r="H110" i="23"/>
  <c r="M109" i="23"/>
  <c r="M109" i="23" a="1"/>
  <c r="L109" i="23"/>
  <c r="L109" i="23" a="1"/>
  <c r="K109" i="23"/>
  <c r="K109" i="23" a="1"/>
  <c r="J109" i="23" a="1"/>
  <c r="J109" i="23" s="1"/>
  <c r="I109" i="23"/>
  <c r="I109" i="23" a="1"/>
  <c r="H109" i="23"/>
  <c r="M108" i="23" a="1"/>
  <c r="M108" i="23" s="1"/>
  <c r="L108" i="23"/>
  <c r="L108" i="23" a="1"/>
  <c r="K108" i="23" a="1"/>
  <c r="K108" i="23" s="1"/>
  <c r="J108" i="23" a="1"/>
  <c r="J108" i="23" s="1"/>
  <c r="I108" i="23" a="1"/>
  <c r="I108" i="23" s="1"/>
  <c r="H108" i="23"/>
  <c r="M107" i="23" a="1"/>
  <c r="M107" i="23" s="1"/>
  <c r="L107" i="23"/>
  <c r="L107" i="23" a="1"/>
  <c r="K107" i="23"/>
  <c r="K107" i="23" a="1"/>
  <c r="J107" i="23" a="1"/>
  <c r="J107" i="23" s="1"/>
  <c r="I107" i="23" a="1"/>
  <c r="I107" i="23" s="1"/>
  <c r="H107" i="23"/>
  <c r="M106" i="23" a="1"/>
  <c r="M106" i="23" s="1"/>
  <c r="L106" i="23" a="1"/>
  <c r="L106" i="23" s="1"/>
  <c r="K106" i="23"/>
  <c r="K106" i="23" a="1"/>
  <c r="J106" i="23" a="1"/>
  <c r="J106" i="23" s="1"/>
  <c r="I106" i="23" a="1"/>
  <c r="I106" i="23" s="1"/>
  <c r="H106" i="23"/>
  <c r="M105" i="23" a="1"/>
  <c r="M105" i="23" s="1"/>
  <c r="L105" i="23" a="1"/>
  <c r="L105" i="23" s="1"/>
  <c r="K105" i="23"/>
  <c r="K105" i="23" a="1"/>
  <c r="J105" i="23" a="1"/>
  <c r="J105" i="23" s="1"/>
  <c r="I105" i="23" a="1"/>
  <c r="I105" i="23" s="1"/>
  <c r="H105" i="23"/>
  <c r="M104" i="23" a="1"/>
  <c r="M104" i="23" s="1"/>
  <c r="L104" i="23" a="1"/>
  <c r="L104" i="23" s="1"/>
  <c r="K104" i="23" a="1"/>
  <c r="K104" i="23" s="1"/>
  <c r="J104" i="23"/>
  <c r="J104" i="23" a="1"/>
  <c r="I104" i="23" a="1"/>
  <c r="I104" i="23" s="1"/>
  <c r="H104" i="23"/>
  <c r="M103" i="23"/>
  <c r="M103" i="23" a="1"/>
  <c r="L103" i="23" a="1"/>
  <c r="L103" i="23" s="1"/>
  <c r="K103" i="23" a="1"/>
  <c r="K103" i="23" s="1"/>
  <c r="J103" i="23"/>
  <c r="J103" i="23" a="1"/>
  <c r="I103" i="23" a="1"/>
  <c r="I103" i="23" s="1"/>
  <c r="H103" i="23"/>
  <c r="M102" i="23"/>
  <c r="M102" i="23" a="1"/>
  <c r="L102" i="23" a="1"/>
  <c r="L102" i="23" s="1"/>
  <c r="K102" i="23" a="1"/>
  <c r="K102" i="23" s="1"/>
  <c r="J102" i="23" a="1"/>
  <c r="J102" i="23" s="1"/>
  <c r="I102" i="23" a="1"/>
  <c r="I102" i="23" s="1"/>
  <c r="H102" i="23"/>
  <c r="X101" i="23" a="1"/>
  <c r="X101" i="23" s="1"/>
  <c r="M101" i="23"/>
  <c r="M101" i="23" a="1"/>
  <c r="L101" i="23"/>
  <c r="L101" i="23" a="1"/>
  <c r="K101" i="23" a="1"/>
  <c r="K101" i="23" s="1"/>
  <c r="J101" i="23" a="1"/>
  <c r="J101" i="23" s="1"/>
  <c r="I101" i="23" a="1"/>
  <c r="I101" i="23" s="1"/>
  <c r="H101" i="23"/>
  <c r="X100" i="23" a="1"/>
  <c r="X100" i="23" s="1"/>
  <c r="M100" i="23" a="1"/>
  <c r="M100" i="23" s="1"/>
  <c r="L100" i="23" a="1"/>
  <c r="L100" i="23" s="1"/>
  <c r="K100" i="23" a="1"/>
  <c r="K100" i="23" s="1"/>
  <c r="J100" i="23" a="1"/>
  <c r="J100" i="23" s="1"/>
  <c r="I100" i="23" a="1"/>
  <c r="I100" i="23" s="1"/>
  <c r="H100" i="23"/>
  <c r="X99" i="23" a="1"/>
  <c r="X99" i="23" s="1"/>
  <c r="M99" i="23" a="1"/>
  <c r="M99" i="23" s="1"/>
  <c r="L99" i="23"/>
  <c r="L99" i="23" a="1"/>
  <c r="K99" i="23" a="1"/>
  <c r="K99" i="23" s="1"/>
  <c r="J99" i="23" a="1"/>
  <c r="J99" i="23" s="1"/>
  <c r="I99" i="23" a="1"/>
  <c r="I99" i="23" s="1"/>
  <c r="H99" i="23"/>
  <c r="X98" i="23" a="1"/>
  <c r="X98" i="23" s="1"/>
  <c r="M98" i="23" a="1"/>
  <c r="M98" i="23" s="1"/>
  <c r="L98" i="23"/>
  <c r="L98" i="23" a="1"/>
  <c r="K98" i="23" a="1"/>
  <c r="K98" i="23" s="1"/>
  <c r="J98" i="23" a="1"/>
  <c r="J98" i="23" s="1"/>
  <c r="I98" i="23" a="1"/>
  <c r="I98" i="23" s="1"/>
  <c r="H98" i="23"/>
  <c r="X97" i="23" a="1"/>
  <c r="X97" i="23" s="1"/>
  <c r="M97" i="23"/>
  <c r="M97" i="23" a="1"/>
  <c r="L97" i="23" a="1"/>
  <c r="L97" i="23" s="1"/>
  <c r="K97" i="23" a="1"/>
  <c r="K97" i="23" s="1"/>
  <c r="J97" i="23" a="1"/>
  <c r="J97" i="23" s="1"/>
  <c r="I97" i="23" a="1"/>
  <c r="I97" i="23" s="1"/>
  <c r="H97" i="23"/>
  <c r="X96" i="23" a="1"/>
  <c r="X96" i="23" s="1"/>
  <c r="M96" i="23"/>
  <c r="M96" i="23" a="1"/>
  <c r="L96" i="23" a="1"/>
  <c r="L96" i="23" s="1"/>
  <c r="K96" i="23" a="1"/>
  <c r="K96" i="23" s="1"/>
  <c r="J96" i="23" a="1"/>
  <c r="J96" i="23" s="1"/>
  <c r="I96" i="23" a="1"/>
  <c r="I96" i="23" s="1"/>
  <c r="H96" i="23"/>
  <c r="X95" i="23" a="1"/>
  <c r="X95" i="23" s="1"/>
  <c r="M95" i="23" a="1"/>
  <c r="M95" i="23" s="1"/>
  <c r="L95" i="23" a="1"/>
  <c r="L95" i="23" s="1"/>
  <c r="K95" i="23" a="1"/>
  <c r="K95" i="23" s="1"/>
  <c r="J95" i="23" a="1"/>
  <c r="J95" i="23" s="1"/>
  <c r="I95" i="23" a="1"/>
  <c r="I95" i="23" s="1"/>
  <c r="H95" i="23"/>
  <c r="X94" i="23" a="1"/>
  <c r="X94" i="23" s="1"/>
  <c r="M94" i="23" a="1"/>
  <c r="M94" i="23" s="1"/>
  <c r="L94" i="23"/>
  <c r="L94" i="23" a="1"/>
  <c r="K94" i="23" a="1"/>
  <c r="K94" i="23" s="1"/>
  <c r="J94" i="23"/>
  <c r="J94" i="23" a="1"/>
  <c r="I94" i="23" a="1"/>
  <c r="I94" i="23" s="1"/>
  <c r="H94" i="23"/>
  <c r="X93" i="23" a="1"/>
  <c r="X93" i="23" s="1"/>
  <c r="M93" i="23"/>
  <c r="M93" i="23" a="1"/>
  <c r="L93" i="23" a="1"/>
  <c r="L93" i="23" s="1"/>
  <c r="K93" i="23"/>
  <c r="K93" i="23" a="1"/>
  <c r="J93" i="23" a="1"/>
  <c r="J93" i="23" s="1"/>
  <c r="I93" i="23" a="1"/>
  <c r="I93" i="23" s="1"/>
  <c r="H93" i="23"/>
  <c r="X92" i="23" a="1"/>
  <c r="X92" i="23" s="1"/>
  <c r="M92" i="23"/>
  <c r="M92" i="23" a="1"/>
  <c r="L92" i="23" a="1"/>
  <c r="L92" i="23" s="1"/>
  <c r="K92" i="23"/>
  <c r="K92" i="23" a="1"/>
  <c r="J92" i="23" a="1"/>
  <c r="J92" i="23" s="1"/>
  <c r="I92" i="23" a="1"/>
  <c r="I92" i="23" s="1"/>
  <c r="H92" i="23"/>
  <c r="X91" i="23" a="1"/>
  <c r="X91" i="23" s="1"/>
  <c r="M91" i="23" a="1"/>
  <c r="M91" i="23" s="1"/>
  <c r="L91" i="23"/>
  <c r="L91" i="23" a="1"/>
  <c r="K91" i="23" a="1"/>
  <c r="K91" i="23" s="1"/>
  <c r="J91" i="23"/>
  <c r="J91" i="23" a="1"/>
  <c r="I91" i="23" a="1"/>
  <c r="I91" i="23" s="1"/>
  <c r="H91" i="23"/>
  <c r="X90" i="23" a="1"/>
  <c r="X90" i="23" s="1"/>
  <c r="M90" i="23" a="1"/>
  <c r="M90" i="23" s="1"/>
  <c r="L90" i="23"/>
  <c r="L90" i="23" a="1"/>
  <c r="K90" i="23" a="1"/>
  <c r="K90" i="23" s="1"/>
  <c r="J90" i="23" a="1"/>
  <c r="J90" i="23" s="1"/>
  <c r="I90" i="23" a="1"/>
  <c r="I90" i="23" s="1"/>
  <c r="H90" i="23"/>
  <c r="X89" i="23" a="1"/>
  <c r="X89" i="23" s="1"/>
  <c r="M89" i="23"/>
  <c r="M89" i="23" a="1"/>
  <c r="L89" i="23" a="1"/>
  <c r="L89" i="23" s="1"/>
  <c r="K89" i="23"/>
  <c r="K89" i="23" a="1"/>
  <c r="J89" i="23" a="1"/>
  <c r="J89" i="23" s="1"/>
  <c r="I89" i="23"/>
  <c r="I89" i="23" a="1"/>
  <c r="H89" i="23"/>
  <c r="X88" i="23" a="1"/>
  <c r="X88" i="23" s="1"/>
  <c r="M88" i="23"/>
  <c r="M88" i="23" a="1"/>
  <c r="L88" i="23" a="1"/>
  <c r="L88" i="23" s="1"/>
  <c r="K88" i="23" a="1"/>
  <c r="K88" i="23" s="1"/>
  <c r="J88" i="23" a="1"/>
  <c r="J88" i="23" s="1"/>
  <c r="I88" i="23"/>
  <c r="I88" i="23" a="1"/>
  <c r="H88" i="23"/>
  <c r="X87" i="23" a="1"/>
  <c r="X87" i="23" s="1"/>
  <c r="M87" i="23" a="1"/>
  <c r="M87" i="23" s="1"/>
  <c r="L87" i="23" a="1"/>
  <c r="L87" i="23" s="1"/>
  <c r="K87" i="23" a="1"/>
  <c r="K87" i="23" s="1"/>
  <c r="J87" i="23"/>
  <c r="J87" i="23" a="1"/>
  <c r="I87" i="23" a="1"/>
  <c r="I87" i="23" s="1"/>
  <c r="H87" i="23"/>
  <c r="X86" i="23" a="1"/>
  <c r="X86" i="23" s="1"/>
  <c r="M86" i="23" a="1"/>
  <c r="M86" i="23" s="1"/>
  <c r="L86" i="23"/>
  <c r="L86" i="23" a="1"/>
  <c r="K86" i="23" a="1"/>
  <c r="K86" i="23" s="1"/>
  <c r="J86" i="23" a="1"/>
  <c r="J86" i="23" s="1"/>
  <c r="I86" i="23" a="1"/>
  <c r="I86" i="23" s="1"/>
  <c r="H86" i="23"/>
  <c r="X85" i="23" a="1"/>
  <c r="X85" i="23" s="1"/>
  <c r="M85" i="23"/>
  <c r="M85" i="23" a="1"/>
  <c r="L85" i="23" a="1"/>
  <c r="L85" i="23" s="1"/>
  <c r="K85" i="23"/>
  <c r="K85" i="23" a="1"/>
  <c r="J85" i="23" a="1"/>
  <c r="J85" i="23" s="1"/>
  <c r="I85" i="23" a="1"/>
  <c r="I85" i="23" s="1"/>
  <c r="H85" i="23"/>
  <c r="X84" i="23" a="1"/>
  <c r="X84" i="23" s="1"/>
  <c r="M84" i="23"/>
  <c r="M84" i="23" a="1"/>
  <c r="L84" i="23" a="1"/>
  <c r="L84" i="23" s="1"/>
  <c r="K84" i="23"/>
  <c r="K84" i="23" a="1"/>
  <c r="J84" i="23" a="1"/>
  <c r="J84" i="23" s="1"/>
  <c r="I84" i="23" a="1"/>
  <c r="I84" i="23" s="1"/>
  <c r="H84" i="23"/>
  <c r="X83" i="23" a="1"/>
  <c r="X83" i="23" s="1"/>
  <c r="M83" i="23" a="1"/>
  <c r="M83" i="23" s="1"/>
  <c r="L83" i="23"/>
  <c r="L83" i="23" a="1"/>
  <c r="K83" i="23" a="1"/>
  <c r="K83" i="23" s="1"/>
  <c r="J83" i="23" a="1"/>
  <c r="J83" i="23" s="1"/>
  <c r="I83" i="23" a="1"/>
  <c r="I83" i="23" s="1"/>
  <c r="H83" i="23"/>
  <c r="X82" i="23" a="1"/>
  <c r="X82" i="23" s="1"/>
  <c r="M82" i="23" a="1"/>
  <c r="M82" i="23" s="1"/>
  <c r="L82" i="23"/>
  <c r="L82" i="23" a="1"/>
  <c r="K82" i="23" a="1"/>
  <c r="K82" i="23" s="1"/>
  <c r="J82" i="23" a="1"/>
  <c r="J82" i="23" s="1"/>
  <c r="I82" i="23" a="1"/>
  <c r="I82" i="23" s="1"/>
  <c r="H82" i="23"/>
  <c r="X81" i="23" a="1"/>
  <c r="X81" i="23" s="1"/>
  <c r="M81" i="23"/>
  <c r="M81" i="23" a="1"/>
  <c r="L81" i="23" a="1"/>
  <c r="L81" i="23" s="1"/>
  <c r="K81" i="23" a="1"/>
  <c r="K81" i="23" s="1"/>
  <c r="J81" i="23" a="1"/>
  <c r="J81" i="23" s="1"/>
  <c r="I81" i="23" a="1"/>
  <c r="I81" i="23" s="1"/>
  <c r="H81" i="23"/>
  <c r="X80" i="23" a="1"/>
  <c r="X80" i="23" s="1"/>
  <c r="M80" i="23"/>
  <c r="M80" i="23" a="1"/>
  <c r="L80" i="23" a="1"/>
  <c r="L80" i="23" s="1"/>
  <c r="K80" i="23" a="1"/>
  <c r="K80" i="23" s="1"/>
  <c r="J80" i="23" a="1"/>
  <c r="J80" i="23" s="1"/>
  <c r="I80" i="23" a="1"/>
  <c r="I80" i="23" s="1"/>
  <c r="H80" i="23"/>
  <c r="X79" i="23" a="1"/>
  <c r="X79" i="23" s="1"/>
  <c r="M79" i="23" a="1"/>
  <c r="M79" i="23" s="1"/>
  <c r="L79" i="23"/>
  <c r="L79" i="23" a="1"/>
  <c r="K79" i="23" a="1"/>
  <c r="K79" i="23" s="1"/>
  <c r="J79" i="23" a="1"/>
  <c r="J79" i="23" s="1"/>
  <c r="I79" i="23" a="1"/>
  <c r="I79" i="23" s="1"/>
  <c r="H79" i="23"/>
  <c r="X78" i="23" a="1"/>
  <c r="X78" i="23" s="1"/>
  <c r="M78" i="23" a="1"/>
  <c r="M78" i="23" s="1"/>
  <c r="L78" i="23"/>
  <c r="L78" i="23" a="1"/>
  <c r="K78" i="23" a="1"/>
  <c r="K78" i="23" s="1"/>
  <c r="J78" i="23"/>
  <c r="J78" i="23" a="1"/>
  <c r="I78" i="23" a="1"/>
  <c r="I78" i="23" s="1"/>
  <c r="H78" i="23"/>
  <c r="X77" i="23" a="1"/>
  <c r="X77" i="23" s="1"/>
  <c r="M77" i="23" a="1"/>
  <c r="M77" i="23" s="1"/>
  <c r="L77" i="23" a="1"/>
  <c r="L77" i="23" s="1"/>
  <c r="K77" i="23"/>
  <c r="K77" i="23" a="1"/>
  <c r="J77" i="23" a="1"/>
  <c r="J77" i="23" s="1"/>
  <c r="I77" i="23" a="1"/>
  <c r="I77" i="23" s="1"/>
  <c r="H77" i="23"/>
  <c r="X76" i="23" a="1"/>
  <c r="X76" i="23" s="1"/>
  <c r="M76" i="23"/>
  <c r="M76" i="23" a="1"/>
  <c r="L76" i="23" a="1"/>
  <c r="L76" i="23" s="1"/>
  <c r="K76" i="23"/>
  <c r="K76" i="23" a="1"/>
  <c r="J76" i="23" a="1"/>
  <c r="J76" i="23" s="1"/>
  <c r="I76" i="23"/>
  <c r="I76" i="23" a="1"/>
  <c r="H76" i="23"/>
  <c r="X75" i="23" a="1"/>
  <c r="X75" i="23" s="1"/>
  <c r="M75" i="23" a="1"/>
  <c r="M75" i="23" s="1"/>
  <c r="L75" i="23"/>
  <c r="L75" i="23" a="1"/>
  <c r="K75" i="23" a="1"/>
  <c r="K75" i="23" s="1"/>
  <c r="J75" i="23" a="1"/>
  <c r="J75" i="23" s="1"/>
  <c r="I75" i="23" a="1"/>
  <c r="I75" i="23" s="1"/>
  <c r="H75" i="23"/>
  <c r="X74" i="23" a="1"/>
  <c r="X74" i="23" s="1"/>
  <c r="M74" i="23" a="1"/>
  <c r="M74" i="23" s="1"/>
  <c r="L74" i="23"/>
  <c r="L74" i="23" a="1"/>
  <c r="K74" i="23" a="1"/>
  <c r="K74" i="23" s="1"/>
  <c r="J74" i="23" a="1"/>
  <c r="J74" i="23" s="1"/>
  <c r="I74" i="23" a="1"/>
  <c r="I74" i="23" s="1"/>
  <c r="H74" i="23"/>
  <c r="X73" i="23" a="1"/>
  <c r="X73" i="23" s="1"/>
  <c r="M73" i="23"/>
  <c r="M73" i="23" a="1"/>
  <c r="L73" i="23" a="1"/>
  <c r="L73" i="23" s="1"/>
  <c r="K73" i="23" a="1"/>
  <c r="K73" i="23" s="1"/>
  <c r="J73" i="23" a="1"/>
  <c r="J73" i="23" s="1"/>
  <c r="I73" i="23"/>
  <c r="I73" i="23" a="1"/>
  <c r="H73" i="23"/>
  <c r="X72" i="23" a="1"/>
  <c r="X72" i="23" s="1"/>
  <c r="M72" i="23"/>
  <c r="M72" i="23" a="1"/>
  <c r="L72" i="23" a="1"/>
  <c r="L72" i="23" s="1"/>
  <c r="K72" i="23" a="1"/>
  <c r="K72" i="23" s="1"/>
  <c r="J72" i="23" a="1"/>
  <c r="J72" i="23" s="1"/>
  <c r="I72" i="23" a="1"/>
  <c r="I72" i="23" s="1"/>
  <c r="H72" i="23"/>
  <c r="X71" i="23" a="1"/>
  <c r="X71" i="23" s="1"/>
  <c r="M71" i="23" a="1"/>
  <c r="M71" i="23" s="1"/>
  <c r="L71" i="23"/>
  <c r="L71" i="23" a="1"/>
  <c r="K71" i="23" a="1"/>
  <c r="K71" i="23" s="1"/>
  <c r="J71" i="23" a="1"/>
  <c r="J71" i="23" s="1"/>
  <c r="I71" i="23" a="1"/>
  <c r="I71" i="23" s="1"/>
  <c r="H71" i="23"/>
  <c r="X70" i="23" a="1"/>
  <c r="X70" i="23" s="1"/>
  <c r="M70" i="23" a="1"/>
  <c r="M70" i="23" s="1"/>
  <c r="L70" i="23"/>
  <c r="L70" i="23" a="1"/>
  <c r="K70" i="23"/>
  <c r="K70" i="23" a="1"/>
  <c r="J70" i="23" a="1"/>
  <c r="J70" i="23" s="1"/>
  <c r="I70" i="23" a="1"/>
  <c r="I70" i="23" s="1"/>
  <c r="H70" i="23"/>
  <c r="X69" i="23" a="1"/>
  <c r="X69" i="23" s="1"/>
  <c r="M69" i="23"/>
  <c r="M69" i="23" a="1"/>
  <c r="L69" i="23" a="1"/>
  <c r="L69" i="23" s="1"/>
  <c r="K69" i="23"/>
  <c r="K69" i="23" a="1"/>
  <c r="J69" i="23" a="1"/>
  <c r="J69" i="23" s="1"/>
  <c r="I69" i="23" a="1"/>
  <c r="I69" i="23" s="1"/>
  <c r="H69" i="23"/>
  <c r="X68" i="23" a="1"/>
  <c r="X68" i="23" s="1"/>
  <c r="M68" i="23"/>
  <c r="M68" i="23" a="1"/>
  <c r="L68" i="23" a="1"/>
  <c r="L68" i="23" s="1"/>
  <c r="K68" i="23"/>
  <c r="K68" i="23" a="1"/>
  <c r="J68" i="23" a="1"/>
  <c r="J68" i="23" s="1"/>
  <c r="I68" i="23" a="1"/>
  <c r="I68" i="23" s="1"/>
  <c r="H68" i="23"/>
  <c r="X67" i="23" a="1"/>
  <c r="X67" i="23" s="1"/>
  <c r="M67" i="23"/>
  <c r="M67" i="23" a="1"/>
  <c r="L67" i="23"/>
  <c r="L67" i="23" a="1"/>
  <c r="K67" i="23" a="1"/>
  <c r="K67" i="23" s="1"/>
  <c r="J67" i="23" a="1"/>
  <c r="J67" i="23" s="1"/>
  <c r="I67" i="23" a="1"/>
  <c r="I67" i="23" s="1"/>
  <c r="H67" i="23"/>
  <c r="X66" i="23" a="1"/>
  <c r="X66" i="23" s="1"/>
  <c r="M66" i="23"/>
  <c r="M66" i="23" a="1"/>
  <c r="L66" i="23"/>
  <c r="L66" i="23" a="1"/>
  <c r="K66" i="23" a="1"/>
  <c r="K66" i="23" s="1"/>
  <c r="J66" i="23" a="1"/>
  <c r="J66" i="23" s="1"/>
  <c r="I66" i="23"/>
  <c r="I66" i="23" a="1"/>
  <c r="H66" i="23"/>
  <c r="X65" i="23" a="1"/>
  <c r="X65" i="23" s="1"/>
  <c r="M65" i="23"/>
  <c r="M65" i="23" a="1"/>
  <c r="L65" i="23" a="1"/>
  <c r="L65" i="23" s="1"/>
  <c r="K65" i="23"/>
  <c r="K65" i="23" a="1"/>
  <c r="J65" i="23" a="1"/>
  <c r="J65" i="23" s="1"/>
  <c r="I65" i="23" a="1"/>
  <c r="I65" i="23" s="1"/>
  <c r="H65" i="23"/>
  <c r="X64" i="23" a="1"/>
  <c r="X64" i="23" s="1"/>
  <c r="M64" i="23"/>
  <c r="M64" i="23" a="1"/>
  <c r="L64" i="23" a="1"/>
  <c r="L64" i="23" s="1"/>
  <c r="K64" i="23" a="1"/>
  <c r="K64" i="23" s="1"/>
  <c r="J64" i="23" a="1"/>
  <c r="J64" i="23" s="1"/>
  <c r="I64" i="23" a="1"/>
  <c r="I64" i="23" s="1"/>
  <c r="H64" i="23"/>
  <c r="X63" i="23" a="1"/>
  <c r="X63" i="23" s="1"/>
  <c r="M63" i="23" a="1"/>
  <c r="M63" i="23" s="1"/>
  <c r="L63" i="23" a="1"/>
  <c r="L63" i="23" s="1"/>
  <c r="K63" i="23" a="1"/>
  <c r="K63" i="23" s="1"/>
  <c r="J63" i="23" a="1"/>
  <c r="J63" i="23" s="1"/>
  <c r="I63" i="23" a="1"/>
  <c r="I63" i="23" s="1"/>
  <c r="H63" i="23"/>
  <c r="X62" i="23" a="1"/>
  <c r="X62" i="23" s="1"/>
  <c r="M62" i="23" a="1"/>
  <c r="M62" i="23" s="1"/>
  <c r="L62" i="23"/>
  <c r="L62" i="23" a="1"/>
  <c r="K62" i="23" a="1"/>
  <c r="K62" i="23" s="1"/>
  <c r="J62" i="23"/>
  <c r="J62" i="23" a="1"/>
  <c r="I62" i="23" a="1"/>
  <c r="I62" i="23" s="1"/>
  <c r="H62" i="23"/>
  <c r="X61" i="23" a="1"/>
  <c r="X61" i="23" s="1"/>
  <c r="M61" i="23" a="1"/>
  <c r="M61" i="23" s="1"/>
  <c r="L61" i="23"/>
  <c r="L61" i="23" a="1"/>
  <c r="K61" i="23" a="1"/>
  <c r="K61" i="23" s="1"/>
  <c r="J61" i="23" a="1"/>
  <c r="J61" i="23" s="1"/>
  <c r="I61" i="23" a="1"/>
  <c r="I61" i="23" s="1"/>
  <c r="H61" i="23"/>
  <c r="X60" i="23" a="1"/>
  <c r="X60" i="23" s="1"/>
  <c r="M60" i="23"/>
  <c r="M60" i="23" a="1"/>
  <c r="L60" i="23"/>
  <c r="L60" i="23" a="1"/>
  <c r="K60" i="23" a="1"/>
  <c r="K60" i="23" s="1"/>
  <c r="J60" i="23" a="1"/>
  <c r="J60" i="23" s="1"/>
  <c r="I60" i="23" a="1"/>
  <c r="I60" i="23" s="1"/>
  <c r="H60" i="23"/>
  <c r="X59" i="23" a="1"/>
  <c r="X59" i="23" s="1"/>
  <c r="M59" i="23"/>
  <c r="M59" i="23" a="1"/>
  <c r="L59" i="23" a="1"/>
  <c r="L59" i="23" s="1"/>
  <c r="K59" i="23" a="1"/>
  <c r="K59" i="23" s="1"/>
  <c r="J59" i="23"/>
  <c r="J59" i="23" a="1"/>
  <c r="I59" i="23" a="1"/>
  <c r="I59" i="23" s="1"/>
  <c r="H59" i="23"/>
  <c r="X58" i="23" a="1"/>
  <c r="X58" i="23" s="1"/>
  <c r="M58" i="23"/>
  <c r="M58" i="23" a="1"/>
  <c r="L58" i="23" a="1"/>
  <c r="L58" i="23" s="1"/>
  <c r="K58" i="23"/>
  <c r="K58" i="23" a="1"/>
  <c r="J58" i="23" a="1"/>
  <c r="J58" i="23" s="1"/>
  <c r="I58" i="23" a="1"/>
  <c r="I58" i="23" s="1"/>
  <c r="H58" i="23"/>
  <c r="X57" i="23" a="1"/>
  <c r="X57" i="23" s="1"/>
  <c r="M57" i="23" a="1"/>
  <c r="M57" i="23" s="1"/>
  <c r="L57" i="23" a="1"/>
  <c r="L57" i="23" s="1"/>
  <c r="K57" i="23" a="1"/>
  <c r="K57" i="23" s="1"/>
  <c r="J57" i="23"/>
  <c r="J57" i="23" a="1"/>
  <c r="I57" i="23" a="1"/>
  <c r="I57" i="23" s="1"/>
  <c r="H57" i="23"/>
  <c r="X56" i="23" a="1"/>
  <c r="X56" i="23" s="1"/>
  <c r="M56" i="23" a="1"/>
  <c r="M56" i="23" s="1"/>
  <c r="L56" i="23"/>
  <c r="L56" i="23" a="1"/>
  <c r="K56" i="23" a="1"/>
  <c r="K56" i="23" s="1"/>
  <c r="J56" i="23" a="1"/>
  <c r="J56" i="23" s="1"/>
  <c r="I56" i="23" a="1"/>
  <c r="I56" i="23" s="1"/>
  <c r="H56" i="23"/>
  <c r="X55" i="23" a="1"/>
  <c r="X55" i="23" s="1"/>
  <c r="M55" i="23" a="1"/>
  <c r="M55" i="23" s="1"/>
  <c r="L55" i="23"/>
  <c r="L55" i="23" a="1"/>
  <c r="K55" i="23"/>
  <c r="K55" i="23" a="1"/>
  <c r="J55" i="23" a="1"/>
  <c r="J55" i="23" s="1"/>
  <c r="I55" i="23" a="1"/>
  <c r="I55" i="23" s="1"/>
  <c r="H55" i="23"/>
  <c r="X54" i="23" a="1"/>
  <c r="X54" i="23" s="1"/>
  <c r="M54" i="23"/>
  <c r="M54" i="23" a="1"/>
  <c r="L54" i="23" a="1"/>
  <c r="L54" i="23" s="1"/>
  <c r="K54" i="23"/>
  <c r="K54" i="23" a="1"/>
  <c r="J54" i="23" a="1"/>
  <c r="J54" i="23" s="1"/>
  <c r="I54" i="23" a="1"/>
  <c r="I54" i="23" s="1"/>
  <c r="H54" i="23"/>
  <c r="X53" i="23" a="1"/>
  <c r="X53" i="23" s="1"/>
  <c r="M53" i="23"/>
  <c r="M53" i="23" a="1"/>
  <c r="L53" i="23"/>
  <c r="L53" i="23" a="1"/>
  <c r="K53" i="23" a="1"/>
  <c r="K53" i="23" s="1"/>
  <c r="J53" i="23" a="1"/>
  <c r="J53" i="23" s="1"/>
  <c r="I53" i="23" a="1"/>
  <c r="I53" i="23" s="1"/>
  <c r="H53" i="23"/>
  <c r="X52" i="23" a="1"/>
  <c r="X52" i="23" s="1"/>
  <c r="M52" i="23" a="1"/>
  <c r="M52" i="23" s="1"/>
  <c r="L52" i="23"/>
  <c r="L52" i="23" a="1"/>
  <c r="K52" i="23" a="1"/>
  <c r="K52" i="23" s="1"/>
  <c r="J52" i="23" a="1"/>
  <c r="J52" i="23" s="1"/>
  <c r="I52" i="23" a="1"/>
  <c r="I52" i="23" s="1"/>
  <c r="H52" i="23"/>
  <c r="X51" i="23" a="1"/>
  <c r="X51" i="23" s="1"/>
  <c r="M51" i="23"/>
  <c r="M51" i="23" a="1"/>
  <c r="L51" i="23" a="1"/>
  <c r="L51" i="23" s="1"/>
  <c r="K51" i="23" a="1"/>
  <c r="K51" i="23" s="1"/>
  <c r="J51" i="23" a="1"/>
  <c r="J51" i="23" s="1"/>
  <c r="I51" i="23" a="1"/>
  <c r="I51" i="23" s="1"/>
  <c r="H51" i="23"/>
  <c r="X50" i="23" a="1"/>
  <c r="X50" i="23" s="1"/>
  <c r="M50" i="23"/>
  <c r="M50" i="23" a="1"/>
  <c r="L50" i="23" a="1"/>
  <c r="L50" i="23" s="1"/>
  <c r="K50" i="23"/>
  <c r="K50" i="23" a="1"/>
  <c r="J50" i="23" a="1"/>
  <c r="J50" i="23" s="1"/>
  <c r="I50" i="23" a="1"/>
  <c r="I50" i="23" s="1"/>
  <c r="H50" i="23"/>
  <c r="X49" i="23" a="1"/>
  <c r="X49" i="23" s="1"/>
  <c r="M49" i="23" a="1"/>
  <c r="M49" i="23" s="1"/>
  <c r="L49" i="23" a="1"/>
  <c r="L49" i="23" s="1"/>
  <c r="K49" i="23" a="1"/>
  <c r="K49" i="23" s="1"/>
  <c r="J49" i="23" a="1"/>
  <c r="J49" i="23" s="1"/>
  <c r="I49" i="23" a="1"/>
  <c r="I49" i="23" s="1"/>
  <c r="H49" i="23"/>
  <c r="X48" i="23" a="1"/>
  <c r="X48" i="23" s="1"/>
  <c r="M48" i="23" a="1"/>
  <c r="M48" i="23" s="1"/>
  <c r="L48" i="23"/>
  <c r="L48" i="23" a="1"/>
  <c r="K48" i="23" a="1"/>
  <c r="K48" i="23" s="1"/>
  <c r="J48" i="23"/>
  <c r="J48" i="23" a="1"/>
  <c r="I48" i="23" a="1"/>
  <c r="I48" i="23" s="1"/>
  <c r="H48" i="23"/>
  <c r="X47" i="23" a="1"/>
  <c r="X47" i="23" s="1"/>
  <c r="M47" i="23" a="1"/>
  <c r="M47" i="23" s="1"/>
  <c r="L47" i="23"/>
  <c r="L47" i="23" a="1"/>
  <c r="K47" i="23"/>
  <c r="K47" i="23" a="1"/>
  <c r="J47" i="23" a="1"/>
  <c r="J47" i="23" s="1"/>
  <c r="I47" i="23" a="1"/>
  <c r="I47" i="23" s="1"/>
  <c r="H47" i="23"/>
  <c r="X46" i="23" a="1"/>
  <c r="X46" i="23" s="1"/>
  <c r="M46" i="23"/>
  <c r="M46" i="23" a="1"/>
  <c r="L46" i="23" a="1"/>
  <c r="L46" i="23" s="1"/>
  <c r="K46" i="23"/>
  <c r="K46" i="23" a="1"/>
  <c r="J46" i="23" a="1"/>
  <c r="J46" i="23" s="1"/>
  <c r="I46" i="23" a="1"/>
  <c r="I46" i="23" s="1"/>
  <c r="H46" i="23"/>
  <c r="X45" i="23" a="1"/>
  <c r="X45" i="23" s="1"/>
  <c r="M45" i="23"/>
  <c r="M45" i="23" a="1"/>
  <c r="L45" i="23"/>
  <c r="L45" i="23" a="1"/>
  <c r="K45" i="23" a="1"/>
  <c r="K45" i="23" s="1"/>
  <c r="J45" i="23" a="1"/>
  <c r="J45" i="23" s="1"/>
  <c r="I45" i="23" a="1"/>
  <c r="I45" i="23" s="1"/>
  <c r="H45" i="23"/>
  <c r="X44" i="23" a="1"/>
  <c r="X44" i="23" s="1"/>
  <c r="M44" i="23" a="1"/>
  <c r="M44" i="23" s="1"/>
  <c r="L44" i="23"/>
  <c r="L44" i="23" a="1"/>
  <c r="K44" i="23" a="1"/>
  <c r="K44" i="23" s="1"/>
  <c r="J44" i="23" a="1"/>
  <c r="J44" i="23" s="1"/>
  <c r="I44" i="23" a="1"/>
  <c r="I44" i="23" s="1"/>
  <c r="H44" i="23"/>
  <c r="X43" i="23" a="1"/>
  <c r="X43" i="23" s="1"/>
  <c r="M43" i="23"/>
  <c r="M43" i="23" a="1"/>
  <c r="L43" i="23" a="1"/>
  <c r="L43" i="23" s="1"/>
  <c r="K43" i="23" a="1"/>
  <c r="K43" i="23" s="1"/>
  <c r="J43" i="23" a="1"/>
  <c r="J43" i="23" s="1"/>
  <c r="I43" i="23" a="1"/>
  <c r="I43" i="23" s="1"/>
  <c r="H43" i="23"/>
  <c r="X42" i="23" a="1"/>
  <c r="X42" i="23" s="1"/>
  <c r="M42" i="23"/>
  <c r="M42" i="23" a="1"/>
  <c r="L42" i="23" a="1"/>
  <c r="L42" i="23" s="1"/>
  <c r="K42" i="23"/>
  <c r="K42" i="23" a="1"/>
  <c r="J42" i="23" a="1"/>
  <c r="J42" i="23" s="1"/>
  <c r="I42" i="23" a="1"/>
  <c r="I42" i="23" s="1"/>
  <c r="H42" i="23"/>
  <c r="X41" i="23" a="1"/>
  <c r="X41" i="23" s="1"/>
  <c r="M41" i="23" a="1"/>
  <c r="M41" i="23" s="1"/>
  <c r="L41" i="23" a="1"/>
  <c r="L41" i="23" s="1"/>
  <c r="K41" i="23" a="1"/>
  <c r="K41" i="23" s="1"/>
  <c r="J41" i="23"/>
  <c r="J41" i="23" a="1"/>
  <c r="I41" i="23" a="1"/>
  <c r="I41" i="23" s="1"/>
  <c r="H41" i="23"/>
  <c r="X40" i="23" a="1"/>
  <c r="X40" i="23" s="1"/>
  <c r="M40" i="23" a="1"/>
  <c r="M40" i="23" s="1"/>
  <c r="L40" i="23"/>
  <c r="L40" i="23" a="1"/>
  <c r="K40" i="23" a="1"/>
  <c r="K40" i="23" s="1"/>
  <c r="J40" i="23" a="1"/>
  <c r="J40" i="23" s="1"/>
  <c r="I40" i="23" a="1"/>
  <c r="I40" i="23" s="1"/>
  <c r="H40" i="23"/>
  <c r="X39" i="23" a="1"/>
  <c r="X39" i="23" s="1"/>
  <c r="M39" i="23" a="1"/>
  <c r="M39" i="23" s="1"/>
  <c r="L39" i="23"/>
  <c r="L39" i="23" a="1"/>
  <c r="K39" i="23"/>
  <c r="K39" i="23" a="1"/>
  <c r="J39" i="23" a="1"/>
  <c r="J39" i="23" s="1"/>
  <c r="I39" i="23" a="1"/>
  <c r="I39" i="23" s="1"/>
  <c r="H39" i="23"/>
  <c r="X38" i="23" a="1"/>
  <c r="X38" i="23" s="1"/>
  <c r="M38" i="23"/>
  <c r="M38" i="23" a="1"/>
  <c r="L38" i="23" a="1"/>
  <c r="L38" i="23" s="1"/>
  <c r="K38" i="23"/>
  <c r="K38" i="23" a="1"/>
  <c r="J38" i="23" a="1"/>
  <c r="J38" i="23" s="1"/>
  <c r="I38" i="23" a="1"/>
  <c r="I38" i="23" s="1"/>
  <c r="H38" i="23"/>
  <c r="X37" i="23" a="1"/>
  <c r="X37" i="23" s="1"/>
  <c r="M37" i="23"/>
  <c r="M37" i="23" a="1"/>
  <c r="L37" i="23"/>
  <c r="L37" i="23" a="1"/>
  <c r="K37" i="23" a="1"/>
  <c r="K37" i="23" s="1"/>
  <c r="J37" i="23" a="1"/>
  <c r="J37" i="23" s="1"/>
  <c r="I37" i="23" a="1"/>
  <c r="I37" i="23" s="1"/>
  <c r="H37" i="23"/>
  <c r="X36" i="23" a="1"/>
  <c r="X36" i="23" s="1"/>
  <c r="M36" i="23" a="1"/>
  <c r="M36" i="23" s="1"/>
  <c r="L36" i="23"/>
  <c r="L36" i="23" a="1"/>
  <c r="K36" i="23" a="1"/>
  <c r="K36" i="23" s="1"/>
  <c r="J36" i="23" a="1"/>
  <c r="J36" i="23" s="1"/>
  <c r="I36" i="23" a="1"/>
  <c r="I36" i="23" s="1"/>
  <c r="H36" i="23"/>
  <c r="X35" i="23" a="1"/>
  <c r="X35" i="23" s="1"/>
  <c r="M35" i="23"/>
  <c r="M35" i="23" a="1"/>
  <c r="L35" i="23" a="1"/>
  <c r="L35" i="23" s="1"/>
  <c r="K35" i="23" a="1"/>
  <c r="K35" i="23" s="1"/>
  <c r="J35" i="23" a="1"/>
  <c r="J35" i="23" s="1"/>
  <c r="I35" i="23" a="1"/>
  <c r="I35" i="23" s="1"/>
  <c r="H35" i="23"/>
  <c r="X34" i="23" a="1"/>
  <c r="X34" i="23" s="1"/>
  <c r="M34" i="23"/>
  <c r="M34" i="23" a="1"/>
  <c r="L34" i="23" a="1"/>
  <c r="L34" i="23" s="1"/>
  <c r="K34" i="23"/>
  <c r="K34" i="23" a="1"/>
  <c r="J34" i="23" a="1"/>
  <c r="J34" i="23" s="1"/>
  <c r="I34" i="23" a="1"/>
  <c r="I34" i="23" s="1"/>
  <c r="H34" i="23"/>
  <c r="X33" i="23" a="1"/>
  <c r="X33" i="23" s="1"/>
  <c r="M33" i="23" a="1"/>
  <c r="M33" i="23" s="1"/>
  <c r="L33" i="23" a="1"/>
  <c r="L33" i="23" s="1"/>
  <c r="K33" i="23" a="1"/>
  <c r="K33" i="23" s="1"/>
  <c r="J33" i="23"/>
  <c r="J33" i="23" a="1"/>
  <c r="I33" i="23" a="1"/>
  <c r="I33" i="23" s="1"/>
  <c r="H33" i="23"/>
  <c r="X32" i="23" a="1"/>
  <c r="X32" i="23" s="1"/>
  <c r="M32" i="23" a="1"/>
  <c r="M32" i="23" s="1"/>
  <c r="L32" i="23"/>
  <c r="L32" i="23" a="1"/>
  <c r="K32" i="23" a="1"/>
  <c r="K32" i="23" s="1"/>
  <c r="J32" i="23" a="1"/>
  <c r="J32" i="23" s="1"/>
  <c r="I32" i="23" a="1"/>
  <c r="I32" i="23" s="1"/>
  <c r="H32" i="23"/>
  <c r="X31" i="23" a="1"/>
  <c r="X31" i="23" s="1"/>
  <c r="M31" i="23" a="1"/>
  <c r="M31" i="23" s="1"/>
  <c r="L31" i="23"/>
  <c r="L31" i="23" a="1"/>
  <c r="K31" i="23"/>
  <c r="K31" i="23" a="1"/>
  <c r="J31" i="23" a="1"/>
  <c r="J31" i="23" s="1"/>
  <c r="I31" i="23" a="1"/>
  <c r="I31" i="23" s="1"/>
  <c r="H31" i="23"/>
  <c r="X30" i="23" a="1"/>
  <c r="X30" i="23" s="1"/>
  <c r="M30" i="23"/>
  <c r="M30" i="23" a="1"/>
  <c r="L30" i="23" a="1"/>
  <c r="L30" i="23" s="1"/>
  <c r="K30" i="23"/>
  <c r="K30" i="23" a="1"/>
  <c r="J30" i="23" a="1"/>
  <c r="J30" i="23" s="1"/>
  <c r="I30" i="23" a="1"/>
  <c r="I30" i="23" s="1"/>
  <c r="H30" i="23"/>
  <c r="X29" i="23" a="1"/>
  <c r="X29" i="23" s="1"/>
  <c r="M29" i="23"/>
  <c r="M29" i="23" a="1"/>
  <c r="L29" i="23"/>
  <c r="L29" i="23" a="1"/>
  <c r="K29" i="23" a="1"/>
  <c r="K29" i="23" s="1"/>
  <c r="J29" i="23" a="1"/>
  <c r="J29" i="23" s="1"/>
  <c r="I29" i="23" a="1"/>
  <c r="I29" i="23" s="1"/>
  <c r="H29" i="23"/>
  <c r="X28" i="23" a="1"/>
  <c r="X28" i="23" s="1"/>
  <c r="M28" i="23" a="1"/>
  <c r="M28" i="23" s="1"/>
  <c r="L28" i="23"/>
  <c r="L28" i="23" a="1"/>
  <c r="K28" i="23" a="1"/>
  <c r="K28" i="23" s="1"/>
  <c r="J28" i="23" a="1"/>
  <c r="J28" i="23" s="1"/>
  <c r="I28" i="23" a="1"/>
  <c r="I28" i="23" s="1"/>
  <c r="H28" i="23"/>
  <c r="X27" i="23" a="1"/>
  <c r="X27" i="23" s="1"/>
  <c r="M27" i="23"/>
  <c r="M27" i="23" a="1"/>
  <c r="L27" i="23" a="1"/>
  <c r="L27" i="23" s="1"/>
  <c r="K27" i="23" a="1"/>
  <c r="K27" i="23" s="1"/>
  <c r="J27" i="23" a="1"/>
  <c r="J27" i="23" s="1"/>
  <c r="I27" i="23" a="1"/>
  <c r="I27" i="23" s="1"/>
  <c r="H27" i="23"/>
  <c r="X26" i="23" a="1"/>
  <c r="X26" i="23" s="1"/>
  <c r="M26" i="23"/>
  <c r="M26" i="23" a="1"/>
  <c r="L26" i="23" a="1"/>
  <c r="L26" i="23" s="1"/>
  <c r="K26" i="23"/>
  <c r="K26" i="23" a="1"/>
  <c r="J26" i="23" a="1"/>
  <c r="J26" i="23" s="1"/>
  <c r="I26" i="23" a="1"/>
  <c r="I26" i="23" s="1"/>
  <c r="H26" i="23"/>
  <c r="X25" i="23" a="1"/>
  <c r="X25" i="23" s="1"/>
  <c r="M25" i="23" a="1"/>
  <c r="M25" i="23" s="1"/>
  <c r="L25" i="23" a="1"/>
  <c r="L25" i="23" s="1"/>
  <c r="K25" i="23" a="1"/>
  <c r="K25" i="23" s="1"/>
  <c r="J25" i="23"/>
  <c r="J25" i="23" a="1"/>
  <c r="I25" i="23" a="1"/>
  <c r="I25" i="23" s="1"/>
  <c r="H25" i="23"/>
  <c r="X24" i="23" a="1"/>
  <c r="X24" i="23" s="1"/>
  <c r="M24" i="23" a="1"/>
  <c r="M24" i="23" s="1"/>
  <c r="L24" i="23"/>
  <c r="L24" i="23" a="1"/>
  <c r="K24" i="23" a="1"/>
  <c r="K24" i="23" s="1"/>
  <c r="J24" i="23" a="1"/>
  <c r="J24" i="23" s="1"/>
  <c r="I24" i="23" a="1"/>
  <c r="I24" i="23" s="1"/>
  <c r="H24" i="23"/>
  <c r="X23" i="23" a="1"/>
  <c r="X23" i="23" s="1"/>
  <c r="M23" i="23" a="1"/>
  <c r="M23" i="23" s="1"/>
  <c r="L23" i="23"/>
  <c r="L23" i="23" a="1"/>
  <c r="K23" i="23"/>
  <c r="K23" i="23" a="1"/>
  <c r="J23" i="23" a="1"/>
  <c r="J23" i="23" s="1"/>
  <c r="I23" i="23" a="1"/>
  <c r="I23" i="23" s="1"/>
  <c r="H23" i="23"/>
  <c r="X22" i="23" a="1"/>
  <c r="X22" i="23" s="1"/>
  <c r="M22" i="23"/>
  <c r="M22" i="23" a="1"/>
  <c r="L22" i="23" a="1"/>
  <c r="L22" i="23" s="1"/>
  <c r="K22" i="23"/>
  <c r="K22" i="23" a="1"/>
  <c r="J22" i="23" a="1"/>
  <c r="J22" i="23" s="1"/>
  <c r="I22" i="23" a="1"/>
  <c r="I22" i="23" s="1"/>
  <c r="H22" i="23"/>
  <c r="X21" i="23" a="1"/>
  <c r="X21" i="23" s="1"/>
  <c r="M21" i="23"/>
  <c r="M21" i="23" a="1"/>
  <c r="L21" i="23"/>
  <c r="L21" i="23" a="1"/>
  <c r="K21" i="23" a="1"/>
  <c r="K21" i="23" s="1"/>
  <c r="J21" i="23" a="1"/>
  <c r="J21" i="23" s="1"/>
  <c r="I21" i="23" a="1"/>
  <c r="I21" i="23" s="1"/>
  <c r="H21" i="23"/>
  <c r="X20" i="23" a="1"/>
  <c r="X20" i="23" s="1"/>
  <c r="M20" i="23" a="1"/>
  <c r="M20" i="23" s="1"/>
  <c r="L20" i="23"/>
  <c r="L20" i="23" a="1"/>
  <c r="K20" i="23" a="1"/>
  <c r="K20" i="23" s="1"/>
  <c r="J20" i="23" a="1"/>
  <c r="J20" i="23" s="1"/>
  <c r="I20" i="23" a="1"/>
  <c r="I20" i="23" s="1"/>
  <c r="H20" i="23"/>
  <c r="X19" i="23" a="1"/>
  <c r="X19" i="23" s="1"/>
  <c r="M19" i="23"/>
  <c r="M19" i="23" a="1"/>
  <c r="L19" i="23" a="1"/>
  <c r="L19" i="23" s="1"/>
  <c r="K19" i="23" a="1"/>
  <c r="K19" i="23" s="1"/>
  <c r="J19" i="23" a="1"/>
  <c r="J19" i="23" s="1"/>
  <c r="I19" i="23" a="1"/>
  <c r="I19" i="23" s="1"/>
  <c r="H19" i="23"/>
  <c r="X18" i="23" a="1"/>
  <c r="X18" i="23" s="1"/>
  <c r="M18" i="23"/>
  <c r="M18" i="23" a="1"/>
  <c r="L18" i="23" a="1"/>
  <c r="L18" i="23" s="1"/>
  <c r="K18" i="23"/>
  <c r="K18" i="23" a="1"/>
  <c r="J18" i="23" a="1"/>
  <c r="J18" i="23" s="1"/>
  <c r="I18" i="23" a="1"/>
  <c r="I18" i="23" s="1"/>
  <c r="H18" i="23"/>
  <c r="X17" i="23" a="1"/>
  <c r="X17" i="23" s="1"/>
  <c r="M17" i="23" a="1"/>
  <c r="M17" i="23" s="1"/>
  <c r="L17" i="23" a="1"/>
  <c r="L17" i="23" s="1"/>
  <c r="K17" i="23" a="1"/>
  <c r="K17" i="23" s="1"/>
  <c r="J17" i="23" a="1"/>
  <c r="J17" i="23" s="1"/>
  <c r="I17" i="23" a="1"/>
  <c r="I17" i="23" s="1"/>
  <c r="H17" i="23"/>
  <c r="X16" i="23" a="1"/>
  <c r="X16" i="23" s="1"/>
  <c r="M16" i="23" a="1"/>
  <c r="M16" i="23" s="1"/>
  <c r="L16" i="23"/>
  <c r="L16" i="23" a="1"/>
  <c r="K16" i="23" a="1"/>
  <c r="K16" i="23" s="1"/>
  <c r="J16" i="23" a="1"/>
  <c r="J16" i="23" s="1"/>
  <c r="I16" i="23" a="1"/>
  <c r="I16" i="23" s="1"/>
  <c r="H16" i="23"/>
  <c r="X15" i="23" a="1"/>
  <c r="X15" i="23" s="1"/>
  <c r="M15" i="23" a="1"/>
  <c r="M15" i="23" s="1"/>
  <c r="L15" i="23"/>
  <c r="L15" i="23" a="1"/>
  <c r="K15" i="23"/>
  <c r="K15" i="23" a="1"/>
  <c r="J15" i="23" a="1"/>
  <c r="J15" i="23" s="1"/>
  <c r="I15" i="23" a="1"/>
  <c r="I15" i="23" s="1"/>
  <c r="H15" i="23"/>
  <c r="X14" i="23" a="1"/>
  <c r="X14" i="23" s="1"/>
  <c r="M14" i="23"/>
  <c r="M14" i="23" a="1"/>
  <c r="L14" i="23" a="1"/>
  <c r="L14" i="23" s="1"/>
  <c r="K14" i="23"/>
  <c r="K14" i="23" a="1"/>
  <c r="J14" i="23" a="1"/>
  <c r="J14" i="23" s="1"/>
  <c r="I14" i="23" a="1"/>
  <c r="I14" i="23" s="1"/>
  <c r="H14" i="23"/>
  <c r="X13" i="23" a="1"/>
  <c r="X13" i="23" s="1"/>
  <c r="M13" i="23"/>
  <c r="M13" i="23" a="1"/>
  <c r="L13" i="23"/>
  <c r="L13" i="23" a="1"/>
  <c r="K13" i="23" a="1"/>
  <c r="K13" i="23" s="1"/>
  <c r="J13" i="23" a="1"/>
  <c r="J13" i="23" s="1"/>
  <c r="I13" i="23" a="1"/>
  <c r="I13" i="23" s="1"/>
  <c r="H13" i="23"/>
  <c r="X12" i="23" a="1"/>
  <c r="X12" i="23" s="1"/>
  <c r="M12" i="23" a="1"/>
  <c r="M12" i="23" s="1"/>
  <c r="L12" i="23"/>
  <c r="L12" i="23" a="1"/>
  <c r="K12" i="23" a="1"/>
  <c r="K12" i="23" s="1"/>
  <c r="J12" i="23" a="1"/>
  <c r="J12" i="23" s="1"/>
  <c r="I12" i="23" a="1"/>
  <c r="I12" i="23" s="1"/>
  <c r="H12" i="23"/>
  <c r="X11" i="23" a="1"/>
  <c r="X11" i="23" s="1"/>
  <c r="M11" i="23"/>
  <c r="M11" i="23" a="1"/>
  <c r="L11" i="23" a="1"/>
  <c r="L11" i="23" s="1"/>
  <c r="K11" i="23" a="1"/>
  <c r="K11" i="23" s="1"/>
  <c r="J11" i="23" a="1"/>
  <c r="J11" i="23" s="1"/>
  <c r="I11" i="23" a="1"/>
  <c r="I11" i="23" s="1"/>
  <c r="H11" i="23"/>
  <c r="X10" i="23" a="1"/>
  <c r="X10" i="23" s="1"/>
  <c r="M10" i="23"/>
  <c r="M10" i="23" a="1"/>
  <c r="L10" i="23" a="1"/>
  <c r="L10" i="23" s="1"/>
  <c r="K10" i="23"/>
  <c r="K10" i="23" a="1"/>
  <c r="J10" i="23" a="1"/>
  <c r="J10" i="23" s="1"/>
  <c r="I10" i="23" a="1"/>
  <c r="I10" i="23" s="1"/>
  <c r="H10" i="23"/>
  <c r="X9" i="23" a="1"/>
  <c r="X9" i="23" s="1"/>
  <c r="M9" i="23" a="1"/>
  <c r="M9" i="23" s="1"/>
  <c r="L9" i="23" a="1"/>
  <c r="L9" i="23" s="1"/>
  <c r="K9" i="23" a="1"/>
  <c r="K9" i="23" s="1"/>
  <c r="J9" i="23"/>
  <c r="J9" i="23" a="1"/>
  <c r="I9" i="23" a="1"/>
  <c r="I9" i="23" s="1"/>
  <c r="H9" i="23"/>
  <c r="X8" i="23" a="1"/>
  <c r="X8" i="23" s="1"/>
  <c r="M8" i="23" a="1"/>
  <c r="M8" i="23" s="1"/>
  <c r="L8" i="23"/>
  <c r="L8" i="23" a="1"/>
  <c r="K8" i="23" a="1"/>
  <c r="K8" i="23" s="1"/>
  <c r="J8" i="23" a="1"/>
  <c r="J8" i="23" s="1"/>
  <c r="I8" i="23" a="1"/>
  <c r="I8" i="23" s="1"/>
  <c r="H8" i="23"/>
  <c r="X7" i="23" a="1"/>
  <c r="X7" i="23" s="1"/>
  <c r="M7" i="23" a="1"/>
  <c r="M7" i="23" s="1"/>
  <c r="L7" i="23"/>
  <c r="L7" i="23" a="1"/>
  <c r="K7" i="23"/>
  <c r="K7" i="23" a="1"/>
  <c r="J7" i="23" a="1"/>
  <c r="J7" i="23" s="1"/>
  <c r="I7" i="23" a="1"/>
  <c r="I7" i="23" s="1"/>
  <c r="H7" i="23"/>
  <c r="X6" i="23" a="1"/>
  <c r="X6" i="23" s="1"/>
  <c r="M6" i="23"/>
  <c r="M6" i="23" a="1"/>
  <c r="L6" i="23" a="1"/>
  <c r="L6" i="23" s="1"/>
  <c r="K6" i="23"/>
  <c r="K6" i="23" a="1"/>
  <c r="J6" i="23" a="1"/>
  <c r="J6" i="23" s="1"/>
  <c r="I6" i="23" a="1"/>
  <c r="I6" i="23" s="1"/>
  <c r="H6" i="23"/>
  <c r="X5" i="23" a="1"/>
  <c r="X5" i="23" s="1"/>
  <c r="M5" i="23"/>
  <c r="M5" i="23" a="1"/>
  <c r="L5" i="23"/>
  <c r="L5" i="23" a="1"/>
  <c r="K5" i="23" a="1"/>
  <c r="K5" i="23" s="1"/>
  <c r="J5" i="23" a="1"/>
  <c r="J5" i="23" s="1"/>
  <c r="I5" i="23" a="1"/>
  <c r="I5" i="23" s="1"/>
  <c r="H5" i="23"/>
  <c r="X4" i="23" a="1"/>
  <c r="X4" i="23" s="1"/>
  <c r="M4" i="23" a="1"/>
  <c r="M4" i="23" s="1"/>
  <c r="L4" i="23"/>
  <c r="L4" i="23" a="1"/>
  <c r="K4" i="23" a="1"/>
  <c r="K4" i="23" s="1"/>
  <c r="J4" i="23" a="1"/>
  <c r="J4" i="23" s="1"/>
  <c r="I4" i="23" a="1"/>
  <c r="I4" i="23" s="1"/>
  <c r="H4" i="23"/>
  <c r="X3" i="23" a="1"/>
  <c r="X3" i="23" s="1"/>
  <c r="M3" i="23"/>
  <c r="L3" i="23"/>
  <c r="K3" i="23"/>
  <c r="J3" i="23"/>
  <c r="I3" i="23"/>
  <c r="W3" i="23" s="1" a="1"/>
  <c r="H3" i="23"/>
  <c r="W3" i="23" l="1"/>
  <c r="C137" i="13" s="1"/>
  <c r="C138" i="13"/>
  <c r="C139" i="13"/>
  <c r="B69" i="2"/>
  <c r="F12" i="22"/>
  <c r="H7" i="22"/>
  <c r="I33" i="22"/>
  <c r="I32" i="22"/>
  <c r="I31" i="22"/>
  <c r="Z7" i="22"/>
  <c r="X7" i="22"/>
  <c r="F27" i="22" l="1"/>
  <c r="F15" i="22"/>
  <c r="H15" i="22"/>
  <c r="H27" i="22"/>
  <c r="F21" i="22"/>
  <c r="D13" i="22"/>
  <c r="D12" i="22"/>
  <c r="D15" i="22" s="1"/>
  <c r="D21" i="22" l="1"/>
  <c r="D14" i="22"/>
  <c r="D26" i="22"/>
  <c r="D27" i="22" s="1"/>
  <c r="H26" i="22"/>
  <c r="F26" i="22"/>
  <c r="F22" i="22" s="1"/>
  <c r="H14" i="22"/>
  <c r="F14" i="22"/>
  <c r="H13" i="22"/>
  <c r="F13" i="22"/>
  <c r="H12" i="22"/>
  <c r="A7" i="22"/>
  <c r="D22" i="22" l="1"/>
  <c r="H21" i="22"/>
  <c r="H64" i="13"/>
  <c r="H65" i="13"/>
  <c r="H66" i="13"/>
  <c r="H67" i="13"/>
  <c r="H68" i="13"/>
  <c r="H69" i="13"/>
  <c r="H70" i="13"/>
  <c r="H71" i="13"/>
  <c r="H72" i="13"/>
  <c r="H73" i="13"/>
  <c r="H74" i="13"/>
  <c r="H75" i="13"/>
  <c r="H76" i="13"/>
  <c r="F64" i="13"/>
  <c r="F65" i="13"/>
  <c r="F66" i="13"/>
  <c r="F67" i="13"/>
  <c r="F68" i="13"/>
  <c r="F69" i="13"/>
  <c r="F70" i="13"/>
  <c r="F71" i="13"/>
  <c r="F72" i="13"/>
  <c r="F73" i="13"/>
  <c r="F74" i="13"/>
  <c r="F75" i="13"/>
  <c r="F76" i="13"/>
  <c r="C64" i="13"/>
  <c r="C65" i="13"/>
  <c r="C66" i="13"/>
  <c r="C67" i="13"/>
  <c r="C68" i="13"/>
  <c r="C69" i="13"/>
  <c r="C70" i="13"/>
  <c r="C71" i="13"/>
  <c r="C72" i="13"/>
  <c r="C73" i="13"/>
  <c r="C74" i="13"/>
  <c r="C75" i="13"/>
  <c r="C76" i="13"/>
  <c r="H125" i="13"/>
  <c r="H126" i="13"/>
  <c r="H127" i="13"/>
  <c r="H128" i="13"/>
  <c r="H129" i="13"/>
  <c r="H130" i="13"/>
  <c r="H131" i="13"/>
  <c r="H132" i="13"/>
  <c r="H133" i="13"/>
  <c r="H134" i="13"/>
  <c r="H135" i="13"/>
  <c r="H136" i="13"/>
  <c r="F125" i="13"/>
  <c r="F126" i="13"/>
  <c r="F127" i="13"/>
  <c r="F128" i="13"/>
  <c r="F129" i="13"/>
  <c r="F130" i="13"/>
  <c r="F131" i="13"/>
  <c r="F132" i="13"/>
  <c r="F133" i="13"/>
  <c r="F134" i="13"/>
  <c r="F135" i="13"/>
  <c r="F136" i="13"/>
  <c r="C125" i="13"/>
  <c r="C126" i="13"/>
  <c r="C127" i="13"/>
  <c r="C128" i="13"/>
  <c r="C129" i="13"/>
  <c r="C130" i="13"/>
  <c r="C131" i="13"/>
  <c r="C132" i="13"/>
  <c r="C133" i="13"/>
  <c r="C134" i="13"/>
  <c r="C135" i="13"/>
  <c r="C136" i="13"/>
  <c r="H22" i="22" l="1"/>
  <c r="R4" i="12" a="1"/>
  <c r="R4" i="12" s="1"/>
  <c r="V4" i="12" a="1"/>
  <c r="V4" i="12" s="1"/>
  <c r="U4" i="12" a="1"/>
  <c r="U4" i="12" s="1"/>
  <c r="C28" i="3" l="1"/>
  <c r="C29" i="3"/>
  <c r="C30" i="3"/>
  <c r="C31" i="3"/>
  <c r="C32" i="3"/>
  <c r="C33" i="3"/>
  <c r="R5" i="18" l="1" a="1"/>
  <c r="R5" i="18" s="1"/>
  <c r="C78" i="13" s="1"/>
  <c r="R5" i="17" l="1" a="1"/>
  <c r="R5" i="17" s="1"/>
  <c r="S5" i="17" a="1"/>
  <c r="S5" i="17" s="1"/>
  <c r="T5" i="17" a="1"/>
  <c r="T5" i="17" s="1"/>
  <c r="U5" i="17" a="1"/>
  <c r="U5" i="17" s="1"/>
  <c r="R6" i="17" a="1"/>
  <c r="R6" i="17" s="1"/>
  <c r="S6" i="17" a="1"/>
  <c r="S6" i="17" s="1"/>
  <c r="T6" i="17" a="1"/>
  <c r="T6" i="17" s="1"/>
  <c r="U6" i="17" a="1"/>
  <c r="U6" i="17" s="1"/>
  <c r="R7" i="17" a="1"/>
  <c r="R7" i="17" s="1"/>
  <c r="S7" i="17" a="1"/>
  <c r="S7" i="17" s="1"/>
  <c r="T7" i="17" a="1"/>
  <c r="T7" i="17" s="1"/>
  <c r="U7" i="17" a="1"/>
  <c r="U7" i="17" s="1"/>
  <c r="R8" i="17" a="1"/>
  <c r="R8" i="17" s="1"/>
  <c r="S8" i="17" a="1"/>
  <c r="S8" i="17" s="1"/>
  <c r="T8" i="17" a="1"/>
  <c r="T8" i="17" s="1"/>
  <c r="U8" i="17" a="1"/>
  <c r="U8" i="17" s="1"/>
  <c r="R9" i="17" a="1"/>
  <c r="R9" i="17" s="1"/>
  <c r="S9" i="17" a="1"/>
  <c r="S9" i="17" s="1"/>
  <c r="T9" i="17" a="1"/>
  <c r="T9" i="17" s="1"/>
  <c r="U9" i="17" a="1"/>
  <c r="U9" i="17" s="1"/>
  <c r="R10" i="17" a="1"/>
  <c r="R10" i="17" s="1"/>
  <c r="S10" i="17" a="1"/>
  <c r="S10" i="17" s="1"/>
  <c r="T10" i="17" a="1"/>
  <c r="T10" i="17" s="1"/>
  <c r="U10" i="17" a="1"/>
  <c r="U10" i="17" s="1"/>
  <c r="R11" i="17" a="1"/>
  <c r="R11" i="17" s="1"/>
  <c r="S11" i="17" a="1"/>
  <c r="S11" i="17" s="1"/>
  <c r="T11" i="17" a="1"/>
  <c r="T11" i="17" s="1"/>
  <c r="U11" i="17" a="1"/>
  <c r="U11" i="17" s="1"/>
  <c r="R12" i="17" a="1"/>
  <c r="R12" i="17" s="1"/>
  <c r="S12" i="17" a="1"/>
  <c r="S12" i="17" s="1"/>
  <c r="T12" i="17" a="1"/>
  <c r="T12" i="17" s="1"/>
  <c r="U12" i="17" a="1"/>
  <c r="U12" i="17" s="1"/>
  <c r="R13" i="17" a="1"/>
  <c r="R13" i="17" s="1"/>
  <c r="S13" i="17" a="1"/>
  <c r="S13" i="17" s="1"/>
  <c r="T13" i="17" a="1"/>
  <c r="T13" i="17" s="1"/>
  <c r="U13" i="17" a="1"/>
  <c r="U13" i="17" s="1"/>
  <c r="R14" i="17" a="1"/>
  <c r="R14" i="17" s="1"/>
  <c r="S14" i="17" a="1"/>
  <c r="S14" i="17" s="1"/>
  <c r="T14" i="17" a="1"/>
  <c r="T14" i="17" s="1"/>
  <c r="U14" i="17" a="1"/>
  <c r="U14" i="17" s="1"/>
  <c r="R15" i="17" a="1"/>
  <c r="R15" i="17" s="1"/>
  <c r="S15" i="17" a="1"/>
  <c r="S15" i="17" s="1"/>
  <c r="T15" i="17" a="1"/>
  <c r="T15" i="17" s="1"/>
  <c r="U15" i="17" a="1"/>
  <c r="U15" i="17" s="1"/>
  <c r="R16" i="17" a="1"/>
  <c r="R16" i="17" s="1"/>
  <c r="S16" i="17" a="1"/>
  <c r="S16" i="17" s="1"/>
  <c r="T16" i="17" a="1"/>
  <c r="T16" i="17" s="1"/>
  <c r="U16" i="17" a="1"/>
  <c r="U16" i="17" s="1"/>
  <c r="R17" i="17" a="1"/>
  <c r="R17" i="17" s="1"/>
  <c r="S17" i="17" a="1"/>
  <c r="S17" i="17" s="1"/>
  <c r="T17" i="17" a="1"/>
  <c r="T17" i="17" s="1"/>
  <c r="U17" i="17" a="1"/>
  <c r="U17" i="17" s="1"/>
  <c r="R18" i="17" a="1"/>
  <c r="R18" i="17" s="1"/>
  <c r="S18" i="17" a="1"/>
  <c r="S18" i="17" s="1"/>
  <c r="T18" i="17" a="1"/>
  <c r="T18" i="17" s="1"/>
  <c r="U18" i="17" a="1"/>
  <c r="U18" i="17" s="1"/>
  <c r="R19" i="17" a="1"/>
  <c r="R19" i="17" s="1"/>
  <c r="S19" i="17" a="1"/>
  <c r="S19" i="17" s="1"/>
  <c r="T19" i="17" a="1"/>
  <c r="T19" i="17" s="1"/>
  <c r="U19" i="17" a="1"/>
  <c r="U19" i="17" s="1"/>
  <c r="R20" i="17" a="1"/>
  <c r="R20" i="17" s="1"/>
  <c r="S20" i="17" a="1"/>
  <c r="S20" i="17" s="1"/>
  <c r="T20" i="17" a="1"/>
  <c r="T20" i="17" s="1"/>
  <c r="U20" i="17" a="1"/>
  <c r="U20" i="17" s="1"/>
  <c r="R21" i="17" a="1"/>
  <c r="R21" i="17" s="1"/>
  <c r="S21" i="17" a="1"/>
  <c r="S21" i="17" s="1"/>
  <c r="T21" i="17" a="1"/>
  <c r="T21" i="17" s="1"/>
  <c r="U21" i="17" a="1"/>
  <c r="U21" i="17" s="1"/>
  <c r="R22" i="17" a="1"/>
  <c r="R22" i="17" s="1"/>
  <c r="S22" i="17" a="1"/>
  <c r="S22" i="17" s="1"/>
  <c r="T22" i="17" a="1"/>
  <c r="T22" i="17" s="1"/>
  <c r="U22" i="17" a="1"/>
  <c r="U22" i="17" s="1"/>
  <c r="R23" i="17" a="1"/>
  <c r="R23" i="17" s="1"/>
  <c r="S23" i="17" a="1"/>
  <c r="S23" i="17" s="1"/>
  <c r="T23" i="17" a="1"/>
  <c r="T23" i="17" s="1"/>
  <c r="U23" i="17" a="1"/>
  <c r="U23" i="17" s="1"/>
  <c r="R24" i="17" a="1"/>
  <c r="R24" i="17" s="1"/>
  <c r="S24" i="17" a="1"/>
  <c r="S24" i="17" s="1"/>
  <c r="T24" i="17" a="1"/>
  <c r="T24" i="17" s="1"/>
  <c r="U24" i="17" a="1"/>
  <c r="U24" i="17" s="1"/>
  <c r="R25" i="17" a="1"/>
  <c r="R25" i="17" s="1"/>
  <c r="S25" i="17" a="1"/>
  <c r="S25" i="17" s="1"/>
  <c r="T25" i="17" a="1"/>
  <c r="T25" i="17" s="1"/>
  <c r="U25" i="17" a="1"/>
  <c r="U25" i="17" s="1"/>
  <c r="R26" i="17" a="1"/>
  <c r="R26" i="17" s="1"/>
  <c r="S26" i="17" a="1"/>
  <c r="S26" i="17" s="1"/>
  <c r="T26" i="17" a="1"/>
  <c r="T26" i="17" s="1"/>
  <c r="U26" i="17" a="1"/>
  <c r="U26" i="17" s="1"/>
  <c r="R27" i="17" a="1"/>
  <c r="R27" i="17" s="1"/>
  <c r="S27" i="17" a="1"/>
  <c r="S27" i="17" s="1"/>
  <c r="T27" i="17" a="1"/>
  <c r="T27" i="17" s="1"/>
  <c r="U27" i="17" a="1"/>
  <c r="U27" i="17" s="1"/>
  <c r="R28" i="17" a="1"/>
  <c r="R28" i="17" s="1"/>
  <c r="S28" i="17" a="1"/>
  <c r="S28" i="17" s="1"/>
  <c r="T28" i="17" a="1"/>
  <c r="T28" i="17" s="1"/>
  <c r="U28" i="17" a="1"/>
  <c r="U28" i="17" s="1"/>
  <c r="R29" i="17" a="1"/>
  <c r="R29" i="17" s="1"/>
  <c r="S29" i="17" a="1"/>
  <c r="S29" i="17" s="1"/>
  <c r="T29" i="17" a="1"/>
  <c r="T29" i="17" s="1"/>
  <c r="U29" i="17" a="1"/>
  <c r="U29" i="17" s="1"/>
  <c r="R30" i="17" a="1"/>
  <c r="R30" i="17" s="1"/>
  <c r="S30" i="17" a="1"/>
  <c r="S30" i="17" s="1"/>
  <c r="T30" i="17" a="1"/>
  <c r="T30" i="17" s="1"/>
  <c r="U30" i="17" a="1"/>
  <c r="U30" i="17" s="1"/>
  <c r="R31" i="17" a="1"/>
  <c r="R31" i="17" s="1"/>
  <c r="S31" i="17" a="1"/>
  <c r="S31" i="17" s="1"/>
  <c r="T31" i="17" a="1"/>
  <c r="T31" i="17" s="1"/>
  <c r="U31" i="17" a="1"/>
  <c r="U31" i="17" s="1"/>
  <c r="R32" i="17" a="1"/>
  <c r="R32" i="17" s="1"/>
  <c r="S32" i="17" a="1"/>
  <c r="S32" i="17" s="1"/>
  <c r="T32" i="17" a="1"/>
  <c r="T32" i="17" s="1"/>
  <c r="U32" i="17" a="1"/>
  <c r="U32" i="17" s="1"/>
  <c r="R33" i="17" a="1"/>
  <c r="R33" i="17" s="1"/>
  <c r="S33" i="17" a="1"/>
  <c r="S33" i="17" s="1"/>
  <c r="T33" i="17" a="1"/>
  <c r="T33" i="17" s="1"/>
  <c r="U33" i="17" a="1"/>
  <c r="U33" i="17" s="1"/>
  <c r="R34" i="17" a="1"/>
  <c r="R34" i="17" s="1"/>
  <c r="S34" i="17" a="1"/>
  <c r="S34" i="17" s="1"/>
  <c r="T34" i="17" a="1"/>
  <c r="T34" i="17" s="1"/>
  <c r="U34" i="17" a="1"/>
  <c r="U34" i="17" s="1"/>
  <c r="R35" i="17" a="1"/>
  <c r="R35" i="17" s="1"/>
  <c r="S35" i="17" a="1"/>
  <c r="S35" i="17" s="1"/>
  <c r="T35" i="17" a="1"/>
  <c r="T35" i="17" s="1"/>
  <c r="U35" i="17" a="1"/>
  <c r="U35" i="17" s="1"/>
  <c r="R36" i="17" a="1"/>
  <c r="R36" i="17" s="1"/>
  <c r="S36" i="17" a="1"/>
  <c r="S36" i="17" s="1"/>
  <c r="T36" i="17" a="1"/>
  <c r="T36" i="17" s="1"/>
  <c r="U36" i="17" a="1"/>
  <c r="U36" i="17" s="1"/>
  <c r="R37" i="17" a="1"/>
  <c r="R37" i="17" s="1"/>
  <c r="S37" i="17" a="1"/>
  <c r="S37" i="17" s="1"/>
  <c r="T37" i="17" a="1"/>
  <c r="T37" i="17" s="1"/>
  <c r="U37" i="17" a="1"/>
  <c r="U37" i="17" s="1"/>
  <c r="R38" i="17" a="1"/>
  <c r="R38" i="17" s="1"/>
  <c r="S38" i="17" a="1"/>
  <c r="S38" i="17" s="1"/>
  <c r="T38" i="17" a="1"/>
  <c r="T38" i="17" s="1"/>
  <c r="U38" i="17" a="1"/>
  <c r="U38" i="17" s="1"/>
  <c r="R39" i="17" a="1"/>
  <c r="R39" i="17" s="1"/>
  <c r="S39" i="17" a="1"/>
  <c r="S39" i="17" s="1"/>
  <c r="T39" i="17" a="1"/>
  <c r="T39" i="17" s="1"/>
  <c r="U39" i="17" a="1"/>
  <c r="U39" i="17" s="1"/>
  <c r="R40" i="17" a="1"/>
  <c r="R40" i="17" s="1"/>
  <c r="S40" i="17" a="1"/>
  <c r="S40" i="17" s="1"/>
  <c r="T40" i="17" a="1"/>
  <c r="T40" i="17" s="1"/>
  <c r="U40" i="17" a="1"/>
  <c r="U40" i="17" s="1"/>
  <c r="R41" i="17" a="1"/>
  <c r="R41" i="17" s="1"/>
  <c r="S41" i="17" a="1"/>
  <c r="S41" i="17" s="1"/>
  <c r="T41" i="17" a="1"/>
  <c r="T41" i="17" s="1"/>
  <c r="U41" i="17" a="1"/>
  <c r="U41" i="17" s="1"/>
  <c r="R42" i="17" a="1"/>
  <c r="R42" i="17" s="1"/>
  <c r="S42" i="17" a="1"/>
  <c r="S42" i="17" s="1"/>
  <c r="T42" i="17" a="1"/>
  <c r="T42" i="17" s="1"/>
  <c r="U42" i="17" a="1"/>
  <c r="U42" i="17" s="1"/>
  <c r="R43" i="17" a="1"/>
  <c r="R43" i="17" s="1"/>
  <c r="S43" i="17" a="1"/>
  <c r="S43" i="17" s="1"/>
  <c r="T43" i="17" a="1"/>
  <c r="T43" i="17" s="1"/>
  <c r="U43" i="17" a="1"/>
  <c r="U43" i="17" s="1"/>
  <c r="R44" i="17" a="1"/>
  <c r="R44" i="17" s="1"/>
  <c r="S44" i="17" a="1"/>
  <c r="S44" i="17" s="1"/>
  <c r="T44" i="17" a="1"/>
  <c r="T44" i="17" s="1"/>
  <c r="U44" i="17" a="1"/>
  <c r="U44" i="17" s="1"/>
  <c r="R45" i="17" a="1"/>
  <c r="R45" i="17" s="1"/>
  <c r="S45" i="17" a="1"/>
  <c r="S45" i="17" s="1"/>
  <c r="T45" i="17" a="1"/>
  <c r="T45" i="17" s="1"/>
  <c r="U45" i="17" a="1"/>
  <c r="U45" i="17" s="1"/>
  <c r="R46" i="17" a="1"/>
  <c r="R46" i="17" s="1"/>
  <c r="S46" i="17" a="1"/>
  <c r="S46" i="17" s="1"/>
  <c r="T46" i="17" a="1"/>
  <c r="T46" i="17" s="1"/>
  <c r="U46" i="17" a="1"/>
  <c r="U46" i="17" s="1"/>
  <c r="R47" i="17" a="1"/>
  <c r="R47" i="17" s="1"/>
  <c r="S47" i="17" a="1"/>
  <c r="S47" i="17" s="1"/>
  <c r="T47" i="17" a="1"/>
  <c r="T47" i="17" s="1"/>
  <c r="U47" i="17" a="1"/>
  <c r="U47" i="17" s="1"/>
  <c r="R48" i="17" a="1"/>
  <c r="R48" i="17" s="1"/>
  <c r="S48" i="17" a="1"/>
  <c r="S48" i="17" s="1"/>
  <c r="T48" i="17" a="1"/>
  <c r="T48" i="17" s="1"/>
  <c r="U48" i="17" a="1"/>
  <c r="U48" i="17" s="1"/>
  <c r="R49" i="17" a="1"/>
  <c r="R49" i="17" s="1"/>
  <c r="S49" i="17" a="1"/>
  <c r="S49" i="17" s="1"/>
  <c r="T49" i="17" a="1"/>
  <c r="T49" i="17" s="1"/>
  <c r="U49" i="17" a="1"/>
  <c r="U49" i="17" s="1"/>
  <c r="R50" i="17" a="1"/>
  <c r="R50" i="17" s="1"/>
  <c r="S50" i="17" a="1"/>
  <c r="S50" i="17" s="1"/>
  <c r="T50" i="17" a="1"/>
  <c r="T50" i="17" s="1"/>
  <c r="U50" i="17" a="1"/>
  <c r="U50" i="17" s="1"/>
  <c r="R51" i="17" a="1"/>
  <c r="R51" i="17" s="1"/>
  <c r="S51" i="17" a="1"/>
  <c r="S51" i="17" s="1"/>
  <c r="T51" i="17" a="1"/>
  <c r="T51" i="17" s="1"/>
  <c r="U51" i="17" a="1"/>
  <c r="U51" i="17" s="1"/>
  <c r="R52" i="17" a="1"/>
  <c r="R52" i="17" s="1"/>
  <c r="S52" i="17" a="1"/>
  <c r="S52" i="17" s="1"/>
  <c r="T52" i="17" a="1"/>
  <c r="T52" i="17" s="1"/>
  <c r="U52" i="17" a="1"/>
  <c r="U52" i="17" s="1"/>
  <c r="R53" i="17" a="1"/>
  <c r="R53" i="17" s="1"/>
  <c r="S53" i="17" a="1"/>
  <c r="S53" i="17" s="1"/>
  <c r="T53" i="17" a="1"/>
  <c r="T53" i="17" s="1"/>
  <c r="U53" i="17" a="1"/>
  <c r="U53" i="17" s="1"/>
  <c r="R54" i="17" a="1"/>
  <c r="R54" i="17" s="1"/>
  <c r="S54" i="17" a="1"/>
  <c r="S54" i="17" s="1"/>
  <c r="T54" i="17" a="1"/>
  <c r="T54" i="17" s="1"/>
  <c r="U54" i="17" a="1"/>
  <c r="U54" i="17" s="1"/>
  <c r="R55" i="17" a="1"/>
  <c r="R55" i="17" s="1"/>
  <c r="S55" i="17" a="1"/>
  <c r="S55" i="17" s="1"/>
  <c r="T55" i="17" a="1"/>
  <c r="T55" i="17" s="1"/>
  <c r="U55" i="17" a="1"/>
  <c r="U55" i="17" s="1"/>
  <c r="R56" i="17" a="1"/>
  <c r="R56" i="17" s="1"/>
  <c r="S56" i="17" a="1"/>
  <c r="S56" i="17" s="1"/>
  <c r="T56" i="17" a="1"/>
  <c r="T56" i="17" s="1"/>
  <c r="U56" i="17" a="1"/>
  <c r="U56" i="17" s="1"/>
  <c r="R57" i="17" a="1"/>
  <c r="R57" i="17" s="1"/>
  <c r="S57" i="17" a="1"/>
  <c r="S57" i="17" s="1"/>
  <c r="T57" i="17" a="1"/>
  <c r="T57" i="17" s="1"/>
  <c r="U57" i="17" a="1"/>
  <c r="U57" i="17" s="1"/>
  <c r="R58" i="17" a="1"/>
  <c r="R58" i="17" s="1"/>
  <c r="S58" i="17" a="1"/>
  <c r="S58" i="17" s="1"/>
  <c r="T58" i="17" a="1"/>
  <c r="T58" i="17" s="1"/>
  <c r="U58" i="17" a="1"/>
  <c r="U58" i="17" s="1"/>
  <c r="R59" i="17" a="1"/>
  <c r="R59" i="17" s="1"/>
  <c r="S59" i="17" a="1"/>
  <c r="S59" i="17" s="1"/>
  <c r="T59" i="17" a="1"/>
  <c r="T59" i="17" s="1"/>
  <c r="U59" i="17" a="1"/>
  <c r="U59" i="17" s="1"/>
  <c r="R60" i="17" a="1"/>
  <c r="R60" i="17" s="1"/>
  <c r="S60" i="17" a="1"/>
  <c r="S60" i="17" s="1"/>
  <c r="T60" i="17" a="1"/>
  <c r="T60" i="17" s="1"/>
  <c r="U60" i="17" a="1"/>
  <c r="U60" i="17" s="1"/>
  <c r="R61" i="17" a="1"/>
  <c r="R61" i="17" s="1"/>
  <c r="S61" i="17" a="1"/>
  <c r="S61" i="17" s="1"/>
  <c r="T61" i="17" a="1"/>
  <c r="T61" i="17" s="1"/>
  <c r="U61" i="17" a="1"/>
  <c r="U61" i="17" s="1"/>
  <c r="R62" i="17" a="1"/>
  <c r="R62" i="17" s="1"/>
  <c r="S62" i="17" a="1"/>
  <c r="S62" i="17" s="1"/>
  <c r="T62" i="17" a="1"/>
  <c r="T62" i="17" s="1"/>
  <c r="U62" i="17" a="1"/>
  <c r="U62" i="17" s="1"/>
  <c r="R63" i="17" a="1"/>
  <c r="R63" i="17" s="1"/>
  <c r="S63" i="17" a="1"/>
  <c r="S63" i="17" s="1"/>
  <c r="T63" i="17" a="1"/>
  <c r="T63" i="17" s="1"/>
  <c r="U63" i="17" a="1"/>
  <c r="U63" i="17" s="1"/>
  <c r="R64" i="17" a="1"/>
  <c r="R64" i="17" s="1"/>
  <c r="S64" i="17" a="1"/>
  <c r="S64" i="17" s="1"/>
  <c r="T64" i="17" a="1"/>
  <c r="T64" i="17" s="1"/>
  <c r="U64" i="17" a="1"/>
  <c r="U64" i="17" s="1"/>
  <c r="R65" i="17" a="1"/>
  <c r="R65" i="17" s="1"/>
  <c r="S65" i="17" a="1"/>
  <c r="S65" i="17" s="1"/>
  <c r="T65" i="17" a="1"/>
  <c r="T65" i="17" s="1"/>
  <c r="U65" i="17" a="1"/>
  <c r="U65" i="17" s="1"/>
  <c r="R66" i="17" a="1"/>
  <c r="R66" i="17" s="1"/>
  <c r="S66" i="17" a="1"/>
  <c r="S66" i="17" s="1"/>
  <c r="T66" i="17" a="1"/>
  <c r="T66" i="17" s="1"/>
  <c r="U66" i="17" a="1"/>
  <c r="U66" i="17" s="1"/>
  <c r="R67" i="17" a="1"/>
  <c r="R67" i="17" s="1"/>
  <c r="S67" i="17" a="1"/>
  <c r="S67" i="17" s="1"/>
  <c r="T67" i="17" a="1"/>
  <c r="T67" i="17" s="1"/>
  <c r="U67" i="17" a="1"/>
  <c r="U67" i="17" s="1"/>
  <c r="R68" i="17" a="1"/>
  <c r="R68" i="17" s="1"/>
  <c r="S68" i="17" a="1"/>
  <c r="S68" i="17" s="1"/>
  <c r="T68" i="17" a="1"/>
  <c r="T68" i="17" s="1"/>
  <c r="U68" i="17" a="1"/>
  <c r="U68" i="17" s="1"/>
  <c r="R69" i="17" a="1"/>
  <c r="R69" i="17" s="1"/>
  <c r="S69" i="17" a="1"/>
  <c r="S69" i="17" s="1"/>
  <c r="T69" i="17" a="1"/>
  <c r="T69" i="17" s="1"/>
  <c r="U69" i="17" a="1"/>
  <c r="U69" i="17" s="1"/>
  <c r="R70" i="17" a="1"/>
  <c r="R70" i="17" s="1"/>
  <c r="S70" i="17" a="1"/>
  <c r="S70" i="17" s="1"/>
  <c r="T70" i="17" a="1"/>
  <c r="T70" i="17" s="1"/>
  <c r="U70" i="17" a="1"/>
  <c r="U70" i="17" s="1"/>
  <c r="R71" i="17" a="1"/>
  <c r="R71" i="17" s="1"/>
  <c r="S71" i="17" a="1"/>
  <c r="S71" i="17" s="1"/>
  <c r="T71" i="17" a="1"/>
  <c r="T71" i="17" s="1"/>
  <c r="U71" i="17" a="1"/>
  <c r="U71" i="17" s="1"/>
  <c r="R72" i="17" a="1"/>
  <c r="R72" i="17" s="1"/>
  <c r="S72" i="17" a="1"/>
  <c r="S72" i="17" s="1"/>
  <c r="T72" i="17" a="1"/>
  <c r="T72" i="17" s="1"/>
  <c r="U72" i="17" a="1"/>
  <c r="U72" i="17" s="1"/>
  <c r="R73" i="17" a="1"/>
  <c r="R73" i="17" s="1"/>
  <c r="S73" i="17" a="1"/>
  <c r="S73" i="17" s="1"/>
  <c r="T73" i="17" a="1"/>
  <c r="T73" i="17" s="1"/>
  <c r="U73" i="17" a="1"/>
  <c r="U73" i="17" s="1"/>
  <c r="R74" i="17" a="1"/>
  <c r="R74" i="17" s="1"/>
  <c r="S74" i="17" a="1"/>
  <c r="S74" i="17" s="1"/>
  <c r="T74" i="17" a="1"/>
  <c r="T74" i="17" s="1"/>
  <c r="U74" i="17" a="1"/>
  <c r="U74" i="17" s="1"/>
  <c r="R75" i="17" a="1"/>
  <c r="R75" i="17" s="1"/>
  <c r="S75" i="17" a="1"/>
  <c r="S75" i="17" s="1"/>
  <c r="T75" i="17" a="1"/>
  <c r="T75" i="17" s="1"/>
  <c r="U75" i="17" a="1"/>
  <c r="U75" i="17" s="1"/>
  <c r="R76" i="17" a="1"/>
  <c r="R76" i="17" s="1"/>
  <c r="S76" i="17" a="1"/>
  <c r="S76" i="17" s="1"/>
  <c r="T76" i="17" a="1"/>
  <c r="T76" i="17" s="1"/>
  <c r="U76" i="17" a="1"/>
  <c r="U76" i="17" s="1"/>
  <c r="R77" i="17" a="1"/>
  <c r="R77" i="17" s="1"/>
  <c r="S77" i="17" a="1"/>
  <c r="S77" i="17" s="1"/>
  <c r="T77" i="17" a="1"/>
  <c r="T77" i="17" s="1"/>
  <c r="U77" i="17" a="1"/>
  <c r="U77" i="17" s="1"/>
  <c r="R78" i="17" a="1"/>
  <c r="R78" i="17" s="1"/>
  <c r="S78" i="17" a="1"/>
  <c r="S78" i="17" s="1"/>
  <c r="T78" i="17" a="1"/>
  <c r="T78" i="17" s="1"/>
  <c r="U78" i="17" a="1"/>
  <c r="U78" i="17" s="1"/>
  <c r="R79" i="17" a="1"/>
  <c r="R79" i="17" s="1"/>
  <c r="S79" i="17" a="1"/>
  <c r="S79" i="17" s="1"/>
  <c r="T79" i="17" a="1"/>
  <c r="T79" i="17" s="1"/>
  <c r="U79" i="17" a="1"/>
  <c r="U79" i="17" s="1"/>
  <c r="R80" i="17" a="1"/>
  <c r="R80" i="17" s="1"/>
  <c r="S80" i="17" a="1"/>
  <c r="S80" i="17" s="1"/>
  <c r="T80" i="17" a="1"/>
  <c r="T80" i="17" s="1"/>
  <c r="U80" i="17" a="1"/>
  <c r="U80" i="17" s="1"/>
  <c r="R81" i="17" a="1"/>
  <c r="R81" i="17" s="1"/>
  <c r="S81" i="17" a="1"/>
  <c r="S81" i="17" s="1"/>
  <c r="T81" i="17" a="1"/>
  <c r="T81" i="17" s="1"/>
  <c r="U81" i="17" a="1"/>
  <c r="U81" i="17" s="1"/>
  <c r="R82" i="17" a="1"/>
  <c r="R82" i="17" s="1"/>
  <c r="S82" i="17" a="1"/>
  <c r="S82" i="17" s="1"/>
  <c r="T82" i="17" a="1"/>
  <c r="T82" i="17" s="1"/>
  <c r="U82" i="17" a="1"/>
  <c r="U82" i="17" s="1"/>
  <c r="R83" i="17" a="1"/>
  <c r="R83" i="17" s="1"/>
  <c r="S83" i="17" a="1"/>
  <c r="S83" i="17" s="1"/>
  <c r="T83" i="17" a="1"/>
  <c r="T83" i="17" s="1"/>
  <c r="U83" i="17" a="1"/>
  <c r="U83" i="17" s="1"/>
  <c r="R84" i="17" a="1"/>
  <c r="R84" i="17" s="1"/>
  <c r="S84" i="17" a="1"/>
  <c r="S84" i="17" s="1"/>
  <c r="T84" i="17" a="1"/>
  <c r="T84" i="17" s="1"/>
  <c r="U84" i="17" a="1"/>
  <c r="U84" i="17" s="1"/>
  <c r="R85" i="17" a="1"/>
  <c r="R85" i="17" s="1"/>
  <c r="S85" i="17" a="1"/>
  <c r="S85" i="17" s="1"/>
  <c r="T85" i="17" a="1"/>
  <c r="T85" i="17" s="1"/>
  <c r="U85" i="17" a="1"/>
  <c r="U85" i="17" s="1"/>
  <c r="R86" i="17" a="1"/>
  <c r="R86" i="17" s="1"/>
  <c r="S86" i="17" a="1"/>
  <c r="S86" i="17" s="1"/>
  <c r="T86" i="17" a="1"/>
  <c r="T86" i="17" s="1"/>
  <c r="U86" i="17" a="1"/>
  <c r="U86" i="17" s="1"/>
  <c r="R87" i="17" a="1"/>
  <c r="R87" i="17" s="1"/>
  <c r="S87" i="17" a="1"/>
  <c r="S87" i="17" s="1"/>
  <c r="T87" i="17" a="1"/>
  <c r="T87" i="17" s="1"/>
  <c r="U87" i="17" a="1"/>
  <c r="U87" i="17" s="1"/>
  <c r="R88" i="17" a="1"/>
  <c r="R88" i="17" s="1"/>
  <c r="S88" i="17" a="1"/>
  <c r="S88" i="17" s="1"/>
  <c r="T88" i="17" a="1"/>
  <c r="T88" i="17" s="1"/>
  <c r="U88" i="17" a="1"/>
  <c r="U88" i="17" s="1"/>
  <c r="R89" i="17" a="1"/>
  <c r="R89" i="17" s="1"/>
  <c r="S89" i="17" a="1"/>
  <c r="S89" i="17" s="1"/>
  <c r="T89" i="17" a="1"/>
  <c r="T89" i="17" s="1"/>
  <c r="U89" i="17" a="1"/>
  <c r="U89" i="17" s="1"/>
  <c r="R90" i="17" a="1"/>
  <c r="R90" i="17" s="1"/>
  <c r="S90" i="17" a="1"/>
  <c r="S90" i="17" s="1"/>
  <c r="T90" i="17" a="1"/>
  <c r="T90" i="17" s="1"/>
  <c r="U90" i="17" a="1"/>
  <c r="U90" i="17" s="1"/>
  <c r="R91" i="17" a="1"/>
  <c r="R91" i="17" s="1"/>
  <c r="S91" i="17" a="1"/>
  <c r="S91" i="17" s="1"/>
  <c r="T91" i="17" a="1"/>
  <c r="T91" i="17" s="1"/>
  <c r="U91" i="17" a="1"/>
  <c r="U91" i="17" s="1"/>
  <c r="R92" i="17" a="1"/>
  <c r="R92" i="17" s="1"/>
  <c r="S92" i="17" a="1"/>
  <c r="S92" i="17" s="1"/>
  <c r="T92" i="17" a="1"/>
  <c r="T92" i="17" s="1"/>
  <c r="U92" i="17" a="1"/>
  <c r="U92" i="17" s="1"/>
  <c r="R93" i="17" a="1"/>
  <c r="R93" i="17" s="1"/>
  <c r="S93" i="17" a="1"/>
  <c r="S93" i="17" s="1"/>
  <c r="T93" i="17" a="1"/>
  <c r="T93" i="17" s="1"/>
  <c r="U93" i="17" a="1"/>
  <c r="U93" i="17" s="1"/>
  <c r="R94" i="17" a="1"/>
  <c r="R94" i="17" s="1"/>
  <c r="S94" i="17" a="1"/>
  <c r="S94" i="17" s="1"/>
  <c r="T94" i="17" a="1"/>
  <c r="T94" i="17" s="1"/>
  <c r="U94" i="17" a="1"/>
  <c r="U94" i="17" s="1"/>
  <c r="R95" i="17" a="1"/>
  <c r="R95" i="17" s="1"/>
  <c r="S95" i="17" a="1"/>
  <c r="S95" i="17" s="1"/>
  <c r="T95" i="17" a="1"/>
  <c r="T95" i="17" s="1"/>
  <c r="U95" i="17" a="1"/>
  <c r="U95" i="17" s="1"/>
  <c r="R96" i="17" a="1"/>
  <c r="R96" i="17" s="1"/>
  <c r="S96" i="17" a="1"/>
  <c r="S96" i="17" s="1"/>
  <c r="T96" i="17" a="1"/>
  <c r="T96" i="17" s="1"/>
  <c r="U96" i="17" a="1"/>
  <c r="U96" i="17" s="1"/>
  <c r="R97" i="17" a="1"/>
  <c r="R97" i="17" s="1"/>
  <c r="S97" i="17" a="1"/>
  <c r="S97" i="17" s="1"/>
  <c r="T97" i="17" a="1"/>
  <c r="T97" i="17" s="1"/>
  <c r="U97" i="17" a="1"/>
  <c r="U97" i="17" s="1"/>
  <c r="R98" i="17" a="1"/>
  <c r="R98" i="17" s="1"/>
  <c r="S98" i="17" a="1"/>
  <c r="S98" i="17" s="1"/>
  <c r="T98" i="17" a="1"/>
  <c r="T98" i="17" s="1"/>
  <c r="U98" i="17" a="1"/>
  <c r="U98" i="17" s="1"/>
  <c r="R99" i="17" a="1"/>
  <c r="R99" i="17" s="1"/>
  <c r="S99" i="17" a="1"/>
  <c r="S99" i="17" s="1"/>
  <c r="T99" i="17" a="1"/>
  <c r="T99" i="17" s="1"/>
  <c r="U99" i="17" a="1"/>
  <c r="U99" i="17" s="1"/>
  <c r="R100" i="17" a="1"/>
  <c r="R100" i="17" s="1"/>
  <c r="S100" i="17" a="1"/>
  <c r="S100" i="17" s="1"/>
  <c r="T100" i="17" a="1"/>
  <c r="T100" i="17" s="1"/>
  <c r="U100" i="17" a="1"/>
  <c r="U100" i="17" s="1"/>
  <c r="R101" i="17" a="1"/>
  <c r="R101" i="17" s="1"/>
  <c r="S101" i="17" a="1"/>
  <c r="S101" i="17" s="1"/>
  <c r="T101" i="17" a="1"/>
  <c r="T101" i="17" s="1"/>
  <c r="U101" i="17" a="1"/>
  <c r="U101" i="17" s="1"/>
  <c r="S5" i="18" a="1"/>
  <c r="S5" i="18" s="1"/>
  <c r="T5" i="18" a="1"/>
  <c r="T5" i="18" s="1"/>
  <c r="U5" i="18" a="1"/>
  <c r="U5" i="18" s="1"/>
  <c r="F78" i="13" s="1"/>
  <c r="V5" i="18" a="1"/>
  <c r="V5" i="18" s="1"/>
  <c r="H78" i="13" s="1"/>
  <c r="R6" i="18" a="1"/>
  <c r="R6" i="18" s="1"/>
  <c r="C79" i="13" s="1"/>
  <c r="S6" i="18" a="1"/>
  <c r="S6" i="18" s="1"/>
  <c r="T6" i="18" a="1"/>
  <c r="T6" i="18" s="1"/>
  <c r="U6" i="18" a="1"/>
  <c r="U6" i="18" s="1"/>
  <c r="F79" i="13" s="1"/>
  <c r="V6" i="18" a="1"/>
  <c r="V6" i="18" s="1"/>
  <c r="H79" i="13" s="1"/>
  <c r="R7" i="18" a="1"/>
  <c r="R7" i="18" s="1"/>
  <c r="C80" i="13" s="1"/>
  <c r="S7" i="18" a="1"/>
  <c r="S7" i="18" s="1"/>
  <c r="T7" i="18" a="1"/>
  <c r="T7" i="18" s="1"/>
  <c r="U7" i="18" a="1"/>
  <c r="U7" i="18" s="1"/>
  <c r="F80" i="13" s="1"/>
  <c r="V7" i="18" a="1"/>
  <c r="V7" i="18" s="1"/>
  <c r="H80" i="13" s="1"/>
  <c r="R8" i="18" a="1"/>
  <c r="R8" i="18" s="1"/>
  <c r="C81" i="13" s="1"/>
  <c r="S8" i="18" a="1"/>
  <c r="S8" i="18" s="1"/>
  <c r="T8" i="18" a="1"/>
  <c r="T8" i="18" s="1"/>
  <c r="U8" i="18" a="1"/>
  <c r="U8" i="18" s="1"/>
  <c r="F81" i="13" s="1"/>
  <c r="V8" i="18" a="1"/>
  <c r="V8" i="18" s="1"/>
  <c r="H81" i="13" s="1"/>
  <c r="R9" i="18" a="1"/>
  <c r="R9" i="18" s="1"/>
  <c r="C82" i="13" s="1"/>
  <c r="S9" i="18" a="1"/>
  <c r="S9" i="18" s="1"/>
  <c r="T9" i="18" a="1"/>
  <c r="T9" i="18" s="1"/>
  <c r="U9" i="18" a="1"/>
  <c r="U9" i="18" s="1"/>
  <c r="F82" i="13" s="1"/>
  <c r="V9" i="18" a="1"/>
  <c r="V9" i="18" s="1"/>
  <c r="H82" i="13" s="1"/>
  <c r="R10" i="18" a="1"/>
  <c r="R10" i="18" s="1"/>
  <c r="C83" i="13" s="1"/>
  <c r="S10" i="18" a="1"/>
  <c r="S10" i="18" s="1"/>
  <c r="T10" i="18" a="1"/>
  <c r="T10" i="18" s="1"/>
  <c r="U10" i="18" a="1"/>
  <c r="U10" i="18" s="1"/>
  <c r="F83" i="13" s="1"/>
  <c r="V10" i="18" a="1"/>
  <c r="V10" i="18" s="1"/>
  <c r="H83" i="13" s="1"/>
  <c r="R11" i="18" a="1"/>
  <c r="R11" i="18" s="1"/>
  <c r="C84" i="13" s="1"/>
  <c r="S11" i="18" a="1"/>
  <c r="S11" i="18" s="1"/>
  <c r="T11" i="18" a="1"/>
  <c r="T11" i="18" s="1"/>
  <c r="U11" i="18" a="1"/>
  <c r="U11" i="18" s="1"/>
  <c r="F84" i="13" s="1"/>
  <c r="V11" i="18" a="1"/>
  <c r="V11" i="18" s="1"/>
  <c r="H84" i="13" s="1"/>
  <c r="R12" i="18" a="1"/>
  <c r="R12" i="18" s="1"/>
  <c r="C85" i="13" s="1"/>
  <c r="S12" i="18" a="1"/>
  <c r="S12" i="18" s="1"/>
  <c r="T12" i="18" a="1"/>
  <c r="T12" i="18" s="1"/>
  <c r="U12" i="18" a="1"/>
  <c r="U12" i="18" s="1"/>
  <c r="F85" i="13" s="1"/>
  <c r="V12" i="18" a="1"/>
  <c r="V12" i="18" s="1"/>
  <c r="H85" i="13" s="1"/>
  <c r="R13" i="18" a="1"/>
  <c r="R13" i="18" s="1"/>
  <c r="C86" i="13" s="1"/>
  <c r="S13" i="18" a="1"/>
  <c r="S13" i="18" s="1"/>
  <c r="T13" i="18" a="1"/>
  <c r="T13" i="18" s="1"/>
  <c r="U13" i="18" a="1"/>
  <c r="U13" i="18" s="1"/>
  <c r="F86" i="13" s="1"/>
  <c r="V13" i="18" a="1"/>
  <c r="V13" i="18" s="1"/>
  <c r="H86" i="13" s="1"/>
  <c r="R14" i="18" a="1"/>
  <c r="R14" i="18" s="1"/>
  <c r="C87" i="13" s="1"/>
  <c r="S14" i="18" a="1"/>
  <c r="S14" i="18" s="1"/>
  <c r="T14" i="18" a="1"/>
  <c r="T14" i="18" s="1"/>
  <c r="U14" i="18" a="1"/>
  <c r="U14" i="18" s="1"/>
  <c r="F87" i="13" s="1"/>
  <c r="V14" i="18" a="1"/>
  <c r="V14" i="18" s="1"/>
  <c r="H87" i="13" s="1"/>
  <c r="R15" i="18" a="1"/>
  <c r="R15" i="18" s="1"/>
  <c r="C88" i="13" s="1"/>
  <c r="S15" i="18" a="1"/>
  <c r="S15" i="18" s="1"/>
  <c r="T15" i="18" a="1"/>
  <c r="T15" i="18" s="1"/>
  <c r="U15" i="18" a="1"/>
  <c r="U15" i="18" s="1"/>
  <c r="F88" i="13" s="1"/>
  <c r="V15" i="18" a="1"/>
  <c r="V15" i="18" s="1"/>
  <c r="H88" i="13" s="1"/>
  <c r="R16" i="18" a="1"/>
  <c r="R16" i="18" s="1"/>
  <c r="C89" i="13" s="1"/>
  <c r="S16" i="18" a="1"/>
  <c r="S16" i="18" s="1"/>
  <c r="T16" i="18" a="1"/>
  <c r="T16" i="18" s="1"/>
  <c r="U16" i="18" a="1"/>
  <c r="U16" i="18" s="1"/>
  <c r="F89" i="13" s="1"/>
  <c r="V16" i="18" a="1"/>
  <c r="V16" i="18" s="1"/>
  <c r="H89" i="13" s="1"/>
  <c r="R17" i="18" a="1"/>
  <c r="R17" i="18" s="1"/>
  <c r="C90" i="13" s="1"/>
  <c r="S17" i="18" a="1"/>
  <c r="S17" i="18" s="1"/>
  <c r="T17" i="18" a="1"/>
  <c r="T17" i="18" s="1"/>
  <c r="U17" i="18" a="1"/>
  <c r="U17" i="18" s="1"/>
  <c r="F90" i="13" s="1"/>
  <c r="V17" i="18" a="1"/>
  <c r="V17" i="18" s="1"/>
  <c r="H90" i="13" s="1"/>
  <c r="R18" i="18" a="1"/>
  <c r="R18" i="18" s="1"/>
  <c r="C91" i="13" s="1"/>
  <c r="S18" i="18" a="1"/>
  <c r="S18" i="18" s="1"/>
  <c r="T18" i="18" a="1"/>
  <c r="T18" i="18" s="1"/>
  <c r="U18" i="18" a="1"/>
  <c r="U18" i="18" s="1"/>
  <c r="F91" i="13" s="1"/>
  <c r="V18" i="18" a="1"/>
  <c r="V18" i="18" s="1"/>
  <c r="H91" i="13" s="1"/>
  <c r="R19" i="18" a="1"/>
  <c r="R19" i="18" s="1"/>
  <c r="C92" i="13" s="1"/>
  <c r="S19" i="18" a="1"/>
  <c r="S19" i="18" s="1"/>
  <c r="T19" i="18" a="1"/>
  <c r="T19" i="18" s="1"/>
  <c r="U19" i="18" a="1"/>
  <c r="U19" i="18" s="1"/>
  <c r="F92" i="13" s="1"/>
  <c r="V19" i="18" a="1"/>
  <c r="V19" i="18" s="1"/>
  <c r="H92" i="13" s="1"/>
  <c r="R20" i="18" a="1"/>
  <c r="R20" i="18" s="1"/>
  <c r="C93" i="13" s="1"/>
  <c r="S20" i="18" a="1"/>
  <c r="S20" i="18" s="1"/>
  <c r="T20" i="18" a="1"/>
  <c r="T20" i="18" s="1"/>
  <c r="U20" i="18" a="1"/>
  <c r="U20" i="18" s="1"/>
  <c r="F93" i="13" s="1"/>
  <c r="V20" i="18" a="1"/>
  <c r="V20" i="18" s="1"/>
  <c r="H93" i="13" s="1"/>
  <c r="R21" i="18" a="1"/>
  <c r="R21" i="18" s="1"/>
  <c r="C94" i="13" s="1"/>
  <c r="S21" i="18" a="1"/>
  <c r="S21" i="18" s="1"/>
  <c r="T21" i="18" a="1"/>
  <c r="T21" i="18" s="1"/>
  <c r="U21" i="18" a="1"/>
  <c r="U21" i="18" s="1"/>
  <c r="F94" i="13" s="1"/>
  <c r="V21" i="18" a="1"/>
  <c r="V21" i="18" s="1"/>
  <c r="H94" i="13" s="1"/>
  <c r="R22" i="18" a="1"/>
  <c r="R22" i="18" s="1"/>
  <c r="C95" i="13" s="1"/>
  <c r="S22" i="18" a="1"/>
  <c r="S22" i="18" s="1"/>
  <c r="T22" i="18" a="1"/>
  <c r="T22" i="18" s="1"/>
  <c r="U22" i="18" a="1"/>
  <c r="U22" i="18" s="1"/>
  <c r="F95" i="13" s="1"/>
  <c r="V22" i="18" a="1"/>
  <c r="V22" i="18" s="1"/>
  <c r="H95" i="13" s="1"/>
  <c r="R23" i="18" a="1"/>
  <c r="R23" i="18" s="1"/>
  <c r="C96" i="13" s="1"/>
  <c r="S23" i="18" a="1"/>
  <c r="S23" i="18" s="1"/>
  <c r="T23" i="18" a="1"/>
  <c r="T23" i="18" s="1"/>
  <c r="U23" i="18" a="1"/>
  <c r="U23" i="18" s="1"/>
  <c r="F96" i="13" s="1"/>
  <c r="V23" i="18" a="1"/>
  <c r="V23" i="18" s="1"/>
  <c r="H96" i="13" s="1"/>
  <c r="R24" i="18" a="1"/>
  <c r="R24" i="18" s="1"/>
  <c r="C97" i="13" s="1"/>
  <c r="S24" i="18" a="1"/>
  <c r="S24" i="18" s="1"/>
  <c r="T24" i="18" a="1"/>
  <c r="T24" i="18" s="1"/>
  <c r="U24" i="18" a="1"/>
  <c r="U24" i="18" s="1"/>
  <c r="F97" i="13" s="1"/>
  <c r="V24" i="18" a="1"/>
  <c r="V24" i="18" s="1"/>
  <c r="H97" i="13" s="1"/>
  <c r="R25" i="18" a="1"/>
  <c r="R25" i="18" s="1"/>
  <c r="C98" i="13" s="1"/>
  <c r="S25" i="18" a="1"/>
  <c r="S25" i="18" s="1"/>
  <c r="T25" i="18" a="1"/>
  <c r="T25" i="18" s="1"/>
  <c r="U25" i="18" a="1"/>
  <c r="U25" i="18" s="1"/>
  <c r="F98" i="13" s="1"/>
  <c r="V25" i="18" a="1"/>
  <c r="V25" i="18" s="1"/>
  <c r="H98" i="13" s="1"/>
  <c r="R26" i="18" a="1"/>
  <c r="R26" i="18" s="1"/>
  <c r="C99" i="13" s="1"/>
  <c r="S26" i="18" a="1"/>
  <c r="S26" i="18" s="1"/>
  <c r="T26" i="18" a="1"/>
  <c r="T26" i="18" s="1"/>
  <c r="U26" i="18" a="1"/>
  <c r="U26" i="18" s="1"/>
  <c r="F99" i="13" s="1"/>
  <c r="V26" i="18" a="1"/>
  <c r="V26" i="18" s="1"/>
  <c r="H99" i="13" s="1"/>
  <c r="R27" i="18" a="1"/>
  <c r="R27" i="18" s="1"/>
  <c r="C100" i="13" s="1"/>
  <c r="S27" i="18" a="1"/>
  <c r="S27" i="18" s="1"/>
  <c r="T27" i="18" a="1"/>
  <c r="T27" i="18" s="1"/>
  <c r="U27" i="18" a="1"/>
  <c r="U27" i="18" s="1"/>
  <c r="F100" i="13" s="1"/>
  <c r="V27" i="18" a="1"/>
  <c r="V27" i="18" s="1"/>
  <c r="H100" i="13" s="1"/>
  <c r="R28" i="18" a="1"/>
  <c r="R28" i="18" s="1"/>
  <c r="C101" i="13" s="1"/>
  <c r="S28" i="18" a="1"/>
  <c r="S28" i="18" s="1"/>
  <c r="T28" i="18" a="1"/>
  <c r="T28" i="18" s="1"/>
  <c r="U28" i="18" a="1"/>
  <c r="U28" i="18" s="1"/>
  <c r="F101" i="13" s="1"/>
  <c r="V28" i="18" a="1"/>
  <c r="V28" i="18" s="1"/>
  <c r="H101" i="13" s="1"/>
  <c r="R29" i="18" a="1"/>
  <c r="R29" i="18" s="1"/>
  <c r="C102" i="13" s="1"/>
  <c r="S29" i="18" a="1"/>
  <c r="S29" i="18" s="1"/>
  <c r="T29" i="18" a="1"/>
  <c r="T29" i="18" s="1"/>
  <c r="U29" i="18" a="1"/>
  <c r="U29" i="18" s="1"/>
  <c r="F102" i="13" s="1"/>
  <c r="V29" i="18" a="1"/>
  <c r="V29" i="18" s="1"/>
  <c r="H102" i="13" s="1"/>
  <c r="R30" i="18" a="1"/>
  <c r="R30" i="18" s="1"/>
  <c r="C103" i="13" s="1"/>
  <c r="S30" i="18" a="1"/>
  <c r="S30" i="18" s="1"/>
  <c r="T30" i="18" a="1"/>
  <c r="T30" i="18" s="1"/>
  <c r="U30" i="18" a="1"/>
  <c r="U30" i="18" s="1"/>
  <c r="F103" i="13" s="1"/>
  <c r="V30" i="18" a="1"/>
  <c r="V30" i="18" s="1"/>
  <c r="H103" i="13" s="1"/>
  <c r="R31" i="18" a="1"/>
  <c r="R31" i="18" s="1"/>
  <c r="C104" i="13" s="1"/>
  <c r="S31" i="18" a="1"/>
  <c r="S31" i="18" s="1"/>
  <c r="T31" i="18" a="1"/>
  <c r="T31" i="18" s="1"/>
  <c r="U31" i="18" a="1"/>
  <c r="U31" i="18" s="1"/>
  <c r="F104" i="13" s="1"/>
  <c r="V31" i="18" a="1"/>
  <c r="V31" i="18" s="1"/>
  <c r="H104" i="13" s="1"/>
  <c r="R32" i="18" a="1"/>
  <c r="R32" i="18" s="1"/>
  <c r="C105" i="13" s="1"/>
  <c r="S32" i="18" a="1"/>
  <c r="S32" i="18" s="1"/>
  <c r="T32" i="18" a="1"/>
  <c r="T32" i="18" s="1"/>
  <c r="U32" i="18" a="1"/>
  <c r="U32" i="18" s="1"/>
  <c r="F105" i="13" s="1"/>
  <c r="V32" i="18" a="1"/>
  <c r="V32" i="18" s="1"/>
  <c r="H105" i="13" s="1"/>
  <c r="R33" i="18" a="1"/>
  <c r="R33" i="18" s="1"/>
  <c r="C106" i="13" s="1"/>
  <c r="S33" i="18" a="1"/>
  <c r="S33" i="18" s="1"/>
  <c r="T33" i="18" a="1"/>
  <c r="T33" i="18" s="1"/>
  <c r="U33" i="18" a="1"/>
  <c r="U33" i="18" s="1"/>
  <c r="F106" i="13" s="1"/>
  <c r="V33" i="18" a="1"/>
  <c r="V33" i="18" s="1"/>
  <c r="H106" i="13" s="1"/>
  <c r="R34" i="18" a="1"/>
  <c r="R34" i="18" s="1"/>
  <c r="C107" i="13" s="1"/>
  <c r="S34" i="18" a="1"/>
  <c r="S34" i="18" s="1"/>
  <c r="T34" i="18" a="1"/>
  <c r="T34" i="18" s="1"/>
  <c r="U34" i="18" a="1"/>
  <c r="U34" i="18" s="1"/>
  <c r="F107" i="13" s="1"/>
  <c r="V34" i="18" a="1"/>
  <c r="V34" i="18" s="1"/>
  <c r="H107" i="13" s="1"/>
  <c r="R35" i="18" a="1"/>
  <c r="R35" i="18" s="1"/>
  <c r="C108" i="13" s="1"/>
  <c r="S35" i="18" a="1"/>
  <c r="S35" i="18" s="1"/>
  <c r="T35" i="18" a="1"/>
  <c r="T35" i="18" s="1"/>
  <c r="U35" i="18" a="1"/>
  <c r="U35" i="18" s="1"/>
  <c r="F108" i="13" s="1"/>
  <c r="V35" i="18" a="1"/>
  <c r="V35" i="18" s="1"/>
  <c r="H108" i="13" s="1"/>
  <c r="R36" i="18" a="1"/>
  <c r="R36" i="18" s="1"/>
  <c r="C109" i="13" s="1"/>
  <c r="S36" i="18" a="1"/>
  <c r="S36" i="18" s="1"/>
  <c r="T36" i="18" a="1"/>
  <c r="T36" i="18" s="1"/>
  <c r="U36" i="18" a="1"/>
  <c r="U36" i="18" s="1"/>
  <c r="F109" i="13" s="1"/>
  <c r="V36" i="18" a="1"/>
  <c r="V36" i="18" s="1"/>
  <c r="H109" i="13" s="1"/>
  <c r="R37" i="18" a="1"/>
  <c r="R37" i="18" s="1"/>
  <c r="C110" i="13" s="1"/>
  <c r="S37" i="18" a="1"/>
  <c r="S37" i="18" s="1"/>
  <c r="T37" i="18" a="1"/>
  <c r="T37" i="18" s="1"/>
  <c r="U37" i="18" a="1"/>
  <c r="U37" i="18" s="1"/>
  <c r="F110" i="13" s="1"/>
  <c r="V37" i="18" a="1"/>
  <c r="V37" i="18" s="1"/>
  <c r="H110" i="13" s="1"/>
  <c r="R38" i="18" a="1"/>
  <c r="R38" i="18" s="1"/>
  <c r="C111" i="13" s="1"/>
  <c r="S38" i="18" a="1"/>
  <c r="S38" i="18" s="1"/>
  <c r="T38" i="18" a="1"/>
  <c r="T38" i="18" s="1"/>
  <c r="U38" i="18" a="1"/>
  <c r="U38" i="18" s="1"/>
  <c r="F111" i="13" s="1"/>
  <c r="V38" i="18" a="1"/>
  <c r="V38" i="18" s="1"/>
  <c r="H111" i="13" s="1"/>
  <c r="R39" i="18" a="1"/>
  <c r="R39" i="18" s="1"/>
  <c r="C112" i="13" s="1"/>
  <c r="S39" i="18" a="1"/>
  <c r="S39" i="18" s="1"/>
  <c r="T39" i="18" a="1"/>
  <c r="T39" i="18" s="1"/>
  <c r="U39" i="18" a="1"/>
  <c r="U39" i="18" s="1"/>
  <c r="F112" i="13" s="1"/>
  <c r="V39" i="18" a="1"/>
  <c r="V39" i="18" s="1"/>
  <c r="H112" i="13" s="1"/>
  <c r="R40" i="18" a="1"/>
  <c r="R40" i="18" s="1"/>
  <c r="C113" i="13" s="1"/>
  <c r="S40" i="18" a="1"/>
  <c r="S40" i="18" s="1"/>
  <c r="T40" i="18" a="1"/>
  <c r="T40" i="18" s="1"/>
  <c r="U40" i="18" a="1"/>
  <c r="U40" i="18" s="1"/>
  <c r="F113" i="13" s="1"/>
  <c r="V40" i="18" a="1"/>
  <c r="V40" i="18" s="1"/>
  <c r="H113" i="13" s="1"/>
  <c r="R41" i="18" a="1"/>
  <c r="R41" i="18" s="1"/>
  <c r="C114" i="13" s="1"/>
  <c r="S41" i="18" a="1"/>
  <c r="S41" i="18" s="1"/>
  <c r="T41" i="18" a="1"/>
  <c r="T41" i="18" s="1"/>
  <c r="U41" i="18" a="1"/>
  <c r="U41" i="18" s="1"/>
  <c r="F114" i="13" s="1"/>
  <c r="V41" i="18" a="1"/>
  <c r="V41" i="18" s="1"/>
  <c r="H114" i="13" s="1"/>
  <c r="R42" i="18" a="1"/>
  <c r="R42" i="18" s="1"/>
  <c r="C115" i="13" s="1"/>
  <c r="S42" i="18" a="1"/>
  <c r="S42" i="18" s="1"/>
  <c r="T42" i="18" a="1"/>
  <c r="T42" i="18" s="1"/>
  <c r="U42" i="18" a="1"/>
  <c r="U42" i="18" s="1"/>
  <c r="F115" i="13" s="1"/>
  <c r="V42" i="18" a="1"/>
  <c r="V42" i="18" s="1"/>
  <c r="H115" i="13" s="1"/>
  <c r="R43" i="18" a="1"/>
  <c r="R43" i="18" s="1"/>
  <c r="C116" i="13" s="1"/>
  <c r="S43" i="18" a="1"/>
  <c r="S43" i="18" s="1"/>
  <c r="T43" i="18" a="1"/>
  <c r="T43" i="18" s="1"/>
  <c r="U43" i="18" a="1"/>
  <c r="U43" i="18" s="1"/>
  <c r="F116" i="13" s="1"/>
  <c r="V43" i="18" a="1"/>
  <c r="V43" i="18" s="1"/>
  <c r="H116" i="13" s="1"/>
  <c r="R44" i="18" a="1"/>
  <c r="R44" i="18" s="1"/>
  <c r="C117" i="13" s="1"/>
  <c r="S44" i="18" a="1"/>
  <c r="S44" i="18" s="1"/>
  <c r="T44" i="18" a="1"/>
  <c r="T44" i="18" s="1"/>
  <c r="U44" i="18" a="1"/>
  <c r="U44" i="18" s="1"/>
  <c r="F117" i="13" s="1"/>
  <c r="V44" i="18" a="1"/>
  <c r="V44" i="18" s="1"/>
  <c r="H117" i="13" s="1"/>
  <c r="R45" i="18" a="1"/>
  <c r="R45" i="18" s="1"/>
  <c r="C118" i="13" s="1"/>
  <c r="S45" i="18" a="1"/>
  <c r="S45" i="18" s="1"/>
  <c r="T45" i="18" a="1"/>
  <c r="T45" i="18" s="1"/>
  <c r="U45" i="18" a="1"/>
  <c r="U45" i="18" s="1"/>
  <c r="F118" i="13" s="1"/>
  <c r="V45" i="18" a="1"/>
  <c r="V45" i="18" s="1"/>
  <c r="H118" i="13" s="1"/>
  <c r="R46" i="18" a="1"/>
  <c r="R46" i="18" s="1"/>
  <c r="C119" i="13" s="1"/>
  <c r="S46" i="18" a="1"/>
  <c r="S46" i="18" s="1"/>
  <c r="T46" i="18" a="1"/>
  <c r="T46" i="18" s="1"/>
  <c r="U46" i="18" a="1"/>
  <c r="U46" i="18" s="1"/>
  <c r="F119" i="13" s="1"/>
  <c r="V46" i="18" a="1"/>
  <c r="V46" i="18" s="1"/>
  <c r="H119" i="13" s="1"/>
  <c r="R47" i="18" a="1"/>
  <c r="R47" i="18" s="1"/>
  <c r="C120" i="13" s="1"/>
  <c r="S47" i="18" a="1"/>
  <c r="S47" i="18" s="1"/>
  <c r="T47" i="18" a="1"/>
  <c r="T47" i="18" s="1"/>
  <c r="U47" i="18" a="1"/>
  <c r="U47" i="18" s="1"/>
  <c r="F120" i="13" s="1"/>
  <c r="V47" i="18" a="1"/>
  <c r="V47" i="18" s="1"/>
  <c r="H120" i="13" s="1"/>
  <c r="R48" i="18" a="1"/>
  <c r="R48" i="18" s="1"/>
  <c r="C121" i="13" s="1"/>
  <c r="S48" i="18" a="1"/>
  <c r="S48" i="18" s="1"/>
  <c r="T48" i="18" a="1"/>
  <c r="T48" i="18" s="1"/>
  <c r="U48" i="18" a="1"/>
  <c r="U48" i="18" s="1"/>
  <c r="F121" i="13" s="1"/>
  <c r="V48" i="18" a="1"/>
  <c r="V48" i="18" s="1"/>
  <c r="H121" i="13" s="1"/>
  <c r="R49" i="18" a="1"/>
  <c r="R49" i="18" s="1"/>
  <c r="C122" i="13" s="1"/>
  <c r="S49" i="18" a="1"/>
  <c r="S49" i="18" s="1"/>
  <c r="T49" i="18" a="1"/>
  <c r="T49" i="18" s="1"/>
  <c r="U49" i="18" a="1"/>
  <c r="U49" i="18" s="1"/>
  <c r="F122" i="13" s="1"/>
  <c r="V49" i="18" a="1"/>
  <c r="V49" i="18" s="1"/>
  <c r="H122" i="13" s="1"/>
  <c r="R50" i="18" a="1"/>
  <c r="R50" i="18" s="1"/>
  <c r="C123" i="13" s="1"/>
  <c r="S50" i="18" a="1"/>
  <c r="S50" i="18" s="1"/>
  <c r="T50" i="18" a="1"/>
  <c r="T50" i="18" s="1"/>
  <c r="U50" i="18" a="1"/>
  <c r="U50" i="18" s="1"/>
  <c r="F123" i="13" s="1"/>
  <c r="V50" i="18" a="1"/>
  <c r="V50" i="18" s="1"/>
  <c r="H123" i="13" s="1"/>
  <c r="R51" i="18" a="1"/>
  <c r="R51" i="18" s="1"/>
  <c r="C124" i="13" s="1"/>
  <c r="S51" i="18" a="1"/>
  <c r="S51" i="18" s="1"/>
  <c r="T51" i="18" a="1"/>
  <c r="T51" i="18" s="1"/>
  <c r="U51" i="18" a="1"/>
  <c r="U51" i="18" s="1"/>
  <c r="F124" i="13" s="1"/>
  <c r="V51" i="18" a="1"/>
  <c r="V51" i="18" s="1"/>
  <c r="H124" i="13" s="1"/>
  <c r="S4" i="18" a="1"/>
  <c r="S4" i="18" s="1"/>
  <c r="T4" i="18" a="1"/>
  <c r="T4" i="18" s="1"/>
  <c r="U4" i="18" a="1"/>
  <c r="U4" i="18" s="1"/>
  <c r="V4" i="18" a="1"/>
  <c r="V4" i="18" s="1"/>
  <c r="R4" i="18" a="1"/>
  <c r="R4" i="18" s="1"/>
  <c r="R5" i="12" a="1"/>
  <c r="R5" i="12" s="1"/>
  <c r="C18" i="13" s="1"/>
  <c r="S5" i="12" a="1"/>
  <c r="S5" i="12" s="1"/>
  <c r="T5" i="12" a="1"/>
  <c r="T5" i="12" s="1"/>
  <c r="U5" i="12" a="1"/>
  <c r="U5" i="12" s="1"/>
  <c r="F18" i="13" s="1"/>
  <c r="V5" i="12" a="1"/>
  <c r="V5" i="12" s="1"/>
  <c r="H18" i="13" s="1"/>
  <c r="R6" i="12" a="1"/>
  <c r="R6" i="12" s="1"/>
  <c r="C19" i="13" s="1"/>
  <c r="S6" i="12" a="1"/>
  <c r="S6" i="12" s="1"/>
  <c r="T6" i="12" a="1"/>
  <c r="T6" i="12" s="1"/>
  <c r="U6" i="12" a="1"/>
  <c r="U6" i="12" s="1"/>
  <c r="F19" i="13" s="1"/>
  <c r="V6" i="12" a="1"/>
  <c r="V6" i="12" s="1"/>
  <c r="H19" i="13" s="1"/>
  <c r="R7" i="12" a="1"/>
  <c r="R7" i="12" s="1"/>
  <c r="C20" i="13" s="1"/>
  <c r="S7" i="12" a="1"/>
  <c r="S7" i="12" s="1"/>
  <c r="T7" i="12" a="1"/>
  <c r="T7" i="12" s="1"/>
  <c r="U7" i="12" a="1"/>
  <c r="U7" i="12" s="1"/>
  <c r="F20" i="13" s="1"/>
  <c r="V7" i="12" a="1"/>
  <c r="V7" i="12" s="1"/>
  <c r="H20" i="13" s="1"/>
  <c r="R8" i="12" a="1"/>
  <c r="R8" i="12" s="1"/>
  <c r="C21" i="13" s="1"/>
  <c r="S8" i="12" a="1"/>
  <c r="S8" i="12" s="1"/>
  <c r="T8" i="12" a="1"/>
  <c r="T8" i="12" s="1"/>
  <c r="U8" i="12" a="1"/>
  <c r="U8" i="12" s="1"/>
  <c r="F21" i="13" s="1"/>
  <c r="V8" i="12" a="1"/>
  <c r="V8" i="12" s="1"/>
  <c r="H21" i="13" s="1"/>
  <c r="R9" i="12" a="1"/>
  <c r="R9" i="12" s="1"/>
  <c r="C22" i="13" s="1"/>
  <c r="S9" i="12" a="1"/>
  <c r="S9" i="12" s="1"/>
  <c r="T9" i="12" a="1"/>
  <c r="T9" i="12" s="1"/>
  <c r="U9" i="12" a="1"/>
  <c r="U9" i="12" s="1"/>
  <c r="F22" i="13" s="1"/>
  <c r="V9" i="12" a="1"/>
  <c r="V9" i="12" s="1"/>
  <c r="H22" i="13" s="1"/>
  <c r="R10" i="12" a="1"/>
  <c r="R10" i="12" s="1"/>
  <c r="C23" i="13" s="1"/>
  <c r="S10" i="12" a="1"/>
  <c r="S10" i="12" s="1"/>
  <c r="T10" i="12" a="1"/>
  <c r="T10" i="12" s="1"/>
  <c r="U10" i="12" a="1"/>
  <c r="U10" i="12" s="1"/>
  <c r="F23" i="13" s="1"/>
  <c r="V10" i="12" a="1"/>
  <c r="V10" i="12" s="1"/>
  <c r="H23" i="13" s="1"/>
  <c r="R11" i="12" a="1"/>
  <c r="R11" i="12" s="1"/>
  <c r="C24" i="13" s="1"/>
  <c r="S11" i="12" a="1"/>
  <c r="S11" i="12" s="1"/>
  <c r="T11" i="12" a="1"/>
  <c r="T11" i="12" s="1"/>
  <c r="U11" i="12" a="1"/>
  <c r="U11" i="12" s="1"/>
  <c r="F24" i="13" s="1"/>
  <c r="V11" i="12" a="1"/>
  <c r="V11" i="12" s="1"/>
  <c r="H24" i="13" s="1"/>
  <c r="R12" i="12" a="1"/>
  <c r="R12" i="12" s="1"/>
  <c r="C25" i="13" s="1"/>
  <c r="S12" i="12" a="1"/>
  <c r="S12" i="12" s="1"/>
  <c r="T12" i="12" a="1"/>
  <c r="T12" i="12" s="1"/>
  <c r="U12" i="12" a="1"/>
  <c r="U12" i="12" s="1"/>
  <c r="F25" i="13" s="1"/>
  <c r="V12" i="12" a="1"/>
  <c r="V12" i="12" s="1"/>
  <c r="H25" i="13" s="1"/>
  <c r="R13" i="12" a="1"/>
  <c r="R13" i="12" s="1"/>
  <c r="C26" i="13" s="1"/>
  <c r="S13" i="12" a="1"/>
  <c r="S13" i="12" s="1"/>
  <c r="T13" i="12" a="1"/>
  <c r="T13" i="12" s="1"/>
  <c r="U13" i="12" a="1"/>
  <c r="U13" i="12" s="1"/>
  <c r="F26" i="13" s="1"/>
  <c r="V13" i="12" a="1"/>
  <c r="V13" i="12" s="1"/>
  <c r="H26" i="13" s="1"/>
  <c r="R14" i="12" a="1"/>
  <c r="R14" i="12" s="1"/>
  <c r="C27" i="13" s="1"/>
  <c r="S14" i="12" a="1"/>
  <c r="S14" i="12" s="1"/>
  <c r="T14" i="12" a="1"/>
  <c r="T14" i="12" s="1"/>
  <c r="U14" i="12" a="1"/>
  <c r="U14" i="12" s="1"/>
  <c r="F27" i="13" s="1"/>
  <c r="V14" i="12" a="1"/>
  <c r="V14" i="12" s="1"/>
  <c r="H27" i="13" s="1"/>
  <c r="R15" i="12" a="1"/>
  <c r="R15" i="12" s="1"/>
  <c r="C28" i="13" s="1"/>
  <c r="S15" i="12" a="1"/>
  <c r="S15" i="12" s="1"/>
  <c r="T15" i="12" a="1"/>
  <c r="T15" i="12" s="1"/>
  <c r="U15" i="12" a="1"/>
  <c r="U15" i="12" s="1"/>
  <c r="F28" i="13" s="1"/>
  <c r="V15" i="12" a="1"/>
  <c r="V15" i="12" s="1"/>
  <c r="H28" i="13" s="1"/>
  <c r="R16" i="12" a="1"/>
  <c r="R16" i="12" s="1"/>
  <c r="C29" i="13" s="1"/>
  <c r="S16" i="12" a="1"/>
  <c r="S16" i="12" s="1"/>
  <c r="T16" i="12" a="1"/>
  <c r="T16" i="12" s="1"/>
  <c r="U16" i="12" a="1"/>
  <c r="U16" i="12" s="1"/>
  <c r="F29" i="13" s="1"/>
  <c r="V16" i="12" a="1"/>
  <c r="V16" i="12" s="1"/>
  <c r="H29" i="13" s="1"/>
  <c r="R17" i="12" a="1"/>
  <c r="R17" i="12" s="1"/>
  <c r="C30" i="13" s="1"/>
  <c r="S17" i="12" a="1"/>
  <c r="S17" i="12" s="1"/>
  <c r="T17" i="12" a="1"/>
  <c r="T17" i="12" s="1"/>
  <c r="U17" i="12" a="1"/>
  <c r="U17" i="12" s="1"/>
  <c r="F30" i="13" s="1"/>
  <c r="V17" i="12" a="1"/>
  <c r="V17" i="12" s="1"/>
  <c r="H30" i="13" s="1"/>
  <c r="R18" i="12" a="1"/>
  <c r="R18" i="12" s="1"/>
  <c r="C31" i="13" s="1"/>
  <c r="S18" i="12" a="1"/>
  <c r="S18" i="12" s="1"/>
  <c r="T18" i="12" a="1"/>
  <c r="T18" i="12" s="1"/>
  <c r="U18" i="12" a="1"/>
  <c r="U18" i="12" s="1"/>
  <c r="F31" i="13" s="1"/>
  <c r="V18" i="12" a="1"/>
  <c r="V18" i="12" s="1"/>
  <c r="H31" i="13" s="1"/>
  <c r="R19" i="12" a="1"/>
  <c r="R19" i="12" s="1"/>
  <c r="C32" i="13" s="1"/>
  <c r="S19" i="12" a="1"/>
  <c r="S19" i="12" s="1"/>
  <c r="T19" i="12" a="1"/>
  <c r="T19" i="12" s="1"/>
  <c r="U19" i="12" a="1"/>
  <c r="U19" i="12" s="1"/>
  <c r="F32" i="13" s="1"/>
  <c r="V19" i="12" a="1"/>
  <c r="V19" i="12" s="1"/>
  <c r="H32" i="13" s="1"/>
  <c r="R20" i="12" a="1"/>
  <c r="R20" i="12" s="1"/>
  <c r="C33" i="13" s="1"/>
  <c r="S20" i="12" a="1"/>
  <c r="S20" i="12" s="1"/>
  <c r="T20" i="12" a="1"/>
  <c r="T20" i="12" s="1"/>
  <c r="U20" i="12" a="1"/>
  <c r="U20" i="12" s="1"/>
  <c r="F33" i="13" s="1"/>
  <c r="V20" i="12" a="1"/>
  <c r="V20" i="12" s="1"/>
  <c r="H33" i="13" s="1"/>
  <c r="R21" i="12" a="1"/>
  <c r="R21" i="12" s="1"/>
  <c r="C34" i="13" s="1"/>
  <c r="S21" i="12" a="1"/>
  <c r="S21" i="12" s="1"/>
  <c r="T21" i="12" a="1"/>
  <c r="T21" i="12" s="1"/>
  <c r="U21" i="12" a="1"/>
  <c r="U21" i="12" s="1"/>
  <c r="F34" i="13" s="1"/>
  <c r="V21" i="12" a="1"/>
  <c r="V21" i="12" s="1"/>
  <c r="H34" i="13" s="1"/>
  <c r="R22" i="12" a="1"/>
  <c r="R22" i="12" s="1"/>
  <c r="C35" i="13" s="1"/>
  <c r="S22" i="12" a="1"/>
  <c r="S22" i="12" s="1"/>
  <c r="T22" i="12" a="1"/>
  <c r="T22" i="12" s="1"/>
  <c r="U22" i="12" a="1"/>
  <c r="U22" i="12" s="1"/>
  <c r="F35" i="13" s="1"/>
  <c r="V22" i="12" a="1"/>
  <c r="V22" i="12" s="1"/>
  <c r="H35" i="13" s="1"/>
  <c r="R23" i="12" a="1"/>
  <c r="R23" i="12" s="1"/>
  <c r="C36" i="13" s="1"/>
  <c r="S23" i="12" a="1"/>
  <c r="S23" i="12" s="1"/>
  <c r="T23" i="12" a="1"/>
  <c r="T23" i="12" s="1"/>
  <c r="U23" i="12" a="1"/>
  <c r="U23" i="12" s="1"/>
  <c r="F36" i="13" s="1"/>
  <c r="V23" i="12" a="1"/>
  <c r="V23" i="12" s="1"/>
  <c r="H36" i="13" s="1"/>
  <c r="R24" i="12" a="1"/>
  <c r="R24" i="12" s="1"/>
  <c r="C37" i="13" s="1"/>
  <c r="S24" i="12" a="1"/>
  <c r="S24" i="12" s="1"/>
  <c r="T24" i="12" a="1"/>
  <c r="T24" i="12" s="1"/>
  <c r="U24" i="12" a="1"/>
  <c r="U24" i="12" s="1"/>
  <c r="F37" i="13" s="1"/>
  <c r="V24" i="12" a="1"/>
  <c r="V24" i="12" s="1"/>
  <c r="H37" i="13" s="1"/>
  <c r="R25" i="12" a="1"/>
  <c r="R25" i="12" s="1"/>
  <c r="C38" i="13" s="1"/>
  <c r="S25" i="12" a="1"/>
  <c r="S25" i="12" s="1"/>
  <c r="T25" i="12" a="1"/>
  <c r="T25" i="12" s="1"/>
  <c r="U25" i="12" a="1"/>
  <c r="U25" i="12" s="1"/>
  <c r="F38" i="13" s="1"/>
  <c r="V25" i="12" a="1"/>
  <c r="V25" i="12" s="1"/>
  <c r="H38" i="13" s="1"/>
  <c r="R26" i="12" a="1"/>
  <c r="R26" i="12" s="1"/>
  <c r="C39" i="13" s="1"/>
  <c r="S26" i="12" a="1"/>
  <c r="S26" i="12" s="1"/>
  <c r="T26" i="12" a="1"/>
  <c r="T26" i="12" s="1"/>
  <c r="U26" i="12" a="1"/>
  <c r="U26" i="12" s="1"/>
  <c r="F39" i="13" s="1"/>
  <c r="V26" i="12" a="1"/>
  <c r="V26" i="12" s="1"/>
  <c r="H39" i="13" s="1"/>
  <c r="R27" i="12" a="1"/>
  <c r="R27" i="12" s="1"/>
  <c r="C40" i="13" s="1"/>
  <c r="S27" i="12" a="1"/>
  <c r="S27" i="12" s="1"/>
  <c r="T27" i="12" a="1"/>
  <c r="T27" i="12" s="1"/>
  <c r="U27" i="12" a="1"/>
  <c r="U27" i="12" s="1"/>
  <c r="F40" i="13" s="1"/>
  <c r="V27" i="12" a="1"/>
  <c r="V27" i="12" s="1"/>
  <c r="H40" i="13" s="1"/>
  <c r="R28" i="12" a="1"/>
  <c r="R28" i="12" s="1"/>
  <c r="C41" i="13" s="1"/>
  <c r="S28" i="12" a="1"/>
  <c r="S28" i="12" s="1"/>
  <c r="T28" i="12" a="1"/>
  <c r="T28" i="12" s="1"/>
  <c r="U28" i="12" a="1"/>
  <c r="U28" i="12" s="1"/>
  <c r="F41" i="13" s="1"/>
  <c r="V28" i="12" a="1"/>
  <c r="V28" i="12" s="1"/>
  <c r="H41" i="13" s="1"/>
  <c r="R29" i="12" a="1"/>
  <c r="R29" i="12" s="1"/>
  <c r="C42" i="13" s="1"/>
  <c r="S29" i="12" a="1"/>
  <c r="S29" i="12" s="1"/>
  <c r="T29" i="12" a="1"/>
  <c r="T29" i="12" s="1"/>
  <c r="U29" i="12" a="1"/>
  <c r="U29" i="12" s="1"/>
  <c r="F42" i="13" s="1"/>
  <c r="V29" i="12" a="1"/>
  <c r="V29" i="12" s="1"/>
  <c r="H42" i="13" s="1"/>
  <c r="R30" i="12" a="1"/>
  <c r="R30" i="12" s="1"/>
  <c r="C43" i="13" s="1"/>
  <c r="S30" i="12" a="1"/>
  <c r="S30" i="12" s="1"/>
  <c r="T30" i="12" a="1"/>
  <c r="T30" i="12" s="1"/>
  <c r="U30" i="12" a="1"/>
  <c r="U30" i="12" s="1"/>
  <c r="F43" i="13" s="1"/>
  <c r="V30" i="12" a="1"/>
  <c r="V30" i="12" s="1"/>
  <c r="H43" i="13" s="1"/>
  <c r="R31" i="12" a="1"/>
  <c r="R31" i="12" s="1"/>
  <c r="C44" i="13" s="1"/>
  <c r="S31" i="12" a="1"/>
  <c r="S31" i="12" s="1"/>
  <c r="T31" i="12" a="1"/>
  <c r="T31" i="12" s="1"/>
  <c r="U31" i="12" a="1"/>
  <c r="U31" i="12" s="1"/>
  <c r="F44" i="13" s="1"/>
  <c r="V31" i="12" a="1"/>
  <c r="V31" i="12" s="1"/>
  <c r="H44" i="13" s="1"/>
  <c r="R32" i="12" a="1"/>
  <c r="R32" i="12" s="1"/>
  <c r="C45" i="13" s="1"/>
  <c r="S32" i="12" a="1"/>
  <c r="S32" i="12" s="1"/>
  <c r="T32" i="12" a="1"/>
  <c r="T32" i="12" s="1"/>
  <c r="U32" i="12" a="1"/>
  <c r="U32" i="12" s="1"/>
  <c r="F45" i="13" s="1"/>
  <c r="V32" i="12" a="1"/>
  <c r="V32" i="12" s="1"/>
  <c r="H45" i="13" s="1"/>
  <c r="R33" i="12" a="1"/>
  <c r="R33" i="12" s="1"/>
  <c r="C46" i="13" s="1"/>
  <c r="S33" i="12" a="1"/>
  <c r="S33" i="12" s="1"/>
  <c r="T33" i="12" a="1"/>
  <c r="T33" i="12" s="1"/>
  <c r="U33" i="12" a="1"/>
  <c r="U33" i="12" s="1"/>
  <c r="F46" i="13" s="1"/>
  <c r="V33" i="12" a="1"/>
  <c r="V33" i="12" s="1"/>
  <c r="H46" i="13" s="1"/>
  <c r="R34" i="12" a="1"/>
  <c r="R34" i="12" s="1"/>
  <c r="C47" i="13" s="1"/>
  <c r="S34" i="12" a="1"/>
  <c r="S34" i="12" s="1"/>
  <c r="T34" i="12" a="1"/>
  <c r="T34" i="12" s="1"/>
  <c r="U34" i="12" a="1"/>
  <c r="U34" i="12" s="1"/>
  <c r="F47" i="13" s="1"/>
  <c r="V34" i="12" a="1"/>
  <c r="V34" i="12" s="1"/>
  <c r="H47" i="13" s="1"/>
  <c r="R35" i="12" a="1"/>
  <c r="R35" i="12" s="1"/>
  <c r="C48" i="13" s="1"/>
  <c r="S35" i="12" a="1"/>
  <c r="S35" i="12" s="1"/>
  <c r="T35" i="12" a="1"/>
  <c r="T35" i="12" s="1"/>
  <c r="U35" i="12" a="1"/>
  <c r="U35" i="12" s="1"/>
  <c r="F48" i="13" s="1"/>
  <c r="V35" i="12" a="1"/>
  <c r="V35" i="12" s="1"/>
  <c r="H48" i="13" s="1"/>
  <c r="R36" i="12" a="1"/>
  <c r="R36" i="12" s="1"/>
  <c r="C49" i="13" s="1"/>
  <c r="S36" i="12" a="1"/>
  <c r="S36" i="12" s="1"/>
  <c r="T36" i="12" a="1"/>
  <c r="T36" i="12" s="1"/>
  <c r="U36" i="12" a="1"/>
  <c r="U36" i="12" s="1"/>
  <c r="F49" i="13" s="1"/>
  <c r="V36" i="12" a="1"/>
  <c r="V36" i="12" s="1"/>
  <c r="H49" i="13" s="1"/>
  <c r="R37" i="12" a="1"/>
  <c r="R37" i="12" s="1"/>
  <c r="C50" i="13" s="1"/>
  <c r="S37" i="12" a="1"/>
  <c r="S37" i="12" s="1"/>
  <c r="T37" i="12" a="1"/>
  <c r="T37" i="12" s="1"/>
  <c r="U37" i="12" a="1"/>
  <c r="U37" i="12" s="1"/>
  <c r="F50" i="13" s="1"/>
  <c r="V37" i="12" a="1"/>
  <c r="V37" i="12" s="1"/>
  <c r="H50" i="13" s="1"/>
  <c r="R38" i="12" a="1"/>
  <c r="R38" i="12" s="1"/>
  <c r="C51" i="13" s="1"/>
  <c r="S38" i="12" a="1"/>
  <c r="S38" i="12" s="1"/>
  <c r="T38" i="12" a="1"/>
  <c r="T38" i="12" s="1"/>
  <c r="U38" i="12" a="1"/>
  <c r="U38" i="12" s="1"/>
  <c r="F51" i="13" s="1"/>
  <c r="V38" i="12" a="1"/>
  <c r="V38" i="12" s="1"/>
  <c r="H51" i="13" s="1"/>
  <c r="R39" i="12" a="1"/>
  <c r="R39" i="12" s="1"/>
  <c r="C52" i="13" s="1"/>
  <c r="S39" i="12" a="1"/>
  <c r="S39" i="12" s="1"/>
  <c r="T39" i="12" a="1"/>
  <c r="T39" i="12" s="1"/>
  <c r="U39" i="12" a="1"/>
  <c r="U39" i="12" s="1"/>
  <c r="F52" i="13" s="1"/>
  <c r="V39" i="12" a="1"/>
  <c r="V39" i="12" s="1"/>
  <c r="H52" i="13" s="1"/>
  <c r="R40" i="12" a="1"/>
  <c r="R40" i="12" s="1"/>
  <c r="C53" i="13" s="1"/>
  <c r="S40" i="12" a="1"/>
  <c r="S40" i="12" s="1"/>
  <c r="T40" i="12" a="1"/>
  <c r="T40" i="12" s="1"/>
  <c r="U40" i="12" a="1"/>
  <c r="U40" i="12" s="1"/>
  <c r="F53" i="13" s="1"/>
  <c r="V40" i="12" a="1"/>
  <c r="V40" i="12" s="1"/>
  <c r="H53" i="13" s="1"/>
  <c r="R41" i="12" a="1"/>
  <c r="R41" i="12" s="1"/>
  <c r="C54" i="13" s="1"/>
  <c r="S41" i="12" a="1"/>
  <c r="S41" i="12" s="1"/>
  <c r="T41" i="12" a="1"/>
  <c r="T41" i="12" s="1"/>
  <c r="U41" i="12" a="1"/>
  <c r="U41" i="12" s="1"/>
  <c r="F54" i="13" s="1"/>
  <c r="V41" i="12" a="1"/>
  <c r="V41" i="12" s="1"/>
  <c r="H54" i="13" s="1"/>
  <c r="R42" i="12" a="1"/>
  <c r="R42" i="12" s="1"/>
  <c r="C55" i="13" s="1"/>
  <c r="S42" i="12" a="1"/>
  <c r="S42" i="12" s="1"/>
  <c r="T42" i="12" a="1"/>
  <c r="T42" i="12" s="1"/>
  <c r="U42" i="12" a="1"/>
  <c r="U42" i="12" s="1"/>
  <c r="F55" i="13" s="1"/>
  <c r="V42" i="12" a="1"/>
  <c r="V42" i="12" s="1"/>
  <c r="H55" i="13" s="1"/>
  <c r="R43" i="12" a="1"/>
  <c r="R43" i="12" s="1"/>
  <c r="C56" i="13" s="1"/>
  <c r="S43" i="12" a="1"/>
  <c r="S43" i="12" s="1"/>
  <c r="T43" i="12" a="1"/>
  <c r="T43" i="12" s="1"/>
  <c r="U43" i="12" a="1"/>
  <c r="U43" i="12" s="1"/>
  <c r="F56" i="13" s="1"/>
  <c r="V43" i="12" a="1"/>
  <c r="V43" i="12" s="1"/>
  <c r="H56" i="13" s="1"/>
  <c r="R44" i="12" a="1"/>
  <c r="R44" i="12" s="1"/>
  <c r="C57" i="13" s="1"/>
  <c r="S44" i="12" a="1"/>
  <c r="S44" i="12" s="1"/>
  <c r="T44" i="12" a="1"/>
  <c r="T44" i="12" s="1"/>
  <c r="U44" i="12" a="1"/>
  <c r="U44" i="12" s="1"/>
  <c r="F57" i="13" s="1"/>
  <c r="V44" i="12" a="1"/>
  <c r="V44" i="12" s="1"/>
  <c r="H57" i="13" s="1"/>
  <c r="R45" i="12" a="1"/>
  <c r="R45" i="12" s="1"/>
  <c r="C58" i="13" s="1"/>
  <c r="S45" i="12" a="1"/>
  <c r="S45" i="12" s="1"/>
  <c r="T45" i="12" a="1"/>
  <c r="T45" i="12" s="1"/>
  <c r="U45" i="12" a="1"/>
  <c r="U45" i="12" s="1"/>
  <c r="F58" i="13" s="1"/>
  <c r="V45" i="12" a="1"/>
  <c r="V45" i="12" s="1"/>
  <c r="H58" i="13" s="1"/>
  <c r="R46" i="12" a="1"/>
  <c r="R46" i="12" s="1"/>
  <c r="C59" i="13" s="1"/>
  <c r="S46" i="12" a="1"/>
  <c r="S46" i="12" s="1"/>
  <c r="T46" i="12" a="1"/>
  <c r="T46" i="12" s="1"/>
  <c r="U46" i="12" a="1"/>
  <c r="U46" i="12" s="1"/>
  <c r="F59" i="13" s="1"/>
  <c r="V46" i="12" a="1"/>
  <c r="V46" i="12" s="1"/>
  <c r="H59" i="13" s="1"/>
  <c r="R47" i="12" a="1"/>
  <c r="R47" i="12" s="1"/>
  <c r="C60" i="13" s="1"/>
  <c r="S47" i="12" a="1"/>
  <c r="S47" i="12" s="1"/>
  <c r="T47" i="12" a="1"/>
  <c r="T47" i="12" s="1"/>
  <c r="U47" i="12" a="1"/>
  <c r="U47" i="12" s="1"/>
  <c r="F60" i="13" s="1"/>
  <c r="V47" i="12" a="1"/>
  <c r="V47" i="12" s="1"/>
  <c r="H60" i="13" s="1"/>
  <c r="R48" i="12" a="1"/>
  <c r="R48" i="12" s="1"/>
  <c r="C61" i="13" s="1"/>
  <c r="S48" i="12" a="1"/>
  <c r="S48" i="12" s="1"/>
  <c r="T48" i="12" a="1"/>
  <c r="T48" i="12" s="1"/>
  <c r="U48" i="12" a="1"/>
  <c r="U48" i="12" s="1"/>
  <c r="F61" i="13" s="1"/>
  <c r="V48" i="12" a="1"/>
  <c r="V48" i="12" s="1"/>
  <c r="H61" i="13" s="1"/>
  <c r="R49" i="12" a="1"/>
  <c r="R49" i="12" s="1"/>
  <c r="C62" i="13" s="1"/>
  <c r="S49" i="12" a="1"/>
  <c r="S49" i="12" s="1"/>
  <c r="T49" i="12" a="1"/>
  <c r="T49" i="12" s="1"/>
  <c r="U49" i="12" a="1"/>
  <c r="U49" i="12" s="1"/>
  <c r="F62" i="13" s="1"/>
  <c r="V49" i="12" a="1"/>
  <c r="V49" i="12" s="1"/>
  <c r="H62" i="13" s="1"/>
  <c r="R50" i="12" a="1"/>
  <c r="R50" i="12" s="1"/>
  <c r="C63" i="13" s="1"/>
  <c r="S50" i="12" a="1"/>
  <c r="S50" i="12" s="1"/>
  <c r="T50" i="12" a="1"/>
  <c r="T50" i="12" s="1"/>
  <c r="U50" i="12" a="1"/>
  <c r="U50" i="12" s="1"/>
  <c r="F63" i="13" s="1"/>
  <c r="V50" i="12" a="1"/>
  <c r="V50" i="12" s="1"/>
  <c r="H63" i="13" s="1"/>
  <c r="S4" i="12" a="1"/>
  <c r="S4" i="12" s="1"/>
  <c r="T4" i="12" a="1"/>
  <c r="T4" i="12" s="1"/>
  <c r="H77" i="13" l="1"/>
  <c r="F77" i="13"/>
  <c r="H4" i="17"/>
  <c r="H5" i="17"/>
  <c r="H6" i="17"/>
  <c r="H7" i="17"/>
  <c r="H8" i="17"/>
  <c r="H9" i="17"/>
  <c r="H10" i="17"/>
  <c r="H11" i="17"/>
  <c r="H12" i="17"/>
  <c r="H13" i="17"/>
  <c r="H14" i="17"/>
  <c r="H15" i="17"/>
  <c r="H16" i="17"/>
  <c r="H17" i="17"/>
  <c r="H18" i="17"/>
  <c r="H19" i="17"/>
  <c r="H20" i="17"/>
  <c r="H21" i="17"/>
  <c r="H22" i="17"/>
  <c r="H23" i="17"/>
  <c r="H24" i="17"/>
  <c r="H25" i="17"/>
  <c r="H26" i="17"/>
  <c r="H27" i="17"/>
  <c r="H28" i="17"/>
  <c r="H29" i="17"/>
  <c r="H30" i="17"/>
  <c r="H31" i="17"/>
  <c r="H32" i="17"/>
  <c r="H33" i="17"/>
  <c r="H34" i="17"/>
  <c r="H35" i="17"/>
  <c r="H36" i="17"/>
  <c r="H37" i="17"/>
  <c r="H38" i="17"/>
  <c r="H39" i="17"/>
  <c r="H40" i="17"/>
  <c r="H41" i="17"/>
  <c r="H42" i="17"/>
  <c r="H43" i="17"/>
  <c r="H44" i="17"/>
  <c r="H45" i="17"/>
  <c r="H46" i="17"/>
  <c r="H47" i="17"/>
  <c r="H48" i="17"/>
  <c r="H49" i="17"/>
  <c r="H50" i="17"/>
  <c r="H51" i="17"/>
  <c r="H52" i="17"/>
  <c r="H53" i="17"/>
  <c r="H54" i="17"/>
  <c r="H55" i="17"/>
  <c r="H56" i="17"/>
  <c r="H57" i="17"/>
  <c r="H58" i="17"/>
  <c r="H59" i="17"/>
  <c r="H60" i="17"/>
  <c r="H61" i="17"/>
  <c r="H62" i="17"/>
  <c r="H63" i="17"/>
  <c r="H64" i="17"/>
  <c r="H65" i="17"/>
  <c r="H66" i="17"/>
  <c r="H67" i="17"/>
  <c r="H68" i="17"/>
  <c r="H69" i="17"/>
  <c r="H70" i="17"/>
  <c r="H71" i="17"/>
  <c r="H72" i="17"/>
  <c r="H73" i="17"/>
  <c r="H74" i="17"/>
  <c r="H75" i="17"/>
  <c r="H76" i="17"/>
  <c r="H77" i="17"/>
  <c r="H78" i="17"/>
  <c r="H79" i="17"/>
  <c r="H80" i="17"/>
  <c r="H81" i="17"/>
  <c r="H82" i="17"/>
  <c r="H83" i="17"/>
  <c r="H84" i="17"/>
  <c r="H85" i="17"/>
  <c r="H86" i="17"/>
  <c r="H87" i="17"/>
  <c r="H88" i="17"/>
  <c r="H89" i="17"/>
  <c r="H90" i="17"/>
  <c r="H91" i="17"/>
  <c r="H92" i="17"/>
  <c r="H93" i="17"/>
  <c r="H94" i="17"/>
  <c r="H95" i="17"/>
  <c r="H96" i="17"/>
  <c r="H97" i="17"/>
  <c r="H98" i="17"/>
  <c r="H99" i="17"/>
  <c r="H100" i="17"/>
  <c r="H101" i="17"/>
  <c r="H102" i="17"/>
  <c r="H103" i="17"/>
  <c r="H104" i="17"/>
  <c r="H105" i="17"/>
  <c r="H106" i="17"/>
  <c r="H107" i="17"/>
  <c r="H108" i="17"/>
  <c r="H109" i="17"/>
  <c r="H110" i="17"/>
  <c r="H111" i="17"/>
  <c r="H112" i="17"/>
  <c r="H113" i="17"/>
  <c r="H114" i="17"/>
  <c r="H115" i="17"/>
  <c r="H116" i="17"/>
  <c r="H117" i="17"/>
  <c r="H118" i="17"/>
  <c r="H119" i="17"/>
  <c r="H120" i="17"/>
  <c r="H121" i="17"/>
  <c r="H122" i="17"/>
  <c r="H123" i="17"/>
  <c r="H124" i="17"/>
  <c r="H125" i="17"/>
  <c r="H126" i="17"/>
  <c r="H127" i="17"/>
  <c r="H128" i="17"/>
  <c r="H129" i="17"/>
  <c r="H130" i="17"/>
  <c r="H131" i="17"/>
  <c r="H132" i="17"/>
  <c r="H133" i="17"/>
  <c r="H134" i="17"/>
  <c r="H135" i="17"/>
  <c r="H136" i="17"/>
  <c r="H137" i="17"/>
  <c r="H138" i="17"/>
  <c r="H139" i="17"/>
  <c r="H140" i="17"/>
  <c r="H141" i="17"/>
  <c r="H142" i="17"/>
  <c r="H143" i="17"/>
  <c r="H144" i="17"/>
  <c r="H145" i="17"/>
  <c r="H146" i="17"/>
  <c r="H147" i="17"/>
  <c r="H148" i="17"/>
  <c r="H149" i="17"/>
  <c r="H150" i="17"/>
  <c r="H151" i="17"/>
  <c r="H152" i="17"/>
  <c r="H153" i="17"/>
  <c r="H154" i="17"/>
  <c r="H155" i="17"/>
  <c r="H156" i="17"/>
  <c r="H157" i="17"/>
  <c r="H158" i="17"/>
  <c r="H159" i="17"/>
  <c r="H160" i="17"/>
  <c r="H161" i="17"/>
  <c r="H162" i="17"/>
  <c r="H163" i="17"/>
  <c r="H164" i="17"/>
  <c r="H165" i="17"/>
  <c r="H166" i="17"/>
  <c r="H167" i="17"/>
  <c r="H168" i="17"/>
  <c r="H169" i="17"/>
  <c r="H170" i="17"/>
  <c r="H171" i="17"/>
  <c r="H172" i="17"/>
  <c r="H173" i="17"/>
  <c r="H174" i="17"/>
  <c r="H175" i="17"/>
  <c r="H176" i="17"/>
  <c r="H177" i="17"/>
  <c r="H178" i="17"/>
  <c r="H179" i="17"/>
  <c r="H180" i="17"/>
  <c r="H181" i="17"/>
  <c r="H182" i="17"/>
  <c r="H183" i="17"/>
  <c r="H184" i="17"/>
  <c r="H185" i="17"/>
  <c r="H186" i="17"/>
  <c r="H187" i="17"/>
  <c r="H188" i="17"/>
  <c r="H189" i="17"/>
  <c r="H190" i="17"/>
  <c r="H191" i="17"/>
  <c r="H192" i="17"/>
  <c r="H193" i="17"/>
  <c r="H194" i="17"/>
  <c r="H195" i="17"/>
  <c r="H196" i="17"/>
  <c r="H197" i="17"/>
  <c r="H198" i="17"/>
  <c r="H199" i="17"/>
  <c r="H200" i="17"/>
  <c r="H201" i="17"/>
  <c r="H3" i="17"/>
  <c r="G4" i="17"/>
  <c r="U4" i="17" s="1" a="1"/>
  <c r="U4" i="17" s="1"/>
  <c r="G5" i="17"/>
  <c r="G6" i="17"/>
  <c r="G7" i="17"/>
  <c r="G8" i="17"/>
  <c r="G9" i="17"/>
  <c r="G10" i="17"/>
  <c r="G11" i="17"/>
  <c r="G12" i="17"/>
  <c r="G13" i="17"/>
  <c r="G14" i="17"/>
  <c r="G15" i="17"/>
  <c r="G16" i="17"/>
  <c r="G17" i="17"/>
  <c r="G18" i="17"/>
  <c r="G19" i="17"/>
  <c r="G20" i="17"/>
  <c r="G21" i="17"/>
  <c r="G22" i="17"/>
  <c r="G23" i="17"/>
  <c r="G24" i="17"/>
  <c r="G25" i="17"/>
  <c r="G26" i="17"/>
  <c r="G27" i="17"/>
  <c r="G28" i="17"/>
  <c r="G29" i="17"/>
  <c r="G30" i="17"/>
  <c r="G31" i="17"/>
  <c r="G32" i="17"/>
  <c r="G33" i="17"/>
  <c r="G34" i="17"/>
  <c r="G35" i="17"/>
  <c r="G36" i="17"/>
  <c r="G37" i="17"/>
  <c r="G38" i="17"/>
  <c r="G39" i="17"/>
  <c r="G40" i="17"/>
  <c r="G41" i="17"/>
  <c r="G42" i="17"/>
  <c r="G43" i="17"/>
  <c r="G44" i="17"/>
  <c r="G45" i="17"/>
  <c r="G46" i="17"/>
  <c r="G47" i="17"/>
  <c r="G48" i="17"/>
  <c r="G49" i="17"/>
  <c r="G50" i="17"/>
  <c r="G51" i="17"/>
  <c r="G52" i="17"/>
  <c r="G53" i="17"/>
  <c r="G54" i="17"/>
  <c r="G55" i="17"/>
  <c r="G56" i="17"/>
  <c r="G57" i="17"/>
  <c r="G58" i="17"/>
  <c r="G59" i="17"/>
  <c r="G60" i="17"/>
  <c r="G61" i="17"/>
  <c r="G62" i="17"/>
  <c r="G63" i="17"/>
  <c r="G64" i="17"/>
  <c r="G65" i="17"/>
  <c r="G66" i="17"/>
  <c r="G67" i="17"/>
  <c r="G68" i="17"/>
  <c r="G69" i="17"/>
  <c r="G70" i="17"/>
  <c r="G71" i="17"/>
  <c r="G72" i="17"/>
  <c r="G73" i="17"/>
  <c r="G74" i="17"/>
  <c r="G75" i="17"/>
  <c r="G76" i="17"/>
  <c r="G77" i="17"/>
  <c r="G78" i="17"/>
  <c r="G79" i="17"/>
  <c r="G80" i="17"/>
  <c r="G81" i="17"/>
  <c r="G82" i="17"/>
  <c r="G83" i="17"/>
  <c r="G84" i="17"/>
  <c r="G85" i="17"/>
  <c r="G86" i="17"/>
  <c r="G87" i="17"/>
  <c r="G88" i="17"/>
  <c r="G89" i="17"/>
  <c r="G90" i="17"/>
  <c r="G91" i="17"/>
  <c r="G92" i="17"/>
  <c r="G93" i="17"/>
  <c r="G94" i="17"/>
  <c r="G95" i="17"/>
  <c r="G96" i="17"/>
  <c r="G97" i="17"/>
  <c r="G98" i="17"/>
  <c r="G99" i="17"/>
  <c r="G100" i="17"/>
  <c r="G101" i="17"/>
  <c r="G102" i="17"/>
  <c r="G103" i="17"/>
  <c r="G104" i="17"/>
  <c r="G105" i="17"/>
  <c r="G106" i="17"/>
  <c r="G107" i="17"/>
  <c r="G108" i="17"/>
  <c r="G109" i="17"/>
  <c r="G110" i="17"/>
  <c r="G111" i="17"/>
  <c r="G112" i="17"/>
  <c r="G113" i="17"/>
  <c r="G114" i="17"/>
  <c r="G115" i="17"/>
  <c r="G116" i="17"/>
  <c r="G117" i="17"/>
  <c r="G118" i="17"/>
  <c r="G119" i="17"/>
  <c r="G120" i="17"/>
  <c r="G121" i="17"/>
  <c r="G122" i="17"/>
  <c r="G123" i="17"/>
  <c r="G124" i="17"/>
  <c r="G125" i="17"/>
  <c r="G126" i="17"/>
  <c r="G127" i="17"/>
  <c r="G128" i="17"/>
  <c r="G129" i="17"/>
  <c r="G130" i="17"/>
  <c r="G131" i="17"/>
  <c r="G132" i="17"/>
  <c r="G133" i="17"/>
  <c r="G134" i="17"/>
  <c r="G135" i="17"/>
  <c r="G136" i="17"/>
  <c r="G137" i="17"/>
  <c r="G138" i="17"/>
  <c r="G139" i="17"/>
  <c r="G140" i="17"/>
  <c r="G141" i="17"/>
  <c r="G142" i="17"/>
  <c r="G143" i="17"/>
  <c r="G144" i="17"/>
  <c r="G145" i="17"/>
  <c r="G146" i="17"/>
  <c r="G147" i="17"/>
  <c r="G148" i="17"/>
  <c r="G149" i="17"/>
  <c r="G150" i="17"/>
  <c r="G151" i="17"/>
  <c r="G152" i="17"/>
  <c r="G153" i="17"/>
  <c r="G154" i="17"/>
  <c r="G155" i="17"/>
  <c r="G156" i="17"/>
  <c r="G157" i="17"/>
  <c r="G158" i="17"/>
  <c r="G159" i="17"/>
  <c r="G160" i="17"/>
  <c r="G161" i="17"/>
  <c r="G162" i="17"/>
  <c r="G163" i="17"/>
  <c r="G164" i="17"/>
  <c r="G165" i="17"/>
  <c r="G166" i="17"/>
  <c r="G167" i="17"/>
  <c r="G168" i="17"/>
  <c r="G169" i="17"/>
  <c r="G170" i="17"/>
  <c r="G171" i="17"/>
  <c r="G172" i="17"/>
  <c r="G173" i="17"/>
  <c r="G174" i="17"/>
  <c r="G175" i="17"/>
  <c r="G176" i="17"/>
  <c r="G177" i="17"/>
  <c r="G178" i="17"/>
  <c r="G179" i="17"/>
  <c r="G180" i="17"/>
  <c r="G181" i="17"/>
  <c r="G182" i="17"/>
  <c r="G183" i="17"/>
  <c r="G184" i="17"/>
  <c r="G185" i="17"/>
  <c r="G186" i="17"/>
  <c r="G187" i="17"/>
  <c r="G188" i="17"/>
  <c r="G189" i="17"/>
  <c r="G190" i="17"/>
  <c r="G191" i="17"/>
  <c r="G192" i="17"/>
  <c r="G193" i="17"/>
  <c r="G194" i="17"/>
  <c r="G195" i="17"/>
  <c r="G196" i="17"/>
  <c r="G197" i="17"/>
  <c r="G198" i="17"/>
  <c r="G199" i="17"/>
  <c r="G200" i="17"/>
  <c r="G201" i="17"/>
  <c r="G3" i="17"/>
  <c r="U3" i="17" s="1" a="1"/>
  <c r="U3" i="17" s="1"/>
  <c r="F4" i="17"/>
  <c r="T4" i="17" s="1" a="1"/>
  <c r="T4" i="17" s="1"/>
  <c r="F5" i="17"/>
  <c r="F6" i="17"/>
  <c r="F7" i="17"/>
  <c r="F8" i="17"/>
  <c r="F9" i="17"/>
  <c r="F10" i="17"/>
  <c r="F11" i="17"/>
  <c r="F12" i="17"/>
  <c r="F13" i="17"/>
  <c r="F14" i="17"/>
  <c r="F15" i="17"/>
  <c r="F16" i="17"/>
  <c r="F17" i="17"/>
  <c r="F18" i="17"/>
  <c r="F19" i="17"/>
  <c r="F20" i="17"/>
  <c r="F21" i="17"/>
  <c r="F22" i="17"/>
  <c r="F23" i="17"/>
  <c r="F24" i="17"/>
  <c r="F25" i="17"/>
  <c r="F26" i="17"/>
  <c r="F27" i="17"/>
  <c r="F28" i="17"/>
  <c r="F29" i="17"/>
  <c r="F30" i="17"/>
  <c r="F31" i="17"/>
  <c r="F32" i="17"/>
  <c r="F33" i="17"/>
  <c r="F34" i="17"/>
  <c r="F35" i="17"/>
  <c r="F36" i="17"/>
  <c r="F37" i="17"/>
  <c r="F38" i="17"/>
  <c r="F39" i="17"/>
  <c r="F40" i="17"/>
  <c r="F41" i="17"/>
  <c r="F42" i="17"/>
  <c r="F43" i="17"/>
  <c r="F44" i="17"/>
  <c r="F45" i="17"/>
  <c r="F46" i="17"/>
  <c r="F47" i="17"/>
  <c r="F48" i="17"/>
  <c r="F49" i="17"/>
  <c r="F50" i="17"/>
  <c r="F51" i="17"/>
  <c r="F52" i="17"/>
  <c r="F53" i="17"/>
  <c r="F54" i="17"/>
  <c r="F55" i="17"/>
  <c r="F56" i="17"/>
  <c r="F57" i="17"/>
  <c r="F58" i="17"/>
  <c r="F59" i="17"/>
  <c r="F60" i="17"/>
  <c r="F61" i="17"/>
  <c r="F62" i="17"/>
  <c r="F63" i="17"/>
  <c r="F64" i="17"/>
  <c r="F65" i="17"/>
  <c r="F66" i="17"/>
  <c r="F67" i="17"/>
  <c r="F68" i="17"/>
  <c r="F69" i="17"/>
  <c r="F70" i="17"/>
  <c r="F71" i="17"/>
  <c r="F72" i="17"/>
  <c r="F73" i="17"/>
  <c r="F74" i="17"/>
  <c r="F75" i="17"/>
  <c r="F76" i="17"/>
  <c r="F77" i="17"/>
  <c r="F78" i="17"/>
  <c r="F79" i="17"/>
  <c r="F80" i="17"/>
  <c r="F81" i="17"/>
  <c r="F82" i="17"/>
  <c r="F83" i="17"/>
  <c r="F84" i="17"/>
  <c r="F85" i="17"/>
  <c r="F86" i="17"/>
  <c r="F87" i="17"/>
  <c r="F88" i="17"/>
  <c r="F89" i="17"/>
  <c r="F90" i="17"/>
  <c r="F91" i="17"/>
  <c r="F92" i="17"/>
  <c r="F93" i="17"/>
  <c r="F94" i="17"/>
  <c r="F95" i="17"/>
  <c r="F96" i="17"/>
  <c r="F97" i="17"/>
  <c r="F98" i="17"/>
  <c r="F99" i="17"/>
  <c r="F100" i="17"/>
  <c r="F101" i="17"/>
  <c r="F102" i="17"/>
  <c r="F103" i="17"/>
  <c r="F104" i="17"/>
  <c r="F105" i="17"/>
  <c r="F106" i="17"/>
  <c r="F107" i="17"/>
  <c r="F108" i="17"/>
  <c r="F109" i="17"/>
  <c r="F110" i="17"/>
  <c r="F111" i="17"/>
  <c r="F112" i="17"/>
  <c r="F113" i="17"/>
  <c r="F114" i="17"/>
  <c r="F115" i="17"/>
  <c r="F116" i="17"/>
  <c r="F117" i="17"/>
  <c r="F118" i="17"/>
  <c r="F119" i="17"/>
  <c r="F120" i="17"/>
  <c r="F121" i="17"/>
  <c r="F122" i="17"/>
  <c r="F123" i="17"/>
  <c r="F124" i="17"/>
  <c r="F125" i="17"/>
  <c r="F126" i="17"/>
  <c r="F127" i="17"/>
  <c r="F128" i="17"/>
  <c r="F129" i="17"/>
  <c r="F130" i="17"/>
  <c r="F131" i="17"/>
  <c r="F132" i="17"/>
  <c r="F133" i="17"/>
  <c r="F134" i="17"/>
  <c r="F135" i="17"/>
  <c r="F136" i="17"/>
  <c r="F137" i="17"/>
  <c r="F138" i="17"/>
  <c r="F139" i="17"/>
  <c r="F140" i="17"/>
  <c r="F141" i="17"/>
  <c r="F142" i="17"/>
  <c r="F143" i="17"/>
  <c r="F144" i="17"/>
  <c r="F145" i="17"/>
  <c r="F146" i="17"/>
  <c r="F147" i="17"/>
  <c r="F148" i="17"/>
  <c r="F149" i="17"/>
  <c r="F150" i="17"/>
  <c r="F151" i="17"/>
  <c r="F152" i="17"/>
  <c r="F153" i="17"/>
  <c r="F154" i="17"/>
  <c r="F155" i="17"/>
  <c r="F156" i="17"/>
  <c r="F157" i="17"/>
  <c r="F158" i="17"/>
  <c r="F159" i="17"/>
  <c r="F160" i="17"/>
  <c r="F161" i="17"/>
  <c r="F162" i="17"/>
  <c r="F163" i="17"/>
  <c r="F164" i="17"/>
  <c r="F165" i="17"/>
  <c r="F166" i="17"/>
  <c r="F167" i="17"/>
  <c r="F168" i="17"/>
  <c r="F169" i="17"/>
  <c r="F170" i="17"/>
  <c r="F171" i="17"/>
  <c r="F172" i="17"/>
  <c r="F173" i="17"/>
  <c r="F174" i="17"/>
  <c r="F175" i="17"/>
  <c r="F176" i="17"/>
  <c r="F177" i="17"/>
  <c r="F178" i="17"/>
  <c r="F179" i="17"/>
  <c r="F180" i="17"/>
  <c r="F181" i="17"/>
  <c r="F182" i="17"/>
  <c r="F183" i="17"/>
  <c r="F184" i="17"/>
  <c r="F185" i="17"/>
  <c r="F186" i="17"/>
  <c r="F187" i="17"/>
  <c r="F188" i="17"/>
  <c r="F189" i="17"/>
  <c r="F190" i="17"/>
  <c r="F191" i="17"/>
  <c r="F192" i="17"/>
  <c r="F193" i="17"/>
  <c r="F194" i="17"/>
  <c r="F195" i="17"/>
  <c r="F196" i="17"/>
  <c r="F197" i="17"/>
  <c r="F198" i="17"/>
  <c r="F199" i="17"/>
  <c r="F200" i="17"/>
  <c r="F201" i="17"/>
  <c r="F3" i="17"/>
  <c r="T3" i="17" s="1" a="1"/>
  <c r="T3" i="17" s="1"/>
  <c r="E4" i="17"/>
  <c r="S4" i="17" s="1" a="1"/>
  <c r="S4" i="17" s="1"/>
  <c r="E5" i="17"/>
  <c r="E6" i="17"/>
  <c r="E7" i="17"/>
  <c r="E8" i="17"/>
  <c r="E9" i="17"/>
  <c r="E10" i="17"/>
  <c r="E11" i="17"/>
  <c r="E12" i="17"/>
  <c r="E13" i="17"/>
  <c r="E14" i="17"/>
  <c r="E15" i="17"/>
  <c r="E16" i="17"/>
  <c r="E17" i="17"/>
  <c r="E18" i="17"/>
  <c r="E19" i="17"/>
  <c r="E20" i="17"/>
  <c r="E21" i="17"/>
  <c r="E22" i="17"/>
  <c r="E23" i="17"/>
  <c r="E24" i="17"/>
  <c r="E25" i="17"/>
  <c r="E26" i="17"/>
  <c r="E27" i="17"/>
  <c r="E28" i="17"/>
  <c r="E29" i="17"/>
  <c r="E30" i="17"/>
  <c r="E31" i="17"/>
  <c r="E32" i="17"/>
  <c r="E33" i="17"/>
  <c r="E34" i="17"/>
  <c r="E35" i="17"/>
  <c r="E36" i="17"/>
  <c r="E37" i="17"/>
  <c r="E38" i="17"/>
  <c r="E39" i="17"/>
  <c r="E40" i="17"/>
  <c r="E41" i="17"/>
  <c r="E42" i="17"/>
  <c r="E43" i="17"/>
  <c r="E44" i="17"/>
  <c r="E45" i="17"/>
  <c r="E46" i="17"/>
  <c r="E47" i="17"/>
  <c r="E48" i="17"/>
  <c r="E49" i="17"/>
  <c r="E50" i="17"/>
  <c r="E51" i="17"/>
  <c r="E52" i="17"/>
  <c r="E53" i="17"/>
  <c r="E54" i="17"/>
  <c r="E55" i="17"/>
  <c r="E56" i="17"/>
  <c r="E57" i="17"/>
  <c r="E58" i="17"/>
  <c r="E59" i="17"/>
  <c r="E60" i="17"/>
  <c r="E61" i="17"/>
  <c r="E62" i="17"/>
  <c r="E63" i="17"/>
  <c r="E64" i="17"/>
  <c r="E65" i="17"/>
  <c r="E66" i="17"/>
  <c r="E67" i="17"/>
  <c r="E68" i="17"/>
  <c r="E69" i="17"/>
  <c r="E70" i="17"/>
  <c r="E71" i="17"/>
  <c r="E72" i="17"/>
  <c r="E73" i="17"/>
  <c r="E74" i="17"/>
  <c r="E75" i="17"/>
  <c r="E76" i="17"/>
  <c r="E77" i="17"/>
  <c r="E78" i="17"/>
  <c r="E79" i="17"/>
  <c r="E80" i="17"/>
  <c r="E81" i="17"/>
  <c r="E82" i="17"/>
  <c r="E83" i="17"/>
  <c r="E84" i="17"/>
  <c r="E85" i="17"/>
  <c r="E86" i="17"/>
  <c r="E87" i="17"/>
  <c r="E88" i="17"/>
  <c r="E89" i="17"/>
  <c r="E90" i="17"/>
  <c r="E91" i="17"/>
  <c r="E92" i="17"/>
  <c r="E93" i="17"/>
  <c r="E94" i="17"/>
  <c r="E95" i="17"/>
  <c r="E96" i="17"/>
  <c r="E97" i="17"/>
  <c r="E98" i="17"/>
  <c r="E99" i="17"/>
  <c r="E100" i="17"/>
  <c r="E101" i="17"/>
  <c r="E102" i="17"/>
  <c r="E103" i="17"/>
  <c r="E104" i="17"/>
  <c r="E105" i="17"/>
  <c r="E106" i="17"/>
  <c r="E107" i="17"/>
  <c r="E108" i="17"/>
  <c r="E109" i="17"/>
  <c r="E110" i="17"/>
  <c r="E111" i="17"/>
  <c r="E112" i="17"/>
  <c r="E113" i="17"/>
  <c r="E114" i="17"/>
  <c r="E115" i="17"/>
  <c r="E116" i="17"/>
  <c r="E117" i="17"/>
  <c r="E118" i="17"/>
  <c r="E119" i="17"/>
  <c r="E120" i="17"/>
  <c r="E121" i="17"/>
  <c r="E122" i="17"/>
  <c r="E123" i="17"/>
  <c r="E124" i="17"/>
  <c r="E125" i="17"/>
  <c r="E126" i="17"/>
  <c r="E127" i="17"/>
  <c r="E128" i="17"/>
  <c r="E129" i="17"/>
  <c r="E130" i="17"/>
  <c r="E131" i="17"/>
  <c r="E132" i="17"/>
  <c r="E133" i="17"/>
  <c r="E134" i="17"/>
  <c r="E135" i="17"/>
  <c r="E136" i="17"/>
  <c r="E137" i="17"/>
  <c r="E138" i="17"/>
  <c r="E139" i="17"/>
  <c r="E140" i="17"/>
  <c r="E141" i="17"/>
  <c r="E142" i="17"/>
  <c r="E143" i="17"/>
  <c r="E144" i="17"/>
  <c r="E145" i="17"/>
  <c r="E146" i="17"/>
  <c r="E147" i="17"/>
  <c r="E148" i="17"/>
  <c r="E149" i="17"/>
  <c r="E150" i="17"/>
  <c r="E151" i="17"/>
  <c r="E152" i="17"/>
  <c r="E153" i="17"/>
  <c r="E154" i="17"/>
  <c r="E155" i="17"/>
  <c r="E156" i="17"/>
  <c r="E157" i="17"/>
  <c r="E158" i="17"/>
  <c r="E159" i="17"/>
  <c r="E160" i="17"/>
  <c r="E161" i="17"/>
  <c r="E162" i="17"/>
  <c r="E163" i="17"/>
  <c r="E164" i="17"/>
  <c r="E165" i="17"/>
  <c r="E166" i="17"/>
  <c r="E167" i="17"/>
  <c r="E168" i="17"/>
  <c r="E169" i="17"/>
  <c r="E170" i="17"/>
  <c r="E171" i="17"/>
  <c r="E172" i="17"/>
  <c r="E173" i="17"/>
  <c r="E174" i="17"/>
  <c r="E175" i="17"/>
  <c r="E176" i="17"/>
  <c r="E177" i="17"/>
  <c r="E178" i="17"/>
  <c r="E179" i="17"/>
  <c r="E180" i="17"/>
  <c r="E181" i="17"/>
  <c r="E182" i="17"/>
  <c r="E183" i="17"/>
  <c r="E184" i="17"/>
  <c r="E185" i="17"/>
  <c r="E186" i="17"/>
  <c r="E187" i="17"/>
  <c r="E188" i="17"/>
  <c r="E189" i="17"/>
  <c r="E190" i="17"/>
  <c r="E191" i="17"/>
  <c r="E192" i="17"/>
  <c r="E193" i="17"/>
  <c r="E194" i="17"/>
  <c r="E195" i="17"/>
  <c r="E196" i="17"/>
  <c r="E197" i="17"/>
  <c r="E198" i="17"/>
  <c r="E199" i="17"/>
  <c r="E200" i="17"/>
  <c r="E201" i="17"/>
  <c r="E3" i="17"/>
  <c r="S3" i="17" s="1" a="1"/>
  <c r="S3" i="17" s="1"/>
  <c r="D4" i="17"/>
  <c r="R4" i="17" s="1" a="1"/>
  <c r="R4" i="17" s="1"/>
  <c r="D5" i="17"/>
  <c r="D6" i="17"/>
  <c r="D7" i="17"/>
  <c r="D8" i="17"/>
  <c r="D9" i="17"/>
  <c r="D10" i="17"/>
  <c r="D11" i="17"/>
  <c r="D12" i="17"/>
  <c r="D13" i="17"/>
  <c r="D14" i="17"/>
  <c r="D15" i="17"/>
  <c r="D16" i="17"/>
  <c r="D17" i="17"/>
  <c r="D18" i="17"/>
  <c r="D19" i="17"/>
  <c r="D20" i="17"/>
  <c r="D21" i="17"/>
  <c r="D22" i="17"/>
  <c r="D23" i="17"/>
  <c r="D24" i="17"/>
  <c r="D25" i="17"/>
  <c r="D26" i="17"/>
  <c r="D27" i="17"/>
  <c r="D28" i="17"/>
  <c r="D29" i="17"/>
  <c r="D30" i="17"/>
  <c r="D31" i="17"/>
  <c r="D32" i="17"/>
  <c r="D33" i="17"/>
  <c r="D34" i="17"/>
  <c r="D35" i="17"/>
  <c r="D36" i="17"/>
  <c r="D37" i="17"/>
  <c r="D38" i="17"/>
  <c r="D39" i="17"/>
  <c r="D40" i="17"/>
  <c r="D41" i="17"/>
  <c r="D42" i="17"/>
  <c r="D43" i="17"/>
  <c r="D44" i="17"/>
  <c r="D45" i="17"/>
  <c r="D46" i="17"/>
  <c r="D47" i="17"/>
  <c r="D48" i="17"/>
  <c r="D49" i="17"/>
  <c r="D50" i="17"/>
  <c r="D51" i="17"/>
  <c r="D52" i="17"/>
  <c r="D53" i="17"/>
  <c r="D54" i="17"/>
  <c r="D55" i="17"/>
  <c r="D56" i="17"/>
  <c r="D57" i="17"/>
  <c r="D58" i="17"/>
  <c r="D59" i="17"/>
  <c r="D60" i="17"/>
  <c r="D61" i="17"/>
  <c r="D62" i="17"/>
  <c r="D63" i="17"/>
  <c r="D64" i="17"/>
  <c r="D65" i="17"/>
  <c r="D66" i="17"/>
  <c r="D67" i="17"/>
  <c r="D68" i="17"/>
  <c r="D69" i="17"/>
  <c r="D70" i="17"/>
  <c r="D71" i="17"/>
  <c r="D72" i="17"/>
  <c r="D73" i="17"/>
  <c r="D74" i="17"/>
  <c r="D75" i="17"/>
  <c r="D76" i="17"/>
  <c r="D77" i="17"/>
  <c r="D78" i="17"/>
  <c r="D79" i="17"/>
  <c r="D80" i="17"/>
  <c r="D81" i="17"/>
  <c r="D82" i="17"/>
  <c r="D83" i="17"/>
  <c r="D84" i="17"/>
  <c r="D85" i="17"/>
  <c r="D86" i="17"/>
  <c r="D87" i="17"/>
  <c r="D88" i="17"/>
  <c r="D89" i="17"/>
  <c r="D90" i="17"/>
  <c r="D91" i="17"/>
  <c r="D92" i="17"/>
  <c r="D93" i="17"/>
  <c r="D94" i="17"/>
  <c r="D95" i="17"/>
  <c r="D96" i="17"/>
  <c r="D97" i="17"/>
  <c r="D98" i="17"/>
  <c r="D99" i="17"/>
  <c r="D100" i="17"/>
  <c r="D101" i="17"/>
  <c r="D102" i="17"/>
  <c r="D103" i="17"/>
  <c r="D104" i="17"/>
  <c r="D105" i="17"/>
  <c r="D106" i="17"/>
  <c r="D107" i="17"/>
  <c r="D108" i="17"/>
  <c r="D109" i="17"/>
  <c r="D110" i="17"/>
  <c r="D111" i="17"/>
  <c r="D112" i="17"/>
  <c r="D113" i="17"/>
  <c r="D114" i="17"/>
  <c r="D115" i="17"/>
  <c r="D116" i="17"/>
  <c r="D117" i="17"/>
  <c r="D118" i="17"/>
  <c r="D119" i="17"/>
  <c r="D120" i="17"/>
  <c r="D121" i="17"/>
  <c r="D122" i="17"/>
  <c r="D123" i="17"/>
  <c r="D124" i="17"/>
  <c r="D125" i="17"/>
  <c r="D126" i="17"/>
  <c r="D127" i="17"/>
  <c r="D128" i="17"/>
  <c r="D129" i="17"/>
  <c r="D130" i="17"/>
  <c r="D131" i="17"/>
  <c r="D132" i="17"/>
  <c r="D133" i="17"/>
  <c r="D134" i="17"/>
  <c r="D135" i="17"/>
  <c r="D136" i="17"/>
  <c r="D137" i="17"/>
  <c r="D138" i="17"/>
  <c r="D139" i="17"/>
  <c r="D140" i="17"/>
  <c r="D141" i="17"/>
  <c r="D142" i="17"/>
  <c r="D143" i="17"/>
  <c r="D144" i="17"/>
  <c r="D145" i="17"/>
  <c r="D146" i="17"/>
  <c r="D147" i="17"/>
  <c r="D148" i="17"/>
  <c r="D149" i="17"/>
  <c r="D150" i="17"/>
  <c r="D151" i="17"/>
  <c r="D152" i="17"/>
  <c r="D153" i="17"/>
  <c r="D154" i="17"/>
  <c r="D155" i="17"/>
  <c r="D156" i="17"/>
  <c r="D157" i="17"/>
  <c r="D158" i="17"/>
  <c r="D159" i="17"/>
  <c r="D160" i="17"/>
  <c r="D161" i="17"/>
  <c r="D162" i="17"/>
  <c r="D163" i="17"/>
  <c r="D164" i="17"/>
  <c r="D165" i="17"/>
  <c r="D166" i="17"/>
  <c r="D167" i="17"/>
  <c r="D168" i="17"/>
  <c r="D169" i="17"/>
  <c r="D170" i="17"/>
  <c r="D171" i="17"/>
  <c r="D172" i="17"/>
  <c r="D173" i="17"/>
  <c r="D174" i="17"/>
  <c r="D175" i="17"/>
  <c r="D176" i="17"/>
  <c r="D177" i="17"/>
  <c r="D178" i="17"/>
  <c r="D179" i="17"/>
  <c r="D180" i="17"/>
  <c r="D181" i="17"/>
  <c r="D182" i="17"/>
  <c r="D183" i="17"/>
  <c r="D184" i="17"/>
  <c r="D185" i="17"/>
  <c r="D186" i="17"/>
  <c r="D187" i="17"/>
  <c r="D188" i="17"/>
  <c r="D189" i="17"/>
  <c r="D190" i="17"/>
  <c r="D191" i="17"/>
  <c r="D192" i="17"/>
  <c r="D193" i="17"/>
  <c r="D194" i="17"/>
  <c r="D195" i="17"/>
  <c r="D196" i="17"/>
  <c r="D197" i="17"/>
  <c r="D198" i="17"/>
  <c r="D199" i="17"/>
  <c r="D200" i="17"/>
  <c r="D201" i="17"/>
  <c r="D3" i="17"/>
  <c r="R3" i="17" s="1" a="1"/>
  <c r="R3" i="17" s="1"/>
  <c r="C77" i="13" l="1"/>
  <c r="C17" i="13" l="1"/>
  <c r="C26" i="3"/>
  <c r="C27" i="3"/>
  <c r="C11" i="3" l="1"/>
  <c r="C15" i="3"/>
  <c r="C3" i="3"/>
  <c r="C20" i="3"/>
  <c r="C17" i="3"/>
  <c r="C16" i="3"/>
  <c r="C1" i="3"/>
  <c r="C4" i="3"/>
  <c r="C25" i="3"/>
  <c r="C6" i="3"/>
  <c r="C12" i="3"/>
  <c r="C8" i="3"/>
  <c r="C7" i="3"/>
  <c r="C24" i="3"/>
  <c r="C19" i="3"/>
  <c r="C5" i="3"/>
  <c r="C14" i="3"/>
  <c r="C23" i="3"/>
  <c r="C22" i="3"/>
  <c r="C9" i="3"/>
  <c r="C21" i="3"/>
  <c r="C10" i="3"/>
  <c r="C13" i="3"/>
  <c r="C18" i="3"/>
  <c r="C2" i="3"/>
  <c r="B2" i="2" l="1"/>
  <c r="D48" i="2"/>
  <c r="E48" i="2" s="1"/>
  <c r="F48" i="2" s="1"/>
  <c r="D47" i="2"/>
  <c r="E47" i="2" s="1"/>
  <c r="F47" i="2" s="1"/>
  <c r="B79" i="2" s="1"/>
  <c r="L2" i="2" s="1"/>
  <c r="D45" i="2"/>
  <c r="E45" i="2" s="1"/>
  <c r="B77" i="2" s="1"/>
  <c r="Y2" i="2" s="1"/>
  <c r="Z2" i="2" s="1"/>
  <c r="D43" i="2"/>
  <c r="E43" i="2" s="1"/>
  <c r="F43" i="2" s="1"/>
  <c r="B74" i="2" s="1"/>
  <c r="U2" i="2" s="1"/>
  <c r="D42" i="2"/>
  <c r="E42" i="2" s="1"/>
  <c r="F42" i="2" s="1"/>
  <c r="B75" i="2" s="1"/>
  <c r="V2" i="2" s="1"/>
  <c r="D41" i="2"/>
  <c r="E41" i="2" s="1"/>
  <c r="F41" i="2" s="1"/>
  <c r="B76" i="2" s="1"/>
  <c r="W2" i="2" s="1"/>
  <c r="D39" i="2"/>
  <c r="E39" i="2" s="1"/>
  <c r="D38" i="2"/>
  <c r="E38" i="2" s="1"/>
  <c r="F38" i="2" s="1"/>
  <c r="D37" i="2"/>
  <c r="E37" i="2" s="1"/>
  <c r="D35" i="2"/>
  <c r="E35" i="2" s="1"/>
  <c r="D34" i="2"/>
  <c r="E34" i="2" s="1"/>
  <c r="D33" i="2"/>
  <c r="E33" i="2" s="1"/>
  <c r="D32" i="2"/>
  <c r="E32" i="2" s="1"/>
  <c r="D31" i="2"/>
  <c r="E31" i="2" s="1"/>
  <c r="B73" i="2" s="1"/>
  <c r="S2" i="2" s="1"/>
  <c r="D30" i="2"/>
  <c r="E30" i="2" s="1"/>
  <c r="F30" i="2" s="1"/>
  <c r="B71" i="2" s="1"/>
  <c r="J2" i="2" s="1"/>
  <c r="D29" i="2"/>
  <c r="E29" i="2" s="1"/>
  <c r="F29" i="2" s="1"/>
  <c r="B72" i="2" s="1"/>
  <c r="T2" i="2" s="1"/>
  <c r="D28" i="2"/>
  <c r="E28" i="2" s="1"/>
  <c r="F28" i="2" s="1"/>
  <c r="D27" i="2"/>
  <c r="E27" i="2" s="1"/>
  <c r="F27" i="2" s="1"/>
  <c r="B78" i="2" s="1"/>
  <c r="K2" i="2" s="1"/>
  <c r="D25" i="2"/>
  <c r="E25" i="2" s="1"/>
  <c r="F25" i="2" s="1"/>
  <c r="D24" i="2"/>
  <c r="E24" i="2" s="1"/>
  <c r="F24" i="2" s="1"/>
  <c r="B64" i="2" s="1"/>
  <c r="H2" i="2" s="1"/>
  <c r="D23" i="2"/>
  <c r="E23" i="2" s="1"/>
  <c r="F23" i="2" s="1"/>
  <c r="D22" i="2"/>
  <c r="E22" i="2" s="1"/>
  <c r="F22" i="2" s="1"/>
  <c r="D20" i="2"/>
  <c r="E20" i="2" s="1"/>
  <c r="F20" i="2" s="1"/>
  <c r="D19" i="2"/>
  <c r="E19" i="2" s="1"/>
  <c r="F19" i="2" s="1"/>
  <c r="D18" i="2"/>
  <c r="E18" i="2" s="1"/>
  <c r="F18" i="2" s="1"/>
  <c r="D17" i="2"/>
  <c r="E17" i="2" s="1"/>
  <c r="F17" i="2" s="1"/>
  <c r="D15" i="2"/>
  <c r="B62" i="2" s="1"/>
  <c r="G2" i="2" s="1"/>
  <c r="D14" i="2"/>
  <c r="E14" i="2" s="1"/>
  <c r="B61" i="2" s="1"/>
  <c r="F2" i="2" s="1"/>
  <c r="D13" i="2"/>
  <c r="E13" i="2" s="1"/>
  <c r="B60" i="2" s="1"/>
  <c r="E2" i="2" s="1"/>
  <c r="D12" i="2"/>
  <c r="E12" i="2" s="1"/>
  <c r="B59" i="2" s="1"/>
  <c r="D2" i="2" s="1"/>
  <c r="D10" i="2"/>
  <c r="F10" i="2" s="1"/>
  <c r="A4" i="5" a="1"/>
  <c r="A4" i="5" l="1"/>
  <c r="E10" i="2"/>
  <c r="G10" i="2" s="1"/>
  <c r="B80" i="2" s="1"/>
  <c r="X2" i="2" s="1"/>
  <c r="B68" i="2"/>
  <c r="P2" i="2" s="1"/>
  <c r="I17" i="2"/>
  <c r="B63" i="2" s="1"/>
  <c r="I2" i="2" s="1"/>
  <c r="I22" i="2"/>
  <c r="N22" i="2" s="1"/>
  <c r="B65" i="2"/>
  <c r="M2" i="2" s="1"/>
  <c r="B66" i="2"/>
  <c r="N2" i="2" s="1"/>
  <c r="I47" i="2"/>
  <c r="I35" i="2"/>
  <c r="Q2" i="2" l="1"/>
  <c r="B67" i="2"/>
  <c r="O2" i="2" s="1"/>
  <c r="B70" i="2"/>
  <c r="R2" i="2" s="1"/>
  <c r="H17" i="13"/>
  <c r="H258" i="13" s="1"/>
  <c r="G10" i="13" s="1"/>
  <c r="F17" i="13"/>
  <c r="F258" i="13" s="1"/>
  <c r="N17" i="2"/>
  <c r="Z19" i="5" l="1"/>
  <c r="Y19" i="5"/>
  <c r="X19" i="5"/>
  <c r="W19" i="5"/>
  <c r="V19" i="5"/>
  <c r="U19" i="5"/>
  <c r="T19" i="5"/>
  <c r="S19" i="5"/>
  <c r="R19" i="5"/>
  <c r="Q19" i="5"/>
  <c r="P19" i="5"/>
  <c r="O19" i="5"/>
  <c r="N19" i="5"/>
  <c r="M19" i="5"/>
  <c r="L19" i="5"/>
  <c r="K19" i="5"/>
  <c r="J19" i="5"/>
  <c r="I19" i="5"/>
  <c r="H19" i="5"/>
  <c r="G19" i="5"/>
  <c r="F19" i="5"/>
  <c r="E19" i="5"/>
  <c r="D19" i="5"/>
  <c r="C19" i="5"/>
  <c r="B19" i="5"/>
  <c r="A19" i="5"/>
  <c r="Z18" i="5"/>
  <c r="Y18" i="5"/>
  <c r="X18" i="5"/>
  <c r="W18" i="5"/>
  <c r="V18" i="5"/>
  <c r="U18" i="5"/>
  <c r="T18" i="5"/>
  <c r="S18" i="5"/>
  <c r="R18" i="5"/>
  <c r="Q18" i="5"/>
  <c r="P18" i="5"/>
  <c r="O18" i="5"/>
  <c r="N18" i="5"/>
  <c r="M18" i="5"/>
  <c r="L18" i="5"/>
  <c r="K18" i="5"/>
  <c r="J18" i="5"/>
  <c r="I18" i="5"/>
  <c r="H18" i="5"/>
  <c r="G18" i="5"/>
  <c r="F18" i="5"/>
  <c r="E18" i="5"/>
  <c r="D18" i="5"/>
  <c r="C18" i="5"/>
  <c r="B18" i="5"/>
  <c r="A18" i="5"/>
  <c r="Z17" i="5"/>
  <c r="Y17" i="5"/>
  <c r="X17" i="5"/>
  <c r="W17" i="5"/>
  <c r="V17" i="5"/>
  <c r="U17" i="5"/>
  <c r="T17" i="5"/>
  <c r="S17" i="5"/>
  <c r="R17" i="5"/>
  <c r="Q17" i="5"/>
  <c r="P17" i="5"/>
  <c r="O17" i="5"/>
  <c r="N17" i="5"/>
  <c r="M17" i="5"/>
  <c r="L17" i="5"/>
  <c r="K17" i="5"/>
  <c r="J17" i="5"/>
  <c r="I17" i="5"/>
  <c r="H17" i="5"/>
  <c r="G17" i="5"/>
  <c r="F17" i="5"/>
  <c r="E17" i="5"/>
  <c r="D17" i="5"/>
  <c r="C17" i="5"/>
  <c r="B17" i="5"/>
  <c r="A17" i="5"/>
  <c r="Z16" i="5"/>
  <c r="Y16" i="5"/>
  <c r="X16" i="5"/>
  <c r="W16" i="5"/>
  <c r="V16" i="5"/>
  <c r="U16" i="5"/>
  <c r="T16" i="5"/>
  <c r="S16" i="5"/>
  <c r="R16" i="5"/>
  <c r="Q16" i="5"/>
  <c r="P16" i="5"/>
  <c r="O16" i="5"/>
  <c r="N16" i="5"/>
  <c r="M16" i="5"/>
  <c r="L16" i="5"/>
  <c r="K16" i="5"/>
  <c r="J16" i="5"/>
  <c r="I16" i="5"/>
  <c r="H16" i="5"/>
  <c r="G16" i="5"/>
  <c r="F16" i="5"/>
  <c r="E16" i="5"/>
  <c r="D16" i="5"/>
  <c r="C16" i="5"/>
  <c r="B16" i="5"/>
  <c r="A16" i="5"/>
  <c r="Z15" i="5"/>
  <c r="Y15" i="5"/>
  <c r="X15" i="5"/>
  <c r="W15" i="5"/>
  <c r="V15" i="5"/>
  <c r="U15" i="5"/>
  <c r="T15" i="5"/>
  <c r="S15" i="5"/>
  <c r="R15" i="5"/>
  <c r="Q15" i="5"/>
  <c r="P15" i="5"/>
  <c r="O15" i="5"/>
  <c r="N15" i="5"/>
  <c r="M15" i="5"/>
  <c r="L15" i="5"/>
  <c r="K15" i="5"/>
  <c r="J15" i="5"/>
  <c r="I15" i="5"/>
  <c r="H15" i="5"/>
  <c r="G15" i="5"/>
  <c r="F15" i="5"/>
  <c r="E15" i="5"/>
  <c r="D15" i="5"/>
  <c r="C15" i="5"/>
  <c r="B15" i="5"/>
  <c r="A15" i="5"/>
  <c r="Z14" i="5"/>
  <c r="Y14" i="5"/>
  <c r="X14" i="5"/>
  <c r="W14" i="5"/>
  <c r="V14" i="5"/>
  <c r="U14" i="5"/>
  <c r="T14" i="5"/>
  <c r="S14" i="5"/>
  <c r="R14" i="5"/>
  <c r="Q14" i="5"/>
  <c r="P14" i="5"/>
  <c r="O14" i="5"/>
  <c r="N14" i="5"/>
  <c r="M14" i="5"/>
  <c r="L14" i="5"/>
  <c r="K14" i="5"/>
  <c r="J14" i="5"/>
  <c r="I14" i="5"/>
  <c r="H14" i="5"/>
  <c r="G14" i="5"/>
  <c r="F14" i="5"/>
  <c r="E14" i="5"/>
  <c r="D14" i="5"/>
  <c r="C14" i="5"/>
  <c r="B14" i="5"/>
  <c r="A14" i="5"/>
  <c r="Z13" i="5"/>
  <c r="Y13" i="5"/>
  <c r="X13" i="5"/>
  <c r="W13" i="5"/>
  <c r="V13" i="5"/>
  <c r="U13" i="5"/>
  <c r="T13" i="5"/>
  <c r="S13" i="5"/>
  <c r="R13" i="5"/>
  <c r="Q13" i="5"/>
  <c r="P13" i="5"/>
  <c r="O13" i="5"/>
  <c r="N13" i="5"/>
  <c r="M13" i="5"/>
  <c r="L13" i="5"/>
  <c r="K13" i="5"/>
  <c r="J13" i="5"/>
  <c r="I13" i="5"/>
  <c r="H13" i="5"/>
  <c r="G13" i="5"/>
  <c r="F13" i="5"/>
  <c r="E13" i="5"/>
  <c r="D13" i="5"/>
  <c r="C13" i="5"/>
  <c r="B13" i="5"/>
  <c r="A13" i="5"/>
  <c r="Z12" i="5"/>
  <c r="Y12" i="5"/>
  <c r="X12" i="5"/>
  <c r="W12" i="5"/>
  <c r="V12" i="5"/>
  <c r="U12" i="5"/>
  <c r="T12" i="5"/>
  <c r="S12" i="5"/>
  <c r="R12" i="5"/>
  <c r="Q12" i="5"/>
  <c r="P12" i="5"/>
  <c r="O12" i="5"/>
  <c r="N12" i="5"/>
  <c r="M12" i="5"/>
  <c r="L12" i="5"/>
  <c r="K12" i="5"/>
  <c r="J12" i="5"/>
  <c r="I12" i="5"/>
  <c r="H12" i="5"/>
  <c r="G12" i="5"/>
  <c r="F12" i="5"/>
  <c r="E12" i="5"/>
  <c r="D12" i="5"/>
  <c r="C12" i="5"/>
  <c r="B12" i="5"/>
  <c r="A12" i="5"/>
  <c r="Z11" i="5"/>
  <c r="Y11" i="5"/>
  <c r="X11" i="5"/>
  <c r="W11" i="5"/>
  <c r="V11" i="5"/>
  <c r="U11" i="5"/>
  <c r="T11" i="5"/>
  <c r="S11" i="5"/>
  <c r="R11" i="5"/>
  <c r="Q11" i="5"/>
  <c r="P11" i="5"/>
  <c r="O11" i="5"/>
  <c r="N11" i="5"/>
  <c r="M11" i="5"/>
  <c r="L11" i="5"/>
  <c r="K11" i="5"/>
  <c r="J11" i="5"/>
  <c r="I11" i="5"/>
  <c r="H11" i="5"/>
  <c r="G11" i="5"/>
  <c r="F11" i="5"/>
  <c r="E11" i="5"/>
  <c r="D11" i="5"/>
  <c r="C11" i="5"/>
  <c r="B11" i="5"/>
  <c r="A11" i="5"/>
  <c r="Z10" i="5"/>
  <c r="Y10" i="5"/>
  <c r="X10" i="5"/>
  <c r="W10" i="5"/>
  <c r="V10" i="5"/>
  <c r="U10" i="5"/>
  <c r="T10" i="5"/>
  <c r="S10" i="5"/>
  <c r="R10" i="5"/>
  <c r="Q10" i="5"/>
  <c r="P10" i="5"/>
  <c r="O10" i="5"/>
  <c r="N10" i="5"/>
  <c r="M10" i="5"/>
  <c r="L10" i="5"/>
  <c r="K10" i="5"/>
  <c r="J10" i="5"/>
  <c r="I10" i="5"/>
  <c r="H10" i="5"/>
  <c r="G10" i="5"/>
  <c r="F10" i="5"/>
  <c r="E10" i="5"/>
  <c r="D10" i="5"/>
  <c r="C10" i="5"/>
  <c r="B10" i="5"/>
  <c r="A10" i="5"/>
  <c r="Z9" i="5"/>
  <c r="Y9" i="5"/>
  <c r="X9" i="5"/>
  <c r="W9" i="5"/>
  <c r="V9" i="5"/>
  <c r="U9" i="5"/>
  <c r="T9" i="5"/>
  <c r="S9" i="5"/>
  <c r="R9" i="5"/>
  <c r="Q9" i="5"/>
  <c r="P9" i="5"/>
  <c r="O9" i="5"/>
  <c r="N9" i="5"/>
  <c r="M9" i="5"/>
  <c r="L9" i="5"/>
  <c r="K9" i="5"/>
  <c r="J9" i="5"/>
  <c r="I9" i="5"/>
  <c r="H9" i="5"/>
  <c r="G9" i="5"/>
  <c r="F9" i="5"/>
  <c r="E9" i="5"/>
  <c r="D9" i="5"/>
  <c r="C9" i="5"/>
  <c r="B9" i="5"/>
  <c r="A9" i="5"/>
  <c r="Z8" i="5"/>
  <c r="Y8" i="5"/>
  <c r="X8" i="5"/>
  <c r="W8" i="5"/>
  <c r="V8" i="5"/>
  <c r="U8" i="5"/>
  <c r="T8" i="5"/>
  <c r="S8" i="5"/>
  <c r="R8" i="5"/>
  <c r="Q8" i="5"/>
  <c r="P8" i="5"/>
  <c r="O8" i="5"/>
  <c r="N8" i="5"/>
  <c r="M8" i="5"/>
  <c r="L8" i="5"/>
  <c r="K8" i="5"/>
  <c r="J8" i="5"/>
  <c r="I8" i="5"/>
  <c r="H8" i="5"/>
  <c r="G8" i="5"/>
  <c r="F8" i="5"/>
  <c r="E8" i="5"/>
  <c r="D8" i="5"/>
  <c r="C8" i="5"/>
  <c r="B8" i="5"/>
  <c r="A8" i="5"/>
  <c r="Z7" i="5"/>
  <c r="Y7" i="5"/>
  <c r="X7" i="5"/>
  <c r="W7" i="5"/>
  <c r="V7" i="5"/>
  <c r="U7" i="5"/>
  <c r="T7" i="5"/>
  <c r="S7" i="5"/>
  <c r="R7" i="5"/>
  <c r="Q7" i="5"/>
  <c r="P7" i="5"/>
  <c r="O7" i="5"/>
  <c r="N7" i="5"/>
  <c r="M7" i="5"/>
  <c r="L7" i="5"/>
  <c r="K7" i="5"/>
  <c r="J7" i="5"/>
  <c r="I7" i="5"/>
  <c r="H7" i="5"/>
  <c r="G7" i="5"/>
  <c r="F7" i="5"/>
  <c r="E7" i="5"/>
  <c r="D7" i="5"/>
  <c r="C7" i="5"/>
  <c r="B7" i="5"/>
  <c r="A7" i="5"/>
  <c r="Z6" i="5"/>
  <c r="Y6" i="5"/>
  <c r="X6" i="5"/>
  <c r="W6" i="5"/>
  <c r="V6" i="5"/>
  <c r="U6" i="5"/>
  <c r="T6" i="5"/>
  <c r="S6" i="5"/>
  <c r="R6" i="5"/>
  <c r="Q6" i="5"/>
  <c r="P6" i="5"/>
  <c r="O6" i="5"/>
  <c r="N6" i="5"/>
  <c r="M6" i="5"/>
  <c r="L6" i="5"/>
  <c r="K6" i="5"/>
  <c r="J6" i="5"/>
  <c r="I6" i="5"/>
  <c r="H6" i="5"/>
  <c r="G6" i="5"/>
  <c r="F6" i="5"/>
  <c r="E6" i="5"/>
  <c r="D6" i="5"/>
  <c r="C6" i="5"/>
  <c r="B6" i="5"/>
  <c r="A6" i="5"/>
  <c r="Z5" i="5"/>
  <c r="Y5" i="5"/>
  <c r="X5" i="5"/>
  <c r="W5" i="5"/>
  <c r="V5" i="5"/>
  <c r="U5" i="5"/>
  <c r="T5" i="5"/>
  <c r="S5" i="5"/>
  <c r="R5" i="5"/>
  <c r="Q5" i="5"/>
  <c r="P5" i="5"/>
  <c r="O5" i="5"/>
  <c r="N5" i="5"/>
  <c r="M5" i="5"/>
  <c r="L5" i="5"/>
  <c r="K5" i="5"/>
  <c r="J5" i="5"/>
  <c r="I5" i="5"/>
  <c r="H5" i="5"/>
  <c r="G5" i="5"/>
  <c r="F5" i="5"/>
  <c r="E5" i="5"/>
  <c r="D5" i="5"/>
  <c r="C5" i="5"/>
  <c r="B5" i="5"/>
  <c r="A5" i="5"/>
  <c r="Z4" i="5"/>
  <c r="Y4" i="5"/>
  <c r="X4" i="5"/>
  <c r="W4" i="5"/>
  <c r="V4" i="5"/>
  <c r="U4" i="5"/>
  <c r="T4" i="5"/>
  <c r="S4" i="5"/>
  <c r="R4" i="5"/>
  <c r="Q4" i="5"/>
  <c r="P4" i="5"/>
  <c r="O4" i="5"/>
  <c r="N4" i="5"/>
  <c r="M4" i="5"/>
  <c r="L4" i="5"/>
  <c r="K4" i="5"/>
  <c r="J4" i="5"/>
  <c r="I4" i="5"/>
  <c r="H4" i="5"/>
  <c r="G4" i="5"/>
  <c r="F4" i="5"/>
  <c r="E4" i="5"/>
  <c r="D4" i="5"/>
  <c r="C4" i="5"/>
  <c r="B4" i="5"/>
  <c r="D20" i="22"/>
  <c r="L5" i="22" s="1"/>
  <c r="D16" i="22" s="1"/>
  <c r="D23" i="22" l="1"/>
  <c r="H20" i="22"/>
  <c r="H23" i="22" s="1"/>
  <c r="F20" i="22"/>
  <c r="F23" i="22" s="1"/>
  <c r="L11" i="22" l="1"/>
  <c r="F16" i="22" s="1"/>
  <c r="L17" i="22"/>
  <c r="H16" i="22"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<sst xmlns="http://schemas.openxmlformats.org/spreadsheetml/2006/main" count="1104" uniqueCount="381">
  <si>
    <t>#</t>
  </si>
  <si>
    <t>Date</t>
  </si>
  <si>
    <t>Status</t>
  </si>
  <si>
    <t>First</t>
  </si>
  <si>
    <t>Last</t>
  </si>
  <si>
    <t>Phone</t>
  </si>
  <si>
    <t>E-Mail</t>
  </si>
  <si>
    <t>State</t>
  </si>
  <si>
    <t>Street Address</t>
  </si>
  <si>
    <t>Property Type</t>
  </si>
  <si>
    <t>Loan Program</t>
  </si>
  <si>
    <t>Purchase Contract</t>
  </si>
  <si>
    <t>Property Value</t>
  </si>
  <si>
    <t xml:space="preserve">1st Mortgage </t>
  </si>
  <si>
    <t>Current LTV</t>
  </si>
  <si>
    <t>Desired Cash Out</t>
  </si>
  <si>
    <t>New Loan Amount</t>
  </si>
  <si>
    <t>New LTV</t>
  </si>
  <si>
    <t>Credit</t>
  </si>
  <si>
    <t>Property Use</t>
  </si>
  <si>
    <t>FHA?</t>
  </si>
  <si>
    <t>VA?</t>
  </si>
  <si>
    <t>Is Military?</t>
  </si>
  <si>
    <t>Lead Type</t>
  </si>
  <si>
    <t>Lead Cost</t>
  </si>
  <si>
    <t>LEAD TRACKER</t>
  </si>
  <si>
    <t>Property Value Purchase Price</t>
  </si>
  <si>
    <t>E-Mail Status</t>
  </si>
  <si>
    <t>***NEW***</t>
  </si>
  <si>
    <t>Prospect - Quotes Sent</t>
  </si>
  <si>
    <t>Prospect - Warm</t>
  </si>
  <si>
    <t>Prospect - HOT!</t>
  </si>
  <si>
    <t>Prospect - Follow Up</t>
  </si>
  <si>
    <t>Prospect - Appt Scheduled</t>
  </si>
  <si>
    <t>AL - Responded</t>
  </si>
  <si>
    <t>AL - HOT!</t>
  </si>
  <si>
    <t>APP - Application Taken</t>
  </si>
  <si>
    <t>APP - Pitched &gt; Follow Up!</t>
  </si>
  <si>
    <t>APP - LOCKED!</t>
  </si>
  <si>
    <t>T1 - Follow Up</t>
  </si>
  <si>
    <t>T2 - Revised</t>
  </si>
  <si>
    <t>T3 - Correct Cash</t>
  </si>
  <si>
    <t>T4 - Debt / Home</t>
  </si>
  <si>
    <t>T5 - Debt Consolidation</t>
  </si>
  <si>
    <t>T6 - Don’t Qualify?</t>
  </si>
  <si>
    <t>T7 - Another Lender</t>
  </si>
  <si>
    <t>T8 - STOP Contact</t>
  </si>
  <si>
    <t>T9 - Majority of Clients</t>
  </si>
  <si>
    <t>T10 - Really Busy</t>
  </si>
  <si>
    <t>T11 - More Time?</t>
  </si>
  <si>
    <t>T12 - Blown Up</t>
  </si>
  <si>
    <t>T13 - Email</t>
  </si>
  <si>
    <t>T14 - Right Person?</t>
  </si>
  <si>
    <t>T15 - MessageError!</t>
  </si>
  <si>
    <t>Called 2x</t>
  </si>
  <si>
    <t>Called 3x</t>
  </si>
  <si>
    <t>Cold - Wrong Number</t>
  </si>
  <si>
    <t>Cold - Unresponsive</t>
  </si>
  <si>
    <t>Cold - Rate Watch</t>
  </si>
  <si>
    <t>Cold - No Longer Interested</t>
  </si>
  <si>
    <t>Cold - DO NOT CALL</t>
  </si>
  <si>
    <t>WWC - In Process</t>
  </si>
  <si>
    <t>WWC - Already Closed</t>
  </si>
  <si>
    <t>DNQ - DTI</t>
  </si>
  <si>
    <t>DNQ - Bankruptcy</t>
  </si>
  <si>
    <t>DNQ - Seasoning</t>
  </si>
  <si>
    <t>DNQ - Credit</t>
  </si>
  <si>
    <t>DNQ - Mortgage Lates</t>
  </si>
  <si>
    <t>REFUND - FRU</t>
  </si>
  <si>
    <t>Spanish Speaker - Elmer</t>
  </si>
  <si>
    <t>Purchase Agreement = .</t>
  </si>
  <si>
    <t>Found Home = .</t>
  </si>
  <si>
    <t>Campaign</t>
  </si>
  <si>
    <t>FRU:YavuzYilmaz.</t>
  </si>
  <si>
    <t>Randy Purchase TEST</t>
  </si>
  <si>
    <t>First Name</t>
  </si>
  <si>
    <t>Last Name</t>
  </si>
  <si>
    <t>Email</t>
  </si>
  <si>
    <t>Address</t>
  </si>
  <si>
    <t>Current Balance</t>
  </si>
  <si>
    <t>Cash Out</t>
  </si>
  <si>
    <t>Loan Amount</t>
  </si>
  <si>
    <t>Propery Use</t>
  </si>
  <si>
    <t>Credit Rating</t>
  </si>
  <si>
    <t>FHA</t>
  </si>
  <si>
    <t>VA</t>
  </si>
  <si>
    <t>Is Military</t>
  </si>
  <si>
    <t>Price of Lead</t>
  </si>
  <si>
    <t>Loan Purpose</t>
  </si>
  <si>
    <t>=</t>
  </si>
  <si>
    <t>Property Address</t>
  </si>
  <si>
    <t>Desired Loan Program</t>
  </si>
  <si>
    <t>Cumilative Lead Cost</t>
  </si>
  <si>
    <t>CA</t>
  </si>
  <si>
    <t>Refinance</t>
  </si>
  <si>
    <t>N/A</t>
  </si>
  <si>
    <t>Not Provided</t>
  </si>
  <si>
    <t>no</t>
  </si>
  <si>
    <t>E-Mail Sent</t>
  </si>
  <si>
    <t>E Mail</t>
  </si>
  <si>
    <t xml:space="preserve"> </t>
  </si>
  <si>
    <t>Good</t>
  </si>
  <si>
    <t>Notes</t>
  </si>
  <si>
    <t>Responded</t>
  </si>
  <si>
    <t>LOCKED!</t>
  </si>
  <si>
    <t>E-signed!</t>
  </si>
  <si>
    <t>Docs Received!</t>
  </si>
  <si>
    <t>Disclosures Going Out...</t>
  </si>
  <si>
    <t>Disclosures Sent!</t>
  </si>
  <si>
    <t>FIGURE - Link Sent!</t>
  </si>
  <si>
    <t>Hard Money Opportunity</t>
  </si>
  <si>
    <t>Communicating...</t>
  </si>
  <si>
    <t>Not Interested</t>
  </si>
  <si>
    <t>APP - Pitched &gt; Follow up</t>
  </si>
  <si>
    <t>Appt Scheduled</t>
  </si>
  <si>
    <t>Reverse Mortgage Opportunity</t>
  </si>
  <si>
    <t>Purchase</t>
  </si>
  <si>
    <t>Verified Approval Letter</t>
  </si>
  <si>
    <t>"Thinking about it"</t>
  </si>
  <si>
    <t>DNQ</t>
  </si>
  <si>
    <t>Commercial/Business Loan</t>
  </si>
  <si>
    <t>Credit - Wayfinder</t>
  </si>
  <si>
    <t>Match or Beat</t>
  </si>
  <si>
    <t>Future Deal</t>
  </si>
  <si>
    <t>*Thinking about it*</t>
  </si>
  <si>
    <t>Prospect -Email Sent</t>
  </si>
  <si>
    <t>Single Family</t>
  </si>
  <si>
    <t>2</t>
  </si>
  <si>
    <t>HI</t>
  </si>
  <si>
    <t>Loan Type = .</t>
  </si>
  <si>
    <t>STOP!</t>
  </si>
  <si>
    <t>LTV</t>
  </si>
  <si>
    <t>Balance</t>
  </si>
  <si>
    <t>PAYOFF</t>
  </si>
  <si>
    <t>Debt/Creditor being PAID OFF</t>
  </si>
  <si>
    <t>Payment</t>
  </si>
  <si>
    <t>Funded</t>
  </si>
  <si>
    <t>Cancel-Decline</t>
  </si>
  <si>
    <r>
      <rPr>
        <b/>
        <sz val="18"/>
        <color rgb="FF00B050"/>
        <rFont val="Calibri"/>
        <family val="2"/>
        <scheme val="minor"/>
      </rPr>
      <t xml:space="preserve">                                                                     </t>
    </r>
    <r>
      <rPr>
        <b/>
        <u/>
        <sz val="26"/>
        <color rgb="FF00B050"/>
        <rFont val="Calibri"/>
        <family val="2"/>
        <scheme val="minor"/>
      </rPr>
      <t>Funded</t>
    </r>
  </si>
  <si>
    <t xml:space="preserve">                                                                     Cancel-Decline</t>
  </si>
  <si>
    <t>Review E-Mail</t>
  </si>
  <si>
    <t>Send E-Mail Directly</t>
  </si>
  <si>
    <t>Processor</t>
  </si>
  <si>
    <t xml:space="preserve">Date Locked </t>
  </si>
  <si>
    <t>Lock Expiration Date</t>
  </si>
  <si>
    <t>Rate</t>
  </si>
  <si>
    <t>Total Revenue</t>
  </si>
  <si>
    <t>Installment</t>
  </si>
  <si>
    <t>Revolving</t>
  </si>
  <si>
    <t>CAPITAL ONE</t>
  </si>
  <si>
    <t>curentVALoan = .</t>
  </si>
  <si>
    <t>Went With Another Lender</t>
  </si>
  <si>
    <t>No Benefit</t>
  </si>
  <si>
    <t>Lender</t>
  </si>
  <si>
    <t>CB ={addl_PrimaryMortgageBalance}</t>
  </si>
  <si>
    <t>HELOC = {addl_HomeEquityAddlCash}</t>
  </si>
  <si>
    <t>Kim</t>
  </si>
  <si>
    <t>Credit Report</t>
  </si>
  <si>
    <t>AMEX</t>
  </si>
  <si>
    <t>HELOC</t>
  </si>
  <si>
    <t>currentFHALoan = .</t>
  </si>
  <si>
    <t>Other Liability</t>
  </si>
  <si>
    <t>Creditor</t>
  </si>
  <si>
    <t>Type</t>
  </si>
  <si>
    <t>Account No</t>
  </si>
  <si>
    <t>Monthly Payment</t>
  </si>
  <si>
    <t>Remain Term</t>
  </si>
  <si>
    <t>REO</t>
  </si>
  <si>
    <t>Omit</t>
  </si>
  <si>
    <t>Payoff</t>
  </si>
  <si>
    <t>JPMCB CARD</t>
  </si>
  <si>
    <t>WFBNA CARD</t>
  </si>
  <si>
    <t>Resub</t>
  </si>
  <si>
    <t>Account Owner</t>
  </si>
  <si>
    <t>YES</t>
  </si>
  <si>
    <t>NO</t>
  </si>
  <si>
    <t>Donald Perry</t>
  </si>
  <si>
    <t>SUN WEST MORTGAGE CO I</t>
  </si>
  <si>
    <t>Mortgage Loan</t>
  </si>
  <si>
    <t>Marcia Perry</t>
  </si>
  <si>
    <t>MOHELA/DEPT OF ED</t>
  </si>
  <si>
    <t>6772516997KM00002</t>
  </si>
  <si>
    <t>GENESIS FINANCE</t>
  </si>
  <si>
    <t>AMERICAN HONDA FINANCE</t>
  </si>
  <si>
    <t>DISCOVER</t>
  </si>
  <si>
    <t>SPRINGOAKCAP</t>
  </si>
  <si>
    <t>MANAGEMENT SUPPORT</t>
  </si>
  <si>
    <t>KIA FINANCE AMERICA</t>
  </si>
  <si>
    <t>SUN LOAN</t>
  </si>
  <si>
    <t>TOWER LOAN</t>
  </si>
  <si>
    <t>SYNCB/SAMS CLUB</t>
  </si>
  <si>
    <t>CBNA</t>
  </si>
  <si>
    <t>CITICARDS CBNA</t>
  </si>
  <si>
    <t>CHRYSLRCAP</t>
  </si>
  <si>
    <t>LVNVFUNDG</t>
  </si>
  <si>
    <t>Open30Day Charge Account</t>
  </si>
  <si>
    <t>WC / KOALAFI</t>
  </si>
  <si>
    <t>3051339X3</t>
  </si>
  <si>
    <t>COMENITYCB/ZALES</t>
  </si>
  <si>
    <t>USAA FSB</t>
  </si>
  <si>
    <t>MACYS/CBNA</t>
  </si>
  <si>
    <t>Source</t>
  </si>
  <si>
    <t>Jane</t>
  </si>
  <si>
    <t>campfortwo@verizon.net</t>
  </si>
  <si>
    <t>Submitted to Underwriting</t>
  </si>
  <si>
    <t>Suspended-Restructure</t>
  </si>
  <si>
    <t>Potential Cancel</t>
  </si>
  <si>
    <t>Clear to Close</t>
  </si>
  <si>
    <t>Vice President</t>
  </si>
  <si>
    <t>Option 1</t>
  </si>
  <si>
    <t>Option 2</t>
  </si>
  <si>
    <t>Option 3</t>
  </si>
  <si>
    <t>Loan Type</t>
  </si>
  <si>
    <t>Loan Term</t>
  </si>
  <si>
    <t>APR</t>
  </si>
  <si>
    <t>Estimated Escrow</t>
  </si>
  <si>
    <t>Principal &amp; Interest</t>
  </si>
  <si>
    <t>Loan Details</t>
  </si>
  <si>
    <t>Lock Term</t>
  </si>
  <si>
    <t>Conventional</t>
  </si>
  <si>
    <t>30 Year Fixed</t>
  </si>
  <si>
    <t>5 Year Fixed</t>
  </si>
  <si>
    <t>10 Year Fixed</t>
  </si>
  <si>
    <t>15 Year Fixed</t>
  </si>
  <si>
    <t>20 Year Fixed</t>
  </si>
  <si>
    <t>25 Year Fixed</t>
  </si>
  <si>
    <t>Cash Out Details</t>
  </si>
  <si>
    <t>Fee</t>
  </si>
  <si>
    <t>PMI</t>
  </si>
  <si>
    <t>Loan Cost</t>
  </si>
  <si>
    <t>Payment Details</t>
  </si>
  <si>
    <t>Fill Quote</t>
  </si>
  <si>
    <t>Quote Sent</t>
  </si>
  <si>
    <t>Send Quote Directly</t>
  </si>
  <si>
    <t>Review Quote</t>
  </si>
  <si>
    <t>Frank Lagummina</t>
  </si>
  <si>
    <t>abennett@westcapitallending.com</t>
  </si>
  <si>
    <t>Conditionally Approved</t>
  </si>
  <si>
    <t>NMLS 207198</t>
  </si>
  <si>
    <t>949-468-3772</t>
  </si>
  <si>
    <t>Al Bennett</t>
  </si>
  <si>
    <t>ONEMAIN</t>
  </si>
  <si>
    <t>MARINR FINC</t>
  </si>
  <si>
    <t xml:space="preserve">         -Rates and APR can vary based on the criteria in the Loan Details section</t>
  </si>
  <si>
    <t xml:space="preserve">         -Appraisal waivers are subject to Fannie Mae/Freddie Mac approval</t>
  </si>
  <si>
    <t xml:space="preserve">         -Escrow payments for taxes and insurance may be required</t>
  </si>
  <si>
    <t xml:space="preserve">         -Interest rates and fees may change at any time</t>
  </si>
  <si>
    <t xml:space="preserve">         -All loans are subject to credit and property approval
</t>
  </si>
  <si>
    <t xml:space="preserve">         -Upon application, a Loan Estimate will be provided</t>
  </si>
  <si>
    <t>HELOAN</t>
  </si>
  <si>
    <t>30 Days</t>
  </si>
  <si>
    <t>Paid (Y/N)</t>
  </si>
  <si>
    <t>C:\Users\Ashley\West Capital Lending\Team Closers - ABennett\For AL Bennett\dexter302-attachments\West Capital Lending Rate Options.oft</t>
  </si>
  <si>
    <t>C:\Users\Ashley\West Capital Lending\Team Closers - ABennett\For AL Bennett\dexter302-attachments\Quotes\</t>
  </si>
  <si>
    <t>Company Name</t>
  </si>
  <si>
    <t>Student Loan</t>
  </si>
  <si>
    <t>Auto Loan</t>
  </si>
  <si>
    <t>PROVIDENT CU</t>
  </si>
  <si>
    <t>MOHELA/DOFED</t>
  </si>
  <si>
    <t>TRAVIS CU</t>
  </si>
  <si>
    <t>FIRSTMARK</t>
  </si>
  <si>
    <t>FM/CITIZENS</t>
  </si>
  <si>
    <t>DISCOVER PL</t>
  </si>
  <si>
    <t>Loan Purpose = 2.</t>
  </si>
  <si>
    <t>Property Use = .</t>
  </si>
  <si>
    <t>Property Type = Single Family.</t>
  </si>
  <si>
    <t>Property LTV =</t>
  </si>
  <si>
    <t>Cash out = 0</t>
  </si>
  <si>
    <t>IsMilitary = .</t>
  </si>
  <si>
    <t>Price = 17</t>
  </si>
  <si>
    <t>First Name = Jane.</t>
  </si>
  <si>
    <t>Last Name = Kim.</t>
  </si>
  <si>
    <t>Phone = (808)885-0390.</t>
  </si>
  <si>
    <t>Email = jkim12350@gmail.com</t>
  </si>
  <si>
    <t>Address = 64-5259 Puanuanu Place.</t>
  </si>
  <si>
    <t>City = Kamuela.</t>
  </si>
  <si>
    <t>State = HI.</t>
  </si>
  <si>
    <t>Zip = 96743.</t>
  </si>
  <si>
    <t>PhysicalAddress = 64-5259 Puanuanu Place.</t>
  </si>
  <si>
    <t>Phys City = Kamuela.</t>
  </si>
  <si>
    <t>Phys State = HI.</t>
  </si>
  <si>
    <t>Phys Zip = 96743.</t>
  </si>
  <si>
    <t>Credit Rating = Good.</t>
  </si>
  <si>
    <t>Property Value = 325000</t>
  </si>
  <si>
    <t>Current Balance = 155000</t>
  </si>
  <si>
    <t>Loan Amount = 155000</t>
  </si>
  <si>
    <t>https://lms.leadmailbox.com/ui/lead/34594203</t>
  </si>
  <si>
    <t>(808)885-0390</t>
  </si>
  <si>
    <t>jkim12350@gmail.com</t>
  </si>
  <si>
    <t>64-5259 Puanuanu Place, Kamuela, HI, 96743</t>
  </si>
  <si>
    <t>Company NMLS 1566096</t>
  </si>
  <si>
    <t xml:space="preserve">         -This is not a commitment to lend</t>
  </si>
  <si>
    <t>C:\Users\Lenovo\OneDrive\Desktop\NAMENAME - West Capital Lending Rate Options 12.oft</t>
  </si>
  <si>
    <t>EXETER FIN</t>
  </si>
  <si>
    <t>$11,749....</t>
  </si>
  <si>
    <t>Installme...</t>
  </si>
  <si>
    <t>POPA FCU</t>
  </si>
  <si>
    <t>REGION...</t>
  </si>
  <si>
    <t>$15,679....</t>
  </si>
  <si>
    <t>ALTAVIST...</t>
  </si>
  <si>
    <t>$16,278....</t>
  </si>
  <si>
    <t>$19,524....</t>
  </si>
  <si>
    <t>blakejessee683</t>
  </si>
  <si>
    <t>16 Jan 2025, 00:28</t>
  </si>
  <si>
    <t>Thank you for quickly doing that. Pipeline (Blake) is now functioning perfectly. However, Pipeline (Jacob) is having the same issue that you just fixed on Pipeline (Blake) and neither Pipeline (Blake) or Pipeline (Jacob) are feeding into the the Master Pipeline. Here are the links: Pipeline (Jacob) - https://docs.google.com/spreadsheets/d/11jS6Gv5TQ3KeUyipoAzGAqrNylYQopg5B3snvkiGnUE/edit?usp=sharing Master Pipeline - https://docs.google.com/spreadsheets/d/1swdn2Mi5ynKXi6D8rh50N-_DoE4uFM8E8-Z-PKMGLEE/edit?usp=sharing I'll add the same email as a editor to these pipelines as I did for Pipeline (Blake) so you have access.</t>
  </si>
  <si>
    <t>Jane Kim</t>
  </si>
  <si>
    <t>Paid at Closing?</t>
  </si>
  <si>
    <t>Paid Before Closing?</t>
  </si>
  <si>
    <t>Included in DTI?</t>
  </si>
  <si>
    <t>DEPTEDNELNET</t>
  </si>
  <si>
    <t>No</t>
  </si>
  <si>
    <t>Yes</t>
  </si>
  <si>
    <t>8314StudentLoan</t>
  </si>
  <si>
    <t>CONN APPLIANCES INC</t>
  </si>
  <si>
    <t>4133MiscellaneousInstallment</t>
  </si>
  <si>
    <t>TBOM/MILSTNE</t>
  </si>
  <si>
    <t>5387Revolving</t>
  </si>
  <si>
    <t>2211StudentLoan</t>
  </si>
  <si>
    <t>THD/CBNA</t>
  </si>
  <si>
    <t>2239Revolving</t>
  </si>
  <si>
    <t>SYNCB/PPC</t>
  </si>
  <si>
    <t>3725Revolving</t>
  </si>
  <si>
    <t>CITI-SHELL</t>
  </si>
  <si>
    <t>4614Revolving</t>
  </si>
  <si>
    <t>3911StudentLoan</t>
  </si>
  <si>
    <t>0685Revolving</t>
  </si>
  <si>
    <t>MONTEREY FINANCIAL SER</t>
  </si>
  <si>
    <t>0803AutoLease</t>
  </si>
  <si>
    <t>FEB DESTINY</t>
  </si>
  <si>
    <t>4467Revolving</t>
  </si>
  <si>
    <t>ALLY FINCL</t>
  </si>
  <si>
    <t>2200AutoLoan</t>
  </si>
  <si>
    <t>CB INDIGO</t>
  </si>
  <si>
    <t>4249Revolving</t>
  </si>
  <si>
    <t>4911StudentLoan</t>
  </si>
  <si>
    <t>PUBLIX EFCU</t>
  </si>
  <si>
    <t>2400Revolving</t>
  </si>
  <si>
    <t>TIMEPAYMENT CORP</t>
  </si>
  <si>
    <t>3237AutoLease</t>
  </si>
  <si>
    <t>SUNOCO/CITI</t>
  </si>
  <si>
    <t>0188Revolving</t>
  </si>
  <si>
    <t>CREDIT ONE BANK NA</t>
  </si>
  <si>
    <t>4937Revolving</t>
  </si>
  <si>
    <t>SYNCB/AMAZON</t>
  </si>
  <si>
    <t>3974Revolving</t>
  </si>
  <si>
    <t>4214StudentLoan</t>
  </si>
  <si>
    <t>BRCLYSBANKDE</t>
  </si>
  <si>
    <t>0105Revolving</t>
  </si>
  <si>
    <t>TBOM/FORTIVA</t>
  </si>
  <si>
    <t>3525Revolving</t>
  </si>
  <si>
    <t>0777Revolving</t>
  </si>
  <si>
    <t>SYNCB/CCPPBY</t>
  </si>
  <si>
    <t>2515Revolving</t>
  </si>
  <si>
    <t>5850Revolving</t>
  </si>
  <si>
    <t>4811StudentLoan</t>
  </si>
  <si>
    <t>1086MiscellaneousInstallment</t>
  </si>
  <si>
    <t>5903Revolving</t>
  </si>
  <si>
    <t>ROCKET MTG</t>
  </si>
  <si>
    <t>5044MortgageLoan</t>
  </si>
  <si>
    <t>TARGET/TD</t>
  </si>
  <si>
    <t>3718Revolving</t>
  </si>
  <si>
    <t>0487Revolving</t>
  </si>
  <si>
    <t>5511StudentLoan</t>
  </si>
  <si>
    <t>CAP1/WMT</t>
  </si>
  <si>
    <t>5111StudentLoan</t>
  </si>
  <si>
    <t>VIVE/TBOM</t>
  </si>
  <si>
    <t>1201Revolving</t>
  </si>
  <si>
    <t>CREDITONEBNK</t>
  </si>
  <si>
    <t>9670Revolving</t>
  </si>
  <si>
    <t>4132MiscellaneousInstallment</t>
  </si>
  <si>
    <t>4312MiscellaneousInstallment</t>
  </si>
  <si>
    <t>8011StudentLoan</t>
  </si>
  <si>
    <t>3811StudentLoan</t>
  </si>
  <si>
    <t>KOHLS/CAPONE</t>
  </si>
  <si>
    <t>7236Revolving</t>
  </si>
  <si>
    <t>CCB/GAMESTOP</t>
  </si>
  <si>
    <t>3888Revolving</t>
  </si>
  <si>
    <t>SYNCB/CARECR</t>
  </si>
  <si>
    <t>4367Revolving</t>
  </si>
  <si>
    <t>GS BANK USA</t>
  </si>
  <si>
    <t>1100Revolving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</si>
</sst>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7" formatCode="&quot;$&quot;#,##0.00_);\(&quot;$&quot;#,##0.00\)"/>
    <numFmt numFmtId="8" formatCode="&quot;$&quot;#,##0.00_);[Red]\(&quot;$&quot;#,##0.00\)"/>
    <numFmt numFmtId="44" formatCode="_(&quot;$&quot;* #,##0.00_);_(&quot;$&quot;* \(#,##0.00\);_(&quot;$&quot;* &quot;-&quot;??_);_(@_)"/>
    <numFmt numFmtId="164" formatCode="0.000%"/>
    <numFmt numFmtId="165" formatCode="_(&quot;$&quot;* #,##0.000_);_(&quot;$&quot;* \(#,##0.000\);_(&quot;$&quot;* &quot;-&quot;???_);_(@_)"/>
    <numFmt numFmtId="166" formatCode="[&lt;=9999999]###\-####;\(###\)\ ###\-####"/>
    <numFmt numFmtId="167" formatCode="&quot;$&quot;#,##0"/>
    <numFmt numFmtId="168" formatCode="&quot;$&quot;#,##0.00"/>
    <numFmt numFmtId="169" formatCode="#,##0.00\ &quot;XDR&quot;;[Red]\-#,##0.00\ &quot;XDR&quot;"/>
  </numFmts>
  <fonts count="79">
    <font>
      <sz val="11"/>
      <color theme="1"/>
      <name val="Calibri"/>
      <family val="2"/>
      <scheme val="minor"/>
    </font>
    <font>
      <sz val="11"/>
      <color theme="1"/>
      <name val="Calibri"/>
      <family val="2"/>
      <scheme val="minor"/>
    </font>
    <font>
      <b/>
      <sz val="11"/>
      <color theme="1"/>
      <name val="Calibri"/>
      <family val="2"/>
      <scheme val="minor"/>
    </font>
    <font>
      <b/>
      <sz val="18"/>
      <color theme="1"/>
      <name val="Calibri"/>
      <family val="2"/>
      <scheme val="minor"/>
    </font>
    <font>
      <sz val="11"/>
      <name val="Calibri"/>
      <family val="2"/>
      <scheme val="minor"/>
    </font>
    <font>
      <sz val="11"/>
      <color rgb="FF006100"/>
      <name val="Calibri"/>
      <family val="2"/>
      <scheme val="minor"/>
    </font>
    <font>
      <sz val="11"/>
      <color rgb="FF9C0006"/>
      <name val="Calibri"/>
      <family val="2"/>
      <scheme val="minor"/>
    </font>
    <font>
      <b/>
      <sz val="11"/>
      <color theme="0"/>
      <name val="Calibri"/>
      <family val="2"/>
      <scheme val="minor"/>
    </font>
    <font>
      <sz val="11"/>
      <color rgb="FFFF0000"/>
      <name val="Calibri"/>
      <family val="2"/>
      <scheme val="minor"/>
    </font>
    <font>
      <b/>
      <sz val="11"/>
      <color rgb="FF00B0F0"/>
      <name val="Calibri"/>
      <family val="2"/>
      <scheme val="minor"/>
    </font>
    <font>
      <b/>
      <sz val="11"/>
      <color theme="5" tint="-0.249977111117893"/>
      <name val="Calibri"/>
      <family val="2"/>
      <scheme val="minor"/>
    </font>
    <font>
      <b/>
      <sz val="11"/>
      <color rgb="FFFF0000"/>
      <name val="Calibri"/>
      <family val="2"/>
      <scheme val="minor"/>
    </font>
    <font>
      <sz val="11"/>
      <color theme="0" tint="-0.499984740745262"/>
      <name val="Calibri"/>
      <family val="2"/>
      <scheme val="minor"/>
    </font>
    <font>
      <b/>
      <sz val="11"/>
      <color rgb="FFFFC000"/>
      <name val="Calibri"/>
      <family val="2"/>
      <scheme val="minor"/>
    </font>
    <font>
      <b/>
      <i/>
      <strike/>
      <sz val="11"/>
      <color rgb="FFFF0000"/>
      <name val="Calibri"/>
      <family val="2"/>
      <scheme val="minor"/>
    </font>
    <font>
      <strike/>
      <sz val="11"/>
      <color rgb="FF9C0006"/>
      <name val="Calibri"/>
      <family val="2"/>
      <scheme val="minor"/>
    </font>
    <font>
      <b/>
      <i/>
      <sz val="11"/>
      <color theme="1"/>
      <name val="Calibri"/>
      <family val="2"/>
      <scheme val="minor"/>
    </font>
    <font>
      <b/>
      <sz val="18"/>
      <color rgb="FFFF0000"/>
      <name val="Calibri"/>
      <family val="2"/>
      <scheme val="minor"/>
    </font>
    <font>
      <sz val="11"/>
      <color rgb="FF000000"/>
      <name val="-webkit-standard"/>
    </font>
    <font>
      <u/>
      <sz val="11"/>
      <color theme="10"/>
      <name val="Calibri"/>
      <family val="2"/>
      <scheme val="minor"/>
    </font>
    <font>
      <b/>
      <sz val="12"/>
      <color rgb="FFFF0000"/>
      <name val="Calibri"/>
      <family val="2"/>
      <scheme val="minor"/>
    </font>
    <font>
      <b/>
      <sz val="12"/>
      <color theme="1"/>
      <name val="Calibri"/>
      <family val="2"/>
      <scheme val="minor"/>
    </font>
    <font>
      <b/>
      <sz val="12"/>
      <color rgb="FFFFFFFF"/>
      <name val="Calibri"/>
      <family val="2"/>
      <scheme val="minor"/>
    </font>
    <font>
      <b/>
      <sz val="12"/>
      <color rgb="FF9C0006"/>
      <name val="Calibri"/>
      <family val="2"/>
      <scheme val="minor"/>
    </font>
    <font>
      <b/>
      <sz val="12"/>
      <color rgb="FFFF9900"/>
      <name val="Calibri"/>
      <family val="2"/>
      <scheme val="minor"/>
    </font>
    <font>
      <b/>
      <sz val="20"/>
      <color theme="0"/>
      <name val="Calibri"/>
      <family val="2"/>
      <scheme val="minor"/>
    </font>
    <font>
      <sz val="14"/>
      <color rgb="FF121212"/>
      <name val="Arial"/>
      <family val="2"/>
    </font>
    <font>
      <b/>
      <sz val="12"/>
      <color theme="0"/>
      <name val="Calibri"/>
      <family val="2"/>
      <scheme val="minor"/>
    </font>
    <font>
      <sz val="11"/>
      <color theme="0"/>
      <name val="Calibri"/>
      <family val="2"/>
      <scheme val="minor"/>
    </font>
    <font>
      <sz val="10"/>
      <name val="Arial"/>
      <family val="2"/>
    </font>
    <font>
      <sz val="12"/>
      <name val="Arial"/>
      <family val="2"/>
    </font>
    <font>
      <b/>
      <sz val="12"/>
      <name val="Arial"/>
      <family val="2"/>
    </font>
    <font>
      <sz val="10"/>
      <color rgb="FF656565"/>
      <name val="Arial"/>
      <family val="2"/>
    </font>
    <font>
      <b/>
      <sz val="10"/>
      <color rgb="FF656565"/>
      <name val="Font Awesome 5 Free"/>
    </font>
    <font>
      <b/>
      <sz val="11"/>
      <color rgb="FF000000"/>
      <name val="Aptos Narrow"/>
      <family val="2"/>
    </font>
    <font>
      <sz val="11"/>
      <color theme="1"/>
      <name val="Aptos Narrow"/>
      <family val="2"/>
    </font>
    <font>
      <b/>
      <sz val="20"/>
      <name val="Calibri"/>
      <family val="2"/>
      <scheme val="minor"/>
    </font>
    <font>
      <b/>
      <sz val="12"/>
      <name val="Calibri"/>
      <family val="2"/>
      <scheme val="minor"/>
    </font>
    <font>
      <b/>
      <sz val="10"/>
      <color theme="1"/>
      <name val="Calibri"/>
      <family val="2"/>
      <scheme val="minor"/>
    </font>
    <font>
      <b/>
      <u/>
      <sz val="18"/>
      <color theme="8" tint="-0.499984740745262"/>
      <name val="Calibri"/>
      <family val="2"/>
      <scheme val="minor"/>
    </font>
    <font>
      <b/>
      <sz val="11"/>
      <color rgb="FF00B050"/>
      <name val="Calibri"/>
      <family val="2"/>
      <scheme val="minor"/>
    </font>
    <font>
      <b/>
      <sz val="18"/>
      <color rgb="FF00B050"/>
      <name val="Calibri"/>
      <family val="2"/>
      <scheme val="minor"/>
    </font>
    <font>
      <b/>
      <u/>
      <sz val="26"/>
      <color rgb="FF00B050"/>
      <name val="Calibri"/>
      <family val="2"/>
      <scheme val="minor"/>
    </font>
    <font>
      <sz val="11"/>
      <color rgb="FF656565"/>
      <name val="Calibri"/>
      <family val="2"/>
      <scheme val="minor"/>
    </font>
    <font>
      <b/>
      <sz val="11"/>
      <color rgb="FF656565"/>
      <name val="Calibri"/>
      <family val="2"/>
      <scheme val="minor"/>
    </font>
    <font>
      <b/>
      <sz val="11"/>
      <color rgb="FF656565"/>
      <name val="Font Awesome 5 Free"/>
    </font>
    <font>
      <b/>
      <sz val="10"/>
      <color rgb="FF656565"/>
      <name val="Arial"/>
      <family val="2"/>
    </font>
    <font>
      <sz val="8"/>
      <name val="Calibri"/>
      <family val="2"/>
      <scheme val="minor"/>
    </font>
    <font>
      <b/>
      <sz val="10"/>
      <color rgb="FF878787"/>
      <name val="Arial"/>
      <family val="2"/>
    </font>
    <font>
      <sz val="10"/>
      <color theme="2" tint="-0.249977111117893"/>
      <name val="Arial"/>
      <family val="2"/>
    </font>
    <font>
      <sz val="10"/>
      <color theme="2" tint="-0.249977111117893"/>
      <name val="Calibri"/>
      <family val="2"/>
      <scheme val="minor"/>
    </font>
    <font>
      <b/>
      <sz val="11"/>
      <name val="Calibri"/>
      <family val="2"/>
      <scheme val="minor"/>
    </font>
    <font>
      <sz val="11"/>
      <color rgb="FF004586"/>
      <name val="Calibri"/>
      <family val="2"/>
      <scheme val="minor"/>
    </font>
    <font>
      <sz val="12"/>
      <color rgb="FF004586"/>
      <name val="Calibri"/>
      <family val="2"/>
      <scheme val="minor"/>
    </font>
    <font>
      <b/>
      <sz val="12"/>
      <color rgb="FF004586"/>
      <name val="Calibri"/>
      <family val="2"/>
      <scheme val="minor"/>
    </font>
    <font>
      <b/>
      <sz val="20"/>
      <color rgb="FF002060"/>
      <name val="Arial"/>
      <family val="2"/>
    </font>
    <font>
      <b/>
      <sz val="18"/>
      <color rgb="FF002060"/>
      <name val="Arial"/>
      <family val="2"/>
    </font>
    <font>
      <b/>
      <sz val="12"/>
      <color rgb="FF002060"/>
      <name val="Arial"/>
      <family val="2"/>
    </font>
    <font>
      <sz val="11"/>
      <color rgb="FF00B0F0"/>
      <name val="Calibri"/>
      <family val="2"/>
      <scheme val="minor"/>
    </font>
    <font>
      <sz val="12"/>
      <color rgb="FF1B294D"/>
      <name val="Calibri"/>
      <family val="2"/>
      <scheme val="minor"/>
    </font>
    <font>
      <b/>
      <sz val="14"/>
      <color rgb="FF1B294D"/>
      <name val="Calibri"/>
      <family val="2"/>
      <scheme val="minor"/>
    </font>
    <font>
      <b/>
      <u/>
      <sz val="20"/>
      <color rgb="FF003366"/>
      <name val="Calibri"/>
      <family val="2"/>
    </font>
    <font>
      <b/>
      <u/>
      <sz val="14"/>
      <color rgb="FF003366"/>
      <name val="Calibri"/>
      <family val="2"/>
    </font>
    <font>
      <b/>
      <u/>
      <sz val="14"/>
      <color rgb="FF339966"/>
      <name val="Calibri"/>
      <family val="2"/>
    </font>
    <font>
      <b/>
      <u/>
      <sz val="20"/>
      <color rgb="FF000000"/>
      <name val="Calibri"/>
      <family val="2"/>
    </font>
    <font>
      <b/>
      <u/>
      <sz val="24"/>
      <color rgb="FF000000"/>
      <name val="Calibri"/>
      <family val="2"/>
    </font>
    <font>
      <sz val="10"/>
      <color theme="1"/>
      <name val="Calibri"/>
      <family val="2"/>
      <scheme val="minor"/>
    </font>
    <font>
      <sz val="8"/>
      <color rgb="FF1B294D"/>
      <name val="ArialMTPro-Regular"/>
    </font>
    <font>
      <sz val="11"/>
      <color rgb="FF1B294D"/>
      <name val="ArialMTPro-Regular"/>
    </font>
    <font>
      <b/>
      <sz val="11"/>
      <color rgb="FF1B294D"/>
      <name val="ArialMTPro-Bold"/>
    </font>
    <font>
      <sz val="12"/>
      <color rgb="FF1B294D"/>
      <name val="ArialMTPro-Regular"/>
    </font>
    <font>
      <sz val="9"/>
      <color rgb="FF1B294D"/>
      <name val="ArialMTPro-Regular"/>
    </font>
    <font>
      <b/>
      <sz val="9"/>
      <color rgb="FF1B294D"/>
      <name val="ArialMTPro-Bold"/>
    </font>
    <font>
      <sz val="11"/>
      <color rgb="FF1B294D"/>
      <name val="Calibri"/>
      <family val="2"/>
      <scheme val="minor"/>
    </font>
    <font>
      <b/>
      <sz val="11"/>
      <color rgb="FF1B294D"/>
      <name val="ArialMTPro-Regular"/>
    </font>
    <font>
      <sz val="12"/>
      <color theme="0"/>
      <name val="ArialMTPro-Regular"/>
    </font>
    <font>
      <sz val="11"/>
      <color theme="0"/>
      <name val="ArialMTPro-Regular"/>
    </font>
    <font>
      <sz val="11"/>
      <color rgb="FF333333"/>
      <name val="Arial"/>
      <family val="2"/>
    </font>
    <font>
      <b/>
      <u/>
      <sz val="22"/>
      <color rgb="FF000000"/>
      <name val="Calibri"/>
      <family val="2"/>
    </font>
  </fonts>
  <fills count="49">
    <fill>
      <patternFill patternType="none"/>
    </fill>
    <fill>
      <patternFill patternType="gray125"/>
    </fill>
    <fill>
      <patternFill patternType="solid">
        <fgColor rgb="FF00B0F0"/>
        <bgColor indexed="64"/>
      </patternFill>
    </fill>
    <fill>
      <patternFill patternType="solid">
        <fgColor rgb="FFFFC000"/>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00FF"/>
        <bgColor indexed="64"/>
      </patternFill>
    </fill>
    <fill>
      <patternFill patternType="solid">
        <fgColor theme="9" tint="0.79998168889431442"/>
        <bgColor indexed="64"/>
      </patternFill>
    </fill>
    <fill>
      <patternFill patternType="solid">
        <fgColor rgb="FF32FA70"/>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0" tint="-0.14999847407452621"/>
        <bgColor indexed="64"/>
      </patternFill>
    </fill>
    <fill>
      <patternFill patternType="solid">
        <fgColor rgb="FF92D050"/>
        <bgColor indexed="64"/>
      </patternFill>
    </fill>
    <fill>
      <patternFill patternType="solid">
        <fgColor theme="0"/>
        <bgColor indexed="64"/>
      </patternFill>
    </fill>
    <fill>
      <patternFill patternType="solid">
        <fgColor rgb="FFFF3399"/>
        <bgColor indexed="64"/>
      </patternFill>
    </fill>
    <fill>
      <patternFill patternType="solid">
        <fgColor theme="2"/>
        <bgColor indexed="64"/>
      </patternFill>
    </fill>
    <fill>
      <patternFill patternType="solid">
        <fgColor rgb="FFFF0066"/>
        <bgColor indexed="64"/>
      </patternFill>
    </fill>
    <fill>
      <patternFill patternType="solid">
        <fgColor rgb="FF00CC66"/>
        <bgColor indexed="64"/>
      </patternFill>
    </fill>
    <fill>
      <patternFill patternType="solid">
        <fgColor theme="9" tint="0.59999389629810485"/>
        <bgColor indexed="64"/>
      </patternFill>
    </fill>
    <fill>
      <patternFill patternType="solid">
        <fgColor theme="4" tint="0.39997558519241921"/>
        <bgColor indexed="64"/>
      </patternFill>
    </fill>
    <fill>
      <patternFill patternType="solid">
        <fgColor theme="7" tint="0.59999389629810485"/>
        <bgColor indexed="64"/>
      </patternFill>
    </fill>
    <fill>
      <patternFill patternType="solid">
        <fgColor rgb="FF00FF00"/>
        <bgColor indexed="64"/>
      </patternFill>
    </fill>
    <fill>
      <patternFill patternType="solid">
        <fgColor rgb="FFFFC7CE"/>
        <bgColor indexed="64"/>
      </patternFill>
    </fill>
    <fill>
      <patternFill patternType="solid">
        <fgColor rgb="FF4A86E8"/>
        <bgColor indexed="64"/>
      </patternFill>
    </fill>
    <fill>
      <patternFill patternType="solid">
        <fgColor rgb="FF00FFFF"/>
        <bgColor indexed="64"/>
      </patternFill>
    </fill>
    <fill>
      <patternFill patternType="solid">
        <fgColor rgb="FFFF9900"/>
        <bgColor indexed="64"/>
      </patternFill>
    </fill>
    <fill>
      <patternFill patternType="solid">
        <fgColor rgb="FF000000"/>
        <bgColor indexed="64"/>
      </patternFill>
    </fill>
    <fill>
      <patternFill patternType="solid">
        <fgColor rgb="FFFFD966"/>
        <bgColor indexed="64"/>
      </patternFill>
    </fill>
    <fill>
      <patternFill patternType="solid">
        <fgColor rgb="FF70AD47"/>
        <bgColor indexed="64"/>
      </patternFill>
    </fill>
    <fill>
      <patternFill patternType="solid">
        <fgColor rgb="FFFF0000"/>
        <bgColor indexed="64"/>
      </patternFill>
    </fill>
    <fill>
      <patternFill patternType="solid">
        <fgColor rgb="FFB45F06"/>
        <bgColor indexed="64"/>
      </patternFill>
    </fill>
    <fill>
      <patternFill patternType="solid">
        <fgColor rgb="FFB6D7A8"/>
        <bgColor indexed="64"/>
      </patternFill>
    </fill>
    <fill>
      <patternFill patternType="solid">
        <fgColor rgb="FF999999"/>
        <bgColor indexed="64"/>
      </patternFill>
    </fill>
    <fill>
      <patternFill patternType="solid">
        <fgColor rgb="FFFFF2CC"/>
        <bgColor indexed="64"/>
      </patternFill>
    </fill>
    <fill>
      <patternFill patternType="solid">
        <fgColor rgb="FFB4C6E7"/>
        <bgColor indexed="64"/>
      </patternFill>
    </fill>
    <fill>
      <patternFill patternType="solid">
        <fgColor rgb="FF6AA84F"/>
        <bgColor indexed="64"/>
      </patternFill>
    </fill>
    <fill>
      <patternFill patternType="solid">
        <fgColor rgb="FFD5A6BD"/>
        <bgColor indexed="64"/>
      </patternFill>
    </fill>
    <fill>
      <patternFill patternType="solid">
        <fgColor theme="2" tint="-0.249977111117893"/>
        <bgColor indexed="64"/>
      </patternFill>
    </fill>
    <fill>
      <patternFill patternType="solid">
        <fgColor rgb="FFFFFFFF"/>
        <bgColor indexed="64"/>
      </patternFill>
    </fill>
    <fill>
      <patternFill patternType="solid">
        <fgColor theme="8" tint="0.59999389629810485"/>
        <bgColor indexed="64"/>
      </patternFill>
    </fill>
    <fill>
      <patternFill patternType="solid">
        <fgColor theme="9"/>
        <bgColor indexed="64"/>
      </patternFill>
    </fill>
    <fill>
      <patternFill patternType="solid">
        <fgColor theme="1"/>
        <bgColor indexed="64"/>
      </patternFill>
    </fill>
    <fill>
      <patternFill patternType="solid">
        <fgColor theme="9" tint="0.39997558519241921"/>
        <bgColor indexed="64"/>
      </patternFill>
    </fill>
    <fill>
      <patternFill patternType="solid">
        <fgColor rgb="FFF5F5F5"/>
        <bgColor indexed="64"/>
      </patternFill>
    </fill>
    <fill>
      <patternFill patternType="solid">
        <fgColor theme="0" tint="-0.499984740745262"/>
        <bgColor indexed="64"/>
      </patternFill>
    </fill>
    <fill>
      <patternFill patternType="solid">
        <fgColor rgb="FF00B050"/>
        <bgColor indexed="64"/>
      </patternFill>
    </fill>
    <fill>
      <patternFill patternType="solid">
        <fgColor rgb="FF1B294D"/>
        <bgColor indexed="64"/>
      </patternFill>
    </fill>
    <fill>
      <patternFill patternType="solid">
        <fgColor rgb="FFAEB2BB"/>
        <bgColor indexed="64"/>
      </patternFill>
    </fill>
  </fills>
  <borders count="63">
    <border>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rgb="FFCCCCCC"/>
      </left>
      <right style="medium">
        <color rgb="FFCCCCCC"/>
      </right>
      <top style="medium">
        <color rgb="FFCCCCCC"/>
      </top>
      <bottom style="medium">
        <color rgb="FFCCCCCC"/>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indexed="64"/>
      </bottom>
      <diagonal/>
    </border>
    <border>
      <left style="thin">
        <color indexed="64"/>
      </left>
      <right style="thin">
        <color indexed="64"/>
      </right>
      <top/>
      <bottom style="thin">
        <color indexed="64"/>
      </bottom>
      <diagonal/>
    </border>
    <border>
      <left style="medium">
        <color rgb="FFDDDDDD"/>
      </left>
      <right style="medium">
        <color rgb="FFDDDDDD"/>
      </right>
      <top style="medium">
        <color rgb="FFDDDDDD"/>
      </top>
      <bottom style="medium">
        <color rgb="FFDDDDDD"/>
      </bottom>
      <diagonal/>
    </border>
    <border>
      <left/>
      <right/>
      <top style="thin">
        <color indexed="64"/>
      </top>
      <bottom style="thin">
        <color indexed="64"/>
      </bottom>
      <diagonal/>
    </border>
    <border>
      <left/>
      <right style="medium">
        <color indexed="64"/>
      </right>
      <top/>
      <bottom/>
      <diagonal/>
    </border>
    <border>
      <left style="thick">
        <color rgb="FF1B294D"/>
      </left>
      <right/>
      <top style="thick">
        <color rgb="FF1B294D"/>
      </top>
      <bottom/>
      <diagonal/>
    </border>
    <border>
      <left/>
      <right/>
      <top style="thick">
        <color rgb="FF1B294D"/>
      </top>
      <bottom/>
      <diagonal/>
    </border>
    <border>
      <left style="thick">
        <color rgb="FF1B294D"/>
      </left>
      <right/>
      <top/>
      <bottom style="thick">
        <color rgb="FF1B294D"/>
      </bottom>
      <diagonal/>
    </border>
    <border>
      <left/>
      <right/>
      <top/>
      <bottom style="thick">
        <color rgb="FF1B294D"/>
      </bottom>
      <diagonal/>
    </border>
    <border>
      <left/>
      <right style="thin">
        <color rgb="FF1B294D"/>
      </right>
      <top style="thick">
        <color rgb="FF1B294D"/>
      </top>
      <bottom/>
      <diagonal/>
    </border>
    <border>
      <left/>
      <right style="thin">
        <color rgb="FF1B294D"/>
      </right>
      <top/>
      <bottom/>
      <diagonal/>
    </border>
    <border>
      <left style="thin">
        <color rgb="FF1B294D"/>
      </left>
      <right/>
      <top style="thick">
        <color rgb="FF1B294D"/>
      </top>
      <bottom/>
      <diagonal/>
    </border>
    <border>
      <left style="thin">
        <color rgb="FF1B294D"/>
      </left>
      <right/>
      <top/>
      <bottom/>
      <diagonal/>
    </border>
    <border>
      <left style="thin">
        <color rgb="FF1B294D"/>
      </left>
      <right style="thin">
        <color rgb="FF1B294D"/>
      </right>
      <top style="thin">
        <color rgb="FF1B294D"/>
      </top>
      <bottom style="thin">
        <color rgb="FF1B294D"/>
      </bottom>
      <diagonal/>
    </border>
    <border>
      <left/>
      <right style="thin">
        <color rgb="FF1B294D"/>
      </right>
      <top style="thin">
        <color rgb="FF1B294D"/>
      </top>
      <bottom style="thin">
        <color rgb="FF1B294D"/>
      </bottom>
      <diagonal/>
    </border>
    <border>
      <left/>
      <right style="thin">
        <color rgb="FF1B294D"/>
      </right>
      <top style="thin">
        <color rgb="FF1B294D"/>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bottom style="thin">
        <color rgb="FF1B294D"/>
      </bottom>
      <diagonal/>
    </border>
    <border>
      <left/>
      <right style="thin">
        <color indexed="64"/>
      </right>
      <top style="thin">
        <color rgb="FF1B294D"/>
      </top>
      <bottom style="thin">
        <color rgb="FF1B294D"/>
      </bottom>
      <diagonal/>
    </border>
    <border>
      <left style="thin">
        <color indexed="64"/>
      </left>
      <right/>
      <top style="thin">
        <color rgb="FF1B294D"/>
      </top>
      <bottom style="thin">
        <color rgb="FF1B294D"/>
      </bottom>
      <diagonal/>
    </border>
    <border>
      <left style="medium">
        <color indexed="64"/>
      </left>
      <right/>
      <top style="medium">
        <color indexed="64"/>
      </top>
      <bottom style="thin">
        <color rgb="FF1B294D"/>
      </bottom>
      <diagonal/>
    </border>
    <border>
      <left/>
      <right style="thin">
        <color rgb="FF1B294D"/>
      </right>
      <top style="medium">
        <color indexed="64"/>
      </top>
      <bottom style="thin">
        <color rgb="FF1B294D"/>
      </bottom>
      <diagonal/>
    </border>
    <border>
      <left style="thin">
        <color rgb="FF1B294D"/>
      </left>
      <right/>
      <top style="medium">
        <color indexed="64"/>
      </top>
      <bottom style="thin">
        <color rgb="FF1B294D"/>
      </bottom>
      <diagonal/>
    </border>
    <border>
      <left style="medium">
        <color indexed="64"/>
      </left>
      <right/>
      <top style="thin">
        <color rgb="FF1B294D"/>
      </top>
      <bottom style="thin">
        <color rgb="FF1B294D"/>
      </bottom>
      <diagonal/>
    </border>
    <border>
      <left style="medium">
        <color indexed="64"/>
      </left>
      <right/>
      <top/>
      <bottom style="thin">
        <color rgb="FF1B294D"/>
      </bottom>
      <diagonal/>
    </border>
    <border>
      <left style="medium">
        <color indexed="64"/>
      </left>
      <right/>
      <top style="thin">
        <color rgb="FF1B294D"/>
      </top>
      <bottom style="medium">
        <color indexed="64"/>
      </bottom>
      <diagonal/>
    </border>
    <border>
      <left/>
      <right style="thin">
        <color rgb="FF1B294D"/>
      </right>
      <top style="thin">
        <color rgb="FF1B294D"/>
      </top>
      <bottom style="medium">
        <color indexed="64"/>
      </bottom>
      <diagonal/>
    </border>
    <border>
      <left style="thin">
        <color rgb="FF1B294D"/>
      </left>
      <right/>
      <top style="thin">
        <color rgb="FF1B294D"/>
      </top>
      <bottom style="medium">
        <color indexed="64"/>
      </bottom>
      <diagonal/>
    </border>
    <border>
      <left/>
      <right style="thin">
        <color rgb="FF1B294D"/>
      </right>
      <top/>
      <bottom style="thin">
        <color rgb="FF1B294D"/>
      </bottom>
      <diagonal/>
    </border>
    <border>
      <left style="thin">
        <color rgb="FF1B294D"/>
      </left>
      <right style="medium">
        <color indexed="64"/>
      </right>
      <top/>
      <bottom style="thin">
        <color rgb="FF1B294D"/>
      </bottom>
      <diagonal/>
    </border>
    <border>
      <left style="thin">
        <color rgb="FF1B294D"/>
      </left>
      <right style="medium">
        <color indexed="64"/>
      </right>
      <top style="thin">
        <color rgb="FF1B294D"/>
      </top>
      <bottom style="thin">
        <color rgb="FF1B294D"/>
      </bottom>
      <diagonal/>
    </border>
    <border>
      <left style="medium">
        <color indexed="64"/>
      </left>
      <right/>
      <top style="thin">
        <color rgb="FF1B294D"/>
      </top>
      <bottom/>
      <diagonal/>
    </border>
    <border>
      <left style="thin">
        <color rgb="FF1B294D"/>
      </left>
      <right style="medium">
        <color indexed="64"/>
      </right>
      <top style="thin">
        <color rgb="FF1B294D"/>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rgb="FFD3D3D3"/>
      </left>
      <right style="thin">
        <color rgb="FFD3D3D3"/>
      </right>
      <top style="thin">
        <color rgb="FFD3D3D3"/>
      </top>
      <bottom style="thin">
        <color rgb="FFD3D3D3"/>
      </bottom>
      <diagonal/>
    </border>
    <border>
      <left/>
      <right/>
      <top/>
      <bottom style="medium">
        <color rgb="FFDDDDDD"/>
      </bottom>
      <diagonal/>
    </border>
    <border>
      <left style="thin">
        <color indexed="64"/>
      </left>
      <right style="thin">
        <color indexed="64"/>
      </right>
      <top style="thin">
        <color indexed="64"/>
      </top>
      <bottom/>
      <diagonal/>
    </border>
    <border>
      <left style="medium">
        <color rgb="FFDDDDDD"/>
      </left>
      <right/>
      <top style="medium">
        <color rgb="FFDDDDDD"/>
      </top>
      <bottom style="medium">
        <color rgb="FFDDDDDD"/>
      </bottom>
      <diagonal/>
    </border>
  </borders>
  <cellStyleXfs count="7">
    <xf numFmtId="0" fontId="0" fillId="0" borderId="0"/>
    <xf numFmtId="9" fontId="1" fillId="0" borderId="0" applyFont="0" applyFill="0" applyBorder="0" applyAlignment="0" applyProtection="0"/>
    <xf numFmtId="44" fontId="1" fillId="0" borderId="0" applyFont="0" applyFill="0" applyBorder="0" applyAlignment="0" applyProtection="0"/>
    <xf numFmtId="0" fontId="5" fillId="5" borderId="0" applyNumberFormat="0" applyBorder="0" applyAlignment="0" applyProtection="0"/>
    <xf numFmtId="0" fontId="6" fillId="6" borderId="0" applyNumberFormat="0" applyBorder="0" applyAlignment="0" applyProtection="0"/>
    <xf numFmtId="0" fontId="19" fillId="0" borderId="0" applyNumberFormat="0" applyFill="0" applyBorder="0" applyAlignment="0" applyProtection="0"/>
    <xf numFmtId="0" fontId="29" fillId="0" borderId="0"/>
  </cellStyleXfs>
  <cellXfs count="327">
    <xf numFmtId="0" fontId="0" fillId="0" borderId="0" xfId="0"/>
    <xf numFmtId="0" fontId="0" fillId="0" borderId="0" xfId="0" applyAlignment="1">
      <alignment horizontal="center"/>
    </xf>
    <xf numFmtId="0" fontId="5" fillId="5" borderId="0" xfId="3"/>
    <xf numFmtId="0" fontId="9" fillId="0" borderId="0" xfId="0" applyFont="1"/>
    <xf numFmtId="0" fontId="10" fillId="4" borderId="0" xfId="0" applyFont="1" applyFill="1"/>
    <xf numFmtId="0" fontId="11" fillId="4" borderId="0" xfId="0" applyFont="1" applyFill="1"/>
    <xf numFmtId="0" fontId="9" fillId="4" borderId="0" xfId="0" applyFont="1" applyFill="1"/>
    <xf numFmtId="0" fontId="7" fillId="7" borderId="0" xfId="0" applyFont="1" applyFill="1"/>
    <xf numFmtId="0" fontId="2" fillId="8" borderId="0" xfId="0" applyFont="1" applyFill="1"/>
    <xf numFmtId="0" fontId="2" fillId="9" borderId="0" xfId="0" applyFont="1" applyFill="1"/>
    <xf numFmtId="0" fontId="11" fillId="2" borderId="0" xfId="0" applyFont="1" applyFill="1"/>
    <xf numFmtId="0" fontId="12" fillId="10" borderId="0" xfId="0" applyFont="1" applyFill="1"/>
    <xf numFmtId="0" fontId="13" fillId="10" borderId="0" xfId="0" applyFont="1" applyFill="1"/>
    <xf numFmtId="0" fontId="8" fillId="11" borderId="0" xfId="0" applyFont="1" applyFill="1"/>
    <xf numFmtId="0" fontId="14" fillId="11" borderId="0" xfId="0" applyFont="1" applyFill="1"/>
    <xf numFmtId="0" fontId="15" fillId="6" borderId="0" xfId="4" applyFont="1"/>
    <xf numFmtId="0" fontId="6" fillId="6" borderId="0" xfId="4"/>
    <xf numFmtId="0" fontId="16" fillId="3" borderId="0" xfId="0" applyFont="1" applyFill="1"/>
    <xf numFmtId="0" fontId="2" fillId="12" borderId="0" xfId="0" applyFont="1" applyFill="1"/>
    <xf numFmtId="0" fontId="2" fillId="0" borderId="0" xfId="0" applyFont="1"/>
    <xf numFmtId="0" fontId="0" fillId="0" borderId="0" xfId="0" applyAlignment="1">
      <alignment vertical="center"/>
    </xf>
    <xf numFmtId="0" fontId="19" fillId="0" borderId="0" xfId="5" applyAlignment="1">
      <alignment vertical="center"/>
    </xf>
    <xf numFmtId="0" fontId="0" fillId="14" borderId="1" xfId="0" applyFill="1" applyBorder="1" applyAlignment="1" applyProtection="1">
      <alignment horizontal="center" vertical="center"/>
      <protection hidden="1"/>
    </xf>
    <xf numFmtId="14" fontId="0" fillId="14" borderId="1" xfId="0" applyNumberFormat="1" applyFill="1" applyBorder="1" applyAlignment="1" applyProtection="1">
      <alignment horizontal="center" vertical="center"/>
      <protection hidden="1"/>
    </xf>
    <xf numFmtId="166" fontId="0" fillId="14" borderId="1" xfId="0" applyNumberFormat="1" applyFill="1" applyBorder="1" applyAlignment="1" applyProtection="1">
      <alignment horizontal="center" vertical="center"/>
      <protection hidden="1"/>
    </xf>
    <xf numFmtId="44" fontId="0" fillId="14" borderId="1" xfId="2" applyFont="1" applyFill="1" applyBorder="1" applyAlignment="1" applyProtection="1">
      <alignment horizontal="center" vertical="center"/>
      <protection hidden="1"/>
    </xf>
    <xf numFmtId="10" fontId="0" fillId="14" borderId="1" xfId="1" applyNumberFormat="1" applyFont="1" applyFill="1" applyBorder="1" applyAlignment="1" applyProtection="1">
      <alignment horizontal="center" vertical="center"/>
      <protection hidden="1"/>
    </xf>
    <xf numFmtId="44" fontId="0" fillId="14" borderId="1" xfId="0" applyNumberFormat="1" applyFill="1" applyBorder="1" applyAlignment="1" applyProtection="1">
      <alignment horizontal="center" vertical="center"/>
      <protection hidden="1"/>
    </xf>
    <xf numFmtId="14" fontId="0" fillId="0" borderId="0" xfId="0" applyNumberFormat="1" applyAlignment="1">
      <alignment horizontal="center"/>
    </xf>
    <xf numFmtId="0" fontId="2" fillId="0" borderId="0" xfId="0" applyFont="1" applyAlignment="1">
      <alignment horizontal="center"/>
    </xf>
    <xf numFmtId="0" fontId="0" fillId="0" borderId="0" xfId="0" applyAlignment="1">
      <alignment horizontal="left"/>
    </xf>
    <xf numFmtId="10" fontId="0" fillId="0" borderId="0" xfId="0" applyNumberFormat="1"/>
    <xf numFmtId="0" fontId="0" fillId="0" borderId="0" xfId="0" applyAlignment="1">
      <alignment horizontal="center" vertical="center"/>
    </xf>
    <xf numFmtId="0" fontId="0" fillId="16" borderId="1" xfId="0" applyFill="1" applyBorder="1" applyAlignment="1">
      <alignment horizontal="center" vertical="center"/>
    </xf>
    <xf numFmtId="0" fontId="0" fillId="16" borderId="1" xfId="0" applyFill="1" applyBorder="1" applyAlignment="1">
      <alignment horizontal="center"/>
    </xf>
    <xf numFmtId="14" fontId="0" fillId="16" borderId="1" xfId="0" applyNumberFormat="1" applyFill="1" applyBorder="1" applyAlignment="1">
      <alignment horizontal="center"/>
    </xf>
    <xf numFmtId="0" fontId="2" fillId="16" borderId="1" xfId="0" applyFont="1" applyFill="1" applyBorder="1"/>
    <xf numFmtId="0" fontId="0" fillId="16" borderId="1" xfId="0" applyFill="1" applyBorder="1"/>
    <xf numFmtId="0" fontId="2" fillId="16" borderId="1" xfId="0" applyFont="1" applyFill="1" applyBorder="1" applyAlignment="1">
      <alignment horizontal="center"/>
    </xf>
    <xf numFmtId="0" fontId="0" fillId="16" borderId="1" xfId="0" applyFill="1" applyBorder="1" applyAlignment="1">
      <alignment horizontal="left"/>
    </xf>
    <xf numFmtId="7" fontId="0" fillId="16" borderId="1" xfId="0" applyNumberFormat="1" applyFill="1" applyBorder="1" applyAlignment="1">
      <alignment horizontal="center"/>
    </xf>
    <xf numFmtId="10" fontId="4" fillId="16" borderId="1" xfId="1" applyNumberFormat="1" applyFont="1" applyFill="1" applyBorder="1"/>
    <xf numFmtId="0" fontId="2" fillId="15" borderId="6" xfId="0" applyFont="1" applyFill="1" applyBorder="1" applyAlignment="1">
      <alignment horizontal="center" vertical="center" wrapText="1"/>
    </xf>
    <xf numFmtId="14" fontId="2" fillId="15" borderId="6" xfId="0" applyNumberFormat="1" applyFont="1" applyFill="1" applyBorder="1" applyAlignment="1">
      <alignment horizontal="center" vertical="center" wrapText="1"/>
    </xf>
    <xf numFmtId="0" fontId="2" fillId="15" borderId="0" xfId="0" applyFont="1" applyFill="1" applyAlignment="1">
      <alignment horizontal="center" vertical="center" wrapText="1"/>
    </xf>
    <xf numFmtId="44" fontId="2" fillId="15" borderId="6" xfId="0" applyNumberFormat="1" applyFont="1" applyFill="1" applyBorder="1" applyAlignment="1">
      <alignment horizontal="center" vertical="center" wrapText="1"/>
    </xf>
    <xf numFmtId="10" fontId="2" fillId="15" borderId="6" xfId="0" applyNumberFormat="1" applyFont="1" applyFill="1" applyBorder="1" applyAlignment="1">
      <alignment horizontal="center" vertical="center" wrapText="1"/>
    </xf>
    <xf numFmtId="0" fontId="18" fillId="17" borderId="0" xfId="0" applyFont="1" applyFill="1"/>
    <xf numFmtId="0" fontId="0" fillId="17" borderId="0" xfId="0" applyFill="1"/>
    <xf numFmtId="0" fontId="0" fillId="17" borderId="0" xfId="0" applyFill="1" applyAlignment="1">
      <alignment horizontal="center"/>
    </xf>
    <xf numFmtId="49" fontId="0" fillId="17" borderId="0" xfId="0" applyNumberFormat="1" applyFill="1"/>
    <xf numFmtId="0" fontId="19" fillId="17" borderId="0" xfId="5" applyFill="1"/>
    <xf numFmtId="44" fontId="0" fillId="17" borderId="0" xfId="2" applyFont="1" applyFill="1"/>
    <xf numFmtId="0" fontId="0" fillId="17" borderId="0" xfId="2" applyNumberFormat="1" applyFont="1" applyFill="1"/>
    <xf numFmtId="164" fontId="0" fillId="17" borderId="0" xfId="1" applyNumberFormat="1" applyFont="1" applyFill="1"/>
    <xf numFmtId="44" fontId="0" fillId="17" borderId="0" xfId="0" applyNumberFormat="1" applyFill="1"/>
    <xf numFmtId="165" fontId="0" fillId="17" borderId="0" xfId="0" applyNumberFormat="1" applyFill="1"/>
    <xf numFmtId="3" fontId="0" fillId="17" borderId="0" xfId="0" applyNumberFormat="1" applyFill="1"/>
    <xf numFmtId="0" fontId="2" fillId="18" borderId="0" xfId="0" applyFont="1" applyFill="1"/>
    <xf numFmtId="0" fontId="0" fillId="18" borderId="0" xfId="0" applyFill="1" applyAlignment="1" applyProtection="1">
      <alignment horizontal="right"/>
      <protection hidden="1"/>
    </xf>
    <xf numFmtId="44" fontId="0" fillId="18" borderId="0" xfId="0" applyNumberFormat="1" applyFill="1" applyAlignment="1" applyProtection="1">
      <alignment horizontal="right"/>
      <protection hidden="1"/>
    </xf>
    <xf numFmtId="164" fontId="0" fillId="18" borderId="0" xfId="0" applyNumberFormat="1" applyFill="1" applyAlignment="1" applyProtection="1">
      <alignment horizontal="right"/>
      <protection hidden="1"/>
    </xf>
    <xf numFmtId="0" fontId="2" fillId="20" borderId="1" xfId="0" applyFont="1" applyFill="1" applyBorder="1" applyAlignment="1">
      <alignment horizontal="center" vertical="center" wrapText="1"/>
    </xf>
    <xf numFmtId="14" fontId="2" fillId="20" borderId="1" xfId="0" applyNumberFormat="1" applyFont="1" applyFill="1" applyBorder="1" applyAlignment="1">
      <alignment horizontal="center" vertical="center" wrapText="1"/>
    </xf>
    <xf numFmtId="44" fontId="2" fillId="20" borderId="1" xfId="0" applyNumberFormat="1" applyFont="1" applyFill="1" applyBorder="1" applyAlignment="1">
      <alignment horizontal="center" vertical="center" wrapText="1"/>
    </xf>
    <xf numFmtId="10" fontId="2" fillId="20" borderId="1" xfId="0" applyNumberFormat="1" applyFont="1" applyFill="1" applyBorder="1" applyAlignment="1">
      <alignment horizontal="center" vertical="center" wrapText="1"/>
    </xf>
    <xf numFmtId="0" fontId="2" fillId="21" borderId="1" xfId="0" applyFont="1" applyFill="1" applyBorder="1" applyAlignment="1">
      <alignment horizontal="center" vertical="center" wrapText="1"/>
    </xf>
    <xf numFmtId="14" fontId="2" fillId="21" borderId="1" xfId="0" applyNumberFormat="1" applyFont="1" applyFill="1" applyBorder="1" applyAlignment="1">
      <alignment horizontal="center" vertical="center" wrapText="1"/>
    </xf>
    <xf numFmtId="0" fontId="2" fillId="21" borderId="1" xfId="0" applyFont="1" applyFill="1" applyBorder="1" applyAlignment="1">
      <alignment vertical="center" wrapText="1"/>
    </xf>
    <xf numFmtId="0" fontId="2" fillId="21" borderId="1" xfId="0" applyFont="1" applyFill="1" applyBorder="1" applyAlignment="1">
      <alignment horizontal="left" vertical="center" wrapText="1"/>
    </xf>
    <xf numFmtId="44" fontId="2" fillId="21" borderId="1" xfId="0" applyNumberFormat="1" applyFont="1" applyFill="1" applyBorder="1" applyAlignment="1">
      <alignment horizontal="center" vertical="center" wrapText="1"/>
    </xf>
    <xf numFmtId="44" fontId="2" fillId="21" borderId="1" xfId="0" applyNumberFormat="1" applyFont="1" applyFill="1" applyBorder="1" applyAlignment="1">
      <alignment vertical="center" wrapText="1"/>
    </xf>
    <xf numFmtId="0" fontId="19" fillId="16" borderId="1" xfId="5" applyFill="1" applyBorder="1"/>
    <xf numFmtId="0" fontId="21" fillId="4" borderId="8" xfId="0" applyFont="1" applyFill="1" applyBorder="1" applyAlignment="1">
      <alignment wrapText="1"/>
    </xf>
    <xf numFmtId="0" fontId="22" fillId="24" borderId="8" xfId="0" applyFont="1" applyFill="1" applyBorder="1" applyAlignment="1">
      <alignment wrapText="1"/>
    </xf>
    <xf numFmtId="0" fontId="22" fillId="7" borderId="8" xfId="0" applyFont="1" applyFill="1" applyBorder="1" applyAlignment="1">
      <alignment wrapText="1"/>
    </xf>
    <xf numFmtId="0" fontId="21" fillId="25" borderId="8" xfId="0" applyFont="1" applyFill="1" applyBorder="1" applyAlignment="1">
      <alignment wrapText="1"/>
    </xf>
    <xf numFmtId="0" fontId="21" fillId="26" borderId="8" xfId="0" applyFont="1" applyFill="1" applyBorder="1" applyAlignment="1">
      <alignment wrapText="1"/>
    </xf>
    <xf numFmtId="0" fontId="22" fillId="26" borderId="8" xfId="0" applyFont="1" applyFill="1" applyBorder="1" applyAlignment="1">
      <alignment wrapText="1"/>
    </xf>
    <xf numFmtId="0" fontId="22" fillId="27" borderId="8" xfId="0" applyFont="1" applyFill="1" applyBorder="1" applyAlignment="1">
      <alignment wrapText="1"/>
    </xf>
    <xf numFmtId="0" fontId="21" fillId="28" borderId="8" xfId="0" applyFont="1" applyFill="1" applyBorder="1" applyAlignment="1">
      <alignment wrapText="1"/>
    </xf>
    <xf numFmtId="0" fontId="22" fillId="29" borderId="8" xfId="0" applyFont="1" applyFill="1" applyBorder="1" applyAlignment="1">
      <alignment wrapText="1"/>
    </xf>
    <xf numFmtId="0" fontId="22" fillId="30" borderId="8" xfId="0" applyFont="1" applyFill="1" applyBorder="1" applyAlignment="1">
      <alignment wrapText="1"/>
    </xf>
    <xf numFmtId="0" fontId="21" fillId="22" borderId="8" xfId="0" applyFont="1" applyFill="1" applyBorder="1" applyAlignment="1">
      <alignment wrapText="1"/>
    </xf>
    <xf numFmtId="0" fontId="22" fillId="15" borderId="8" xfId="0" applyFont="1" applyFill="1" applyBorder="1" applyAlignment="1">
      <alignment wrapText="1"/>
    </xf>
    <xf numFmtId="0" fontId="22" fillId="31" borderId="8" xfId="0" applyFont="1" applyFill="1" applyBorder="1" applyAlignment="1">
      <alignment wrapText="1"/>
    </xf>
    <xf numFmtId="0" fontId="21" fillId="32" borderId="8" xfId="0" applyFont="1" applyFill="1" applyBorder="1" applyAlignment="1">
      <alignment wrapText="1"/>
    </xf>
    <xf numFmtId="0" fontId="21" fillId="33" borderId="8" xfId="0" applyFont="1" applyFill="1" applyBorder="1" applyAlignment="1">
      <alignment wrapText="1"/>
    </xf>
    <xf numFmtId="0" fontId="20" fillId="34" borderId="8" xfId="0" applyFont="1" applyFill="1" applyBorder="1" applyAlignment="1">
      <alignment wrapText="1"/>
    </xf>
    <xf numFmtId="0" fontId="23" fillId="23" borderId="8" xfId="0" applyFont="1" applyFill="1" applyBorder="1" applyAlignment="1">
      <alignment wrapText="1"/>
    </xf>
    <xf numFmtId="0" fontId="21" fillId="35" borderId="8" xfId="0" applyFont="1" applyFill="1" applyBorder="1" applyAlignment="1">
      <alignment wrapText="1"/>
    </xf>
    <xf numFmtId="0" fontId="21" fillId="36" borderId="8" xfId="0" applyFont="1" applyFill="1" applyBorder="1" applyAlignment="1">
      <alignment wrapText="1"/>
    </xf>
    <xf numFmtId="0" fontId="24" fillId="34" borderId="8" xfId="0" applyFont="1" applyFill="1" applyBorder="1" applyAlignment="1">
      <alignment wrapText="1"/>
    </xf>
    <xf numFmtId="0" fontId="22" fillId="37" borderId="8" xfId="0" applyFont="1" applyFill="1" applyBorder="1" applyAlignment="1">
      <alignment wrapText="1"/>
    </xf>
    <xf numFmtId="0" fontId="25" fillId="38" borderId="0" xfId="0" applyFont="1" applyFill="1"/>
    <xf numFmtId="0" fontId="26" fillId="0" borderId="0" xfId="0" applyFont="1" applyAlignment="1">
      <alignment vertical="center" wrapText="1"/>
    </xf>
    <xf numFmtId="0" fontId="0" fillId="19" borderId="0" xfId="0" applyFill="1"/>
    <xf numFmtId="8" fontId="31" fillId="14" borderId="1" xfId="6" applyNumberFormat="1" applyFont="1" applyFill="1" applyBorder="1" applyAlignment="1">
      <alignment wrapText="1"/>
    </xf>
    <xf numFmtId="0" fontId="30" fillId="0" borderId="16" xfId="6" applyFont="1" applyBorder="1"/>
    <xf numFmtId="0" fontId="30" fillId="0" borderId="12" xfId="6" applyFont="1" applyBorder="1"/>
    <xf numFmtId="8" fontId="30" fillId="0" borderId="12" xfId="6" applyNumberFormat="1" applyFont="1" applyBorder="1"/>
    <xf numFmtId="8" fontId="30" fillId="0" borderId="13" xfId="6" applyNumberFormat="1" applyFont="1" applyBorder="1"/>
    <xf numFmtId="0" fontId="30" fillId="0" borderId="17" xfId="6" applyFont="1" applyBorder="1"/>
    <xf numFmtId="0" fontId="30" fillId="0" borderId="18" xfId="6" applyFont="1" applyBorder="1"/>
    <xf numFmtId="0" fontId="34" fillId="0" borderId="12" xfId="0" applyFont="1" applyBorder="1"/>
    <xf numFmtId="0" fontId="35" fillId="0" borderId="12" xfId="0" applyFont="1" applyBorder="1"/>
    <xf numFmtId="0" fontId="35" fillId="0" borderId="0" xfId="0" applyFont="1"/>
    <xf numFmtId="0" fontId="0" fillId="14" borderId="0" xfId="0" applyFill="1"/>
    <xf numFmtId="167" fontId="2" fillId="0" borderId="1" xfId="0" applyNumberFormat="1" applyFont="1" applyBorder="1" applyAlignment="1">
      <alignment vertical="center"/>
    </xf>
    <xf numFmtId="0" fontId="43" fillId="39" borderId="19" xfId="0" applyFont="1" applyFill="1" applyBorder="1" applyAlignment="1">
      <alignment vertical="center" wrapText="1"/>
    </xf>
    <xf numFmtId="0" fontId="43" fillId="39" borderId="19" xfId="0" applyFont="1" applyFill="1" applyBorder="1" applyAlignment="1">
      <alignment horizontal="right" vertical="center" wrapText="1"/>
    </xf>
    <xf numFmtId="8" fontId="43" fillId="39" borderId="19" xfId="0" applyNumberFormat="1" applyFont="1" applyFill="1" applyBorder="1" applyAlignment="1">
      <alignment horizontal="right" vertical="center" wrapText="1"/>
    </xf>
    <xf numFmtId="8" fontId="44" fillId="39" borderId="19" xfId="0" applyNumberFormat="1" applyFont="1" applyFill="1" applyBorder="1" applyAlignment="1">
      <alignment horizontal="right" vertical="center" wrapText="1"/>
    </xf>
    <xf numFmtId="0" fontId="45" fillId="39" borderId="19" xfId="0" applyFont="1" applyFill="1" applyBorder="1" applyAlignment="1">
      <alignment horizontal="center" vertical="center" wrapText="1"/>
    </xf>
    <xf numFmtId="0" fontId="32" fillId="39" borderId="19" xfId="0" applyFont="1" applyFill="1" applyBorder="1" applyAlignment="1">
      <alignment horizontal="center" vertical="center" wrapText="1"/>
    </xf>
    <xf numFmtId="0" fontId="32" fillId="39" borderId="19" xfId="0" applyFont="1" applyFill="1" applyBorder="1" applyAlignment="1">
      <alignment vertical="center" wrapText="1"/>
    </xf>
    <xf numFmtId="0" fontId="32" fillId="39" borderId="19" xfId="0" applyFont="1" applyFill="1" applyBorder="1" applyAlignment="1">
      <alignment horizontal="right" vertical="center" wrapText="1"/>
    </xf>
    <xf numFmtId="8" fontId="32" fillId="39" borderId="19" xfId="0" applyNumberFormat="1" applyFont="1" applyFill="1" applyBorder="1" applyAlignment="1">
      <alignment horizontal="right" vertical="center" wrapText="1"/>
    </xf>
    <xf numFmtId="8" fontId="46" fillId="39" borderId="19" xfId="0" applyNumberFormat="1" applyFont="1" applyFill="1" applyBorder="1" applyAlignment="1">
      <alignment horizontal="right" vertical="center" wrapText="1"/>
    </xf>
    <xf numFmtId="0" fontId="33" fillId="39" borderId="19" xfId="0" applyFont="1" applyFill="1" applyBorder="1" applyAlignment="1">
      <alignment horizontal="center" vertical="center" wrapText="1"/>
    </xf>
    <xf numFmtId="14" fontId="0" fillId="0" borderId="0" xfId="0" applyNumberFormat="1"/>
    <xf numFmtId="0" fontId="0" fillId="30" borderId="8" xfId="0" applyFill="1" applyBorder="1"/>
    <xf numFmtId="0" fontId="0" fillId="41" borderId="8" xfId="0" applyFill="1" applyBorder="1"/>
    <xf numFmtId="0" fontId="2" fillId="0" borderId="8" xfId="0" applyFont="1" applyBorder="1"/>
    <xf numFmtId="0" fontId="21" fillId="36" borderId="0" xfId="0" applyFont="1" applyFill="1" applyAlignment="1">
      <alignment wrapText="1"/>
    </xf>
    <xf numFmtId="0" fontId="21" fillId="26" borderId="0" xfId="0" applyFont="1" applyFill="1" applyAlignment="1">
      <alignment wrapText="1"/>
    </xf>
    <xf numFmtId="0" fontId="12" fillId="34" borderId="8" xfId="0" applyFont="1" applyFill="1" applyBorder="1"/>
    <xf numFmtId="0" fontId="24" fillId="34" borderId="0" xfId="0" applyFont="1" applyFill="1" applyAlignment="1">
      <alignment wrapText="1"/>
    </xf>
    <xf numFmtId="0" fontId="22" fillId="7" borderId="0" xfId="0" applyFont="1" applyFill="1" applyAlignment="1">
      <alignment wrapText="1"/>
    </xf>
    <xf numFmtId="0" fontId="12" fillId="34" borderId="0" xfId="0" applyFont="1" applyFill="1"/>
    <xf numFmtId="0" fontId="48" fillId="44" borderId="19" xfId="0" applyFont="1" applyFill="1" applyBorder="1" applyAlignment="1">
      <alignment horizontal="center" wrapText="1"/>
    </xf>
    <xf numFmtId="0" fontId="43" fillId="39" borderId="19" xfId="0" applyFont="1" applyFill="1" applyBorder="1" applyAlignment="1">
      <alignment horizontal="center" vertical="center" wrapText="1"/>
    </xf>
    <xf numFmtId="0" fontId="30" fillId="0" borderId="11" xfId="6" applyFont="1" applyBorder="1"/>
    <xf numFmtId="0" fontId="27" fillId="42" borderId="0" xfId="0" applyFont="1" applyFill="1" applyAlignment="1">
      <alignment horizontal="center"/>
    </xf>
    <xf numFmtId="0" fontId="49" fillId="0" borderId="0" xfId="0" applyFont="1" applyAlignment="1">
      <alignment horizontal="left" vertical="center" wrapText="1" indent="1"/>
    </xf>
    <xf numFmtId="0" fontId="50" fillId="0" borderId="0" xfId="0" applyFont="1"/>
    <xf numFmtId="0" fontId="49" fillId="0" borderId="0" xfId="0" applyFont="1" applyAlignment="1">
      <alignment horizontal="center" vertical="center"/>
    </xf>
    <xf numFmtId="0" fontId="48" fillId="44" borderId="0" xfId="0" applyFont="1" applyFill="1" applyAlignment="1">
      <alignment horizontal="center" wrapText="1"/>
    </xf>
    <xf numFmtId="0" fontId="0" fillId="45" borderId="0" xfId="0" applyFill="1"/>
    <xf numFmtId="0" fontId="34" fillId="0" borderId="12" xfId="0" applyFont="1" applyBorder="1" applyAlignment="1">
      <alignment horizontal="center"/>
    </xf>
    <xf numFmtId="0" fontId="29" fillId="0" borderId="0" xfId="0" applyFont="1" applyAlignment="1">
      <alignment horizontal="left" vertical="center" wrapText="1" indent="1"/>
    </xf>
    <xf numFmtId="8" fontId="29" fillId="0" borderId="0" xfId="0" applyNumberFormat="1" applyFont="1" applyAlignment="1">
      <alignment horizontal="left" vertical="center" wrapText="1" indent="1"/>
    </xf>
    <xf numFmtId="10" fontId="0" fillId="19" borderId="0" xfId="1" applyNumberFormat="1" applyFont="1" applyFill="1"/>
    <xf numFmtId="10" fontId="2" fillId="20" borderId="1" xfId="1" applyNumberFormat="1" applyFont="1" applyFill="1" applyBorder="1" applyAlignment="1">
      <alignment horizontal="center" vertical="center" wrapText="1"/>
    </xf>
    <xf numFmtId="10" fontId="0" fillId="0" borderId="0" xfId="1" applyNumberFormat="1" applyFont="1"/>
    <xf numFmtId="0" fontId="4" fillId="19" borderId="0" xfId="0" applyFont="1" applyFill="1"/>
    <xf numFmtId="0" fontId="4" fillId="46" borderId="0" xfId="0" applyFont="1" applyFill="1"/>
    <xf numFmtId="0" fontId="51" fillId="30" borderId="0" xfId="0" applyFont="1" applyFill="1"/>
    <xf numFmtId="11" fontId="32" fillId="39" borderId="19" xfId="0" applyNumberFormat="1" applyFont="1" applyFill="1" applyBorder="1" applyAlignment="1">
      <alignment vertical="center" wrapText="1"/>
    </xf>
    <xf numFmtId="8" fontId="32" fillId="39" borderId="19" xfId="0" applyNumberFormat="1" applyFont="1" applyFill="1" applyBorder="1" applyAlignment="1">
      <alignment vertical="center" wrapText="1"/>
    </xf>
    <xf numFmtId="11" fontId="32" fillId="39" borderId="19" xfId="0" applyNumberFormat="1" applyFont="1" applyFill="1" applyBorder="1" applyAlignment="1">
      <alignment horizontal="right" vertical="center" wrapText="1"/>
    </xf>
    <xf numFmtId="0" fontId="54" fillId="0" borderId="0" xfId="0" applyFont="1" applyAlignment="1">
      <alignment horizontal="center"/>
    </xf>
    <xf numFmtId="0" fontId="56" fillId="14" borderId="0" xfId="0" applyFont="1" applyFill="1" applyProtection="1">
      <protection hidden="1"/>
    </xf>
    <xf numFmtId="14" fontId="54" fillId="0" borderId="0" xfId="0" applyNumberFormat="1" applyFont="1" applyAlignment="1">
      <alignment horizontal="center"/>
    </xf>
    <xf numFmtId="10" fontId="52" fillId="0" borderId="0" xfId="1" applyNumberFormat="1" applyFont="1" applyBorder="1"/>
    <xf numFmtId="0" fontId="52" fillId="0" borderId="0" xfId="0" applyFont="1"/>
    <xf numFmtId="0" fontId="58" fillId="0" borderId="0" xfId="0" applyFont="1"/>
    <xf numFmtId="0" fontId="0" fillId="10" borderId="0" xfId="0" applyFill="1"/>
    <xf numFmtId="0" fontId="0" fillId="42" borderId="0" xfId="0" applyFill="1"/>
    <xf numFmtId="0" fontId="59" fillId="0" borderId="0" xfId="0" applyFont="1" applyAlignment="1">
      <alignment horizontal="left"/>
    </xf>
    <xf numFmtId="44" fontId="2" fillId="21" borderId="1" xfId="2" applyFont="1" applyFill="1" applyBorder="1" applyAlignment="1">
      <alignment horizontal="center" vertical="center" wrapText="1"/>
    </xf>
    <xf numFmtId="44" fontId="0" fillId="16" borderId="1" xfId="2" applyFont="1" applyFill="1" applyBorder="1"/>
    <xf numFmtId="44" fontId="2" fillId="20" borderId="1" xfId="2" applyFont="1" applyFill="1" applyBorder="1" applyAlignment="1">
      <alignment horizontal="center" vertical="center" wrapText="1"/>
    </xf>
    <xf numFmtId="44" fontId="0" fillId="0" borderId="0" xfId="2" applyFont="1"/>
    <xf numFmtId="9" fontId="2" fillId="20" borderId="1" xfId="1" applyFont="1" applyFill="1" applyBorder="1" applyAlignment="1">
      <alignment horizontal="center" vertical="center" wrapText="1"/>
    </xf>
    <xf numFmtId="9" fontId="0" fillId="0" borderId="0" xfId="1" applyFont="1"/>
    <xf numFmtId="10" fontId="2" fillId="21" borderId="1" xfId="1" applyNumberFormat="1" applyFont="1" applyFill="1" applyBorder="1" applyAlignment="1">
      <alignment horizontal="center" vertical="center" wrapText="1"/>
    </xf>
    <xf numFmtId="10" fontId="0" fillId="16" borderId="1" xfId="1" applyNumberFormat="1" applyFont="1" applyFill="1" applyBorder="1"/>
    <xf numFmtId="14" fontId="0" fillId="19" borderId="0" xfId="0" applyNumberFormat="1" applyFill="1"/>
    <xf numFmtId="44" fontId="0" fillId="19" borderId="0" xfId="2" applyFont="1" applyFill="1"/>
    <xf numFmtId="168" fontId="2" fillId="0" borderId="1" xfId="0" applyNumberFormat="1" applyFont="1" applyBorder="1" applyAlignment="1">
      <alignment vertical="center"/>
    </xf>
    <xf numFmtId="0" fontId="53" fillId="0" borderId="0" xfId="0" applyFont="1" applyAlignment="1">
      <alignment horizontal="right" vertical="center"/>
    </xf>
    <xf numFmtId="49" fontId="66" fillId="0" borderId="0" xfId="0" applyNumberFormat="1" applyFont="1" applyAlignment="1">
      <alignment vertical="top" wrapText="1"/>
    </xf>
    <xf numFmtId="0" fontId="67" fillId="0" borderId="0" xfId="0" applyFont="1"/>
    <xf numFmtId="0" fontId="68" fillId="0" borderId="0" xfId="0" applyFont="1"/>
    <xf numFmtId="0" fontId="69" fillId="0" borderId="0" xfId="0" applyFont="1"/>
    <xf numFmtId="0" fontId="72" fillId="0" borderId="0" xfId="0" applyFont="1"/>
    <xf numFmtId="0" fontId="73" fillId="0" borderId="0" xfId="0" applyFont="1"/>
    <xf numFmtId="0" fontId="59" fillId="0" borderId="0" xfId="0" applyFont="1"/>
    <xf numFmtId="0" fontId="59" fillId="0" borderId="0" xfId="0" applyFont="1" applyAlignment="1">
      <alignment horizontal="right" vertical="center"/>
    </xf>
    <xf numFmtId="0" fontId="73" fillId="0" borderId="0" xfId="0" applyFont="1" applyAlignment="1">
      <alignment horizontal="right"/>
    </xf>
    <xf numFmtId="0" fontId="60" fillId="0" borderId="0" xfId="0" applyFont="1"/>
    <xf numFmtId="14" fontId="54" fillId="0" borderId="0" xfId="0" applyNumberFormat="1" applyFont="1"/>
    <xf numFmtId="0" fontId="60" fillId="0" borderId="0" xfId="0" applyFont="1" applyAlignment="1">
      <alignment horizontal="center"/>
    </xf>
    <xf numFmtId="0" fontId="71" fillId="0" borderId="0" xfId="0" applyFont="1"/>
    <xf numFmtId="0" fontId="73" fillId="0" borderId="30" xfId="0" applyFont="1" applyBorder="1"/>
    <xf numFmtId="164" fontId="73" fillId="0" borderId="30" xfId="1" applyNumberFormat="1" applyFont="1" applyBorder="1"/>
    <xf numFmtId="44" fontId="73" fillId="0" borderId="30" xfId="2" applyFont="1" applyBorder="1"/>
    <xf numFmtId="14" fontId="72" fillId="0" borderId="0" xfId="0" applyNumberFormat="1" applyFont="1" applyAlignment="1">
      <alignment horizontal="left"/>
    </xf>
    <xf numFmtId="0" fontId="71" fillId="0" borderId="0" xfId="0" applyFont="1" applyAlignment="1">
      <alignment horizontal="left"/>
    </xf>
    <xf numFmtId="0" fontId="73" fillId="0" borderId="31" xfId="0" applyFont="1" applyBorder="1"/>
    <xf numFmtId="167" fontId="2" fillId="0" borderId="18" xfId="0" applyNumberFormat="1" applyFont="1" applyBorder="1" applyAlignment="1">
      <alignment vertical="center"/>
    </xf>
    <xf numFmtId="0" fontId="0" fillId="14" borderId="33" xfId="0" applyFill="1" applyBorder="1"/>
    <xf numFmtId="0" fontId="0" fillId="14" borderId="34" xfId="0" applyFill="1" applyBorder="1"/>
    <xf numFmtId="0" fontId="0" fillId="14" borderId="35" xfId="0" applyFill="1" applyBorder="1"/>
    <xf numFmtId="0" fontId="0" fillId="14" borderId="36" xfId="0" applyFill="1" applyBorder="1"/>
    <xf numFmtId="0" fontId="0" fillId="14" borderId="21" xfId="0" applyFill="1" applyBorder="1"/>
    <xf numFmtId="0" fontId="0" fillId="14" borderId="37" xfId="0" applyFill="1" applyBorder="1"/>
    <xf numFmtId="0" fontId="0" fillId="14" borderId="17" xfId="0" applyFill="1" applyBorder="1"/>
    <xf numFmtId="0" fontId="0" fillId="14" borderId="38" xfId="0" applyFill="1" applyBorder="1"/>
    <xf numFmtId="0" fontId="0" fillId="40" borderId="39" xfId="0" applyFill="1" applyBorder="1"/>
    <xf numFmtId="167" fontId="37" fillId="48" borderId="39" xfId="0" applyNumberFormat="1" applyFont="1" applyFill="1" applyBorder="1" applyAlignment="1">
      <alignment horizontal="right" vertical="center"/>
    </xf>
    <xf numFmtId="0" fontId="0" fillId="48" borderId="21" xfId="0" applyFill="1" applyBorder="1"/>
    <xf numFmtId="7" fontId="0" fillId="0" borderId="0" xfId="0" applyNumberFormat="1"/>
    <xf numFmtId="0" fontId="0" fillId="30" borderId="0" xfId="0" applyFill="1"/>
    <xf numFmtId="8" fontId="68" fillId="0" borderId="54" xfId="0" applyNumberFormat="1" applyFont="1" applyBorder="1" applyAlignment="1">
      <alignment horizontal="center"/>
    </xf>
    <xf numFmtId="8" fontId="68" fillId="0" borderId="55" xfId="0" applyNumberFormat="1" applyFont="1" applyBorder="1" applyAlignment="1">
      <alignment horizontal="center"/>
    </xf>
    <xf numFmtId="0" fontId="68" fillId="0" borderId="55" xfId="0" applyFont="1" applyBorder="1" applyAlignment="1">
      <alignment horizontal="center"/>
    </xf>
    <xf numFmtId="0" fontId="68" fillId="0" borderId="57" xfId="0" applyFont="1" applyBorder="1" applyAlignment="1">
      <alignment horizontal="center"/>
    </xf>
    <xf numFmtId="0" fontId="76" fillId="47" borderId="38" xfId="0" applyFont="1" applyFill="1" applyBorder="1" applyAlignment="1">
      <alignment horizontal="center"/>
    </xf>
    <xf numFmtId="7" fontId="69" fillId="0" borderId="0" xfId="0" applyNumberFormat="1" applyFont="1"/>
    <xf numFmtId="44" fontId="0" fillId="0" borderId="0" xfId="0" applyNumberFormat="1"/>
    <xf numFmtId="0" fontId="19" fillId="0" borderId="0" xfId="5"/>
    <xf numFmtId="0" fontId="27" fillId="0" borderId="0" xfId="0" applyFont="1"/>
    <xf numFmtId="0" fontId="19" fillId="0" borderId="0" xfId="5" applyAlignment="1">
      <alignment horizontal="center"/>
    </xf>
    <xf numFmtId="0" fontId="0" fillId="39" borderId="0" xfId="0" applyFill="1" applyAlignment="1">
      <alignment horizontal="center"/>
    </xf>
    <xf numFmtId="0" fontId="0" fillId="0" borderId="0" xfId="0" applyAlignment="1">
      <alignment wrapText="1"/>
    </xf>
    <xf numFmtId="14" fontId="0" fillId="0" borderId="58" xfId="0" applyNumberFormat="1" applyBorder="1" applyAlignment="1">
      <alignment horizontal="center"/>
    </xf>
    <xf numFmtId="0" fontId="0" fillId="0" borderId="59" xfId="0" applyBorder="1"/>
    <xf numFmtId="0" fontId="2" fillId="0" borderId="59" xfId="0" applyFont="1" applyBorder="1" applyAlignment="1">
      <alignment horizontal="center"/>
    </xf>
    <xf numFmtId="0" fontId="19" fillId="0" borderId="59" xfId="5" applyFill="1" applyBorder="1"/>
    <xf numFmtId="0" fontId="0" fillId="0" borderId="59" xfId="0" applyBorder="1" applyAlignment="1">
      <alignment horizontal="center"/>
    </xf>
    <xf numFmtId="0" fontId="19" fillId="0" borderId="0" xfId="5" applyAlignment="1">
      <alignment wrapText="1"/>
    </xf>
    <xf numFmtId="7" fontId="0" fillId="0" borderId="0" xfId="2" applyNumberFormat="1" applyFont="1"/>
    <xf numFmtId="0" fontId="19" fillId="0" borderId="59" xfId="5" applyBorder="1"/>
    <xf numFmtId="0" fontId="77" fillId="0" borderId="0" xfId="0" applyFont="1" applyAlignment="1">
      <alignment horizontal="left" vertical="center" wrapText="1" indent="1"/>
    </xf>
    <xf numFmtId="8" fontId="77" fillId="0" borderId="0" xfId="0" applyNumberFormat="1" applyFont="1" applyAlignment="1">
      <alignment horizontal="left" vertical="center" wrapText="1" indent="1"/>
    </xf>
    <xf numFmtId="169" fontId="0" fillId="0" borderId="0" xfId="0" applyNumberFormat="1"/>
    <xf numFmtId="0" fontId="0" fillId="0" borderId="60" xfId="0" applyBorder="1"/>
    <xf numFmtId="8" fontId="31" fillId="14" borderId="61" xfId="6" applyNumberFormat="1" applyFont="1" applyFill="1" applyBorder="1" applyAlignment="1">
      <alignment wrapText="1"/>
    </xf>
    <xf numFmtId="0" fontId="32" fillId="39" borderId="62" xfId="0" applyFont="1" applyFill="1" applyBorder="1" applyAlignment="1">
      <alignment vertical="center" wrapText="1"/>
    </xf>
    <xf numFmtId="0" fontId="3" fillId="42" borderId="0" xfId="0" applyFont="1" applyFill="1" applyAlignment="1">
      <alignment horizontal="center" vertical="center"/>
    </xf>
    <xf numFmtId="0" fontId="3" fillId="42" borderId="2" xfId="0" applyFont="1" applyFill="1" applyBorder="1" applyAlignment="1">
      <alignment horizontal="center" vertical="center"/>
    </xf>
    <xf numFmtId="0" fontId="3" fillId="19" borderId="0" xfId="0" applyFont="1" applyFill="1" applyAlignment="1">
      <alignment horizontal="center"/>
    </xf>
    <xf numFmtId="0" fontId="7" fillId="47" borderId="30" xfId="0" applyFont="1" applyFill="1" applyBorder="1" applyAlignment="1">
      <alignment horizontal="center"/>
    </xf>
    <xf numFmtId="0" fontId="68" fillId="0" borderId="0" xfId="0" applyFont="1" applyAlignment="1">
      <alignment horizontal="right"/>
    </xf>
    <xf numFmtId="0" fontId="70" fillId="0" borderId="36" xfId="0" applyFont="1" applyBorder="1" applyAlignment="1">
      <alignment horizontal="center"/>
    </xf>
    <xf numFmtId="0" fontId="70" fillId="0" borderId="27" xfId="0" applyFont="1" applyBorder="1" applyAlignment="1">
      <alignment horizontal="center"/>
    </xf>
    <xf numFmtId="0" fontId="70" fillId="0" borderId="29" xfId="0" applyFont="1" applyBorder="1" applyAlignment="1">
      <alignment horizontal="center"/>
    </xf>
    <xf numFmtId="0" fontId="69" fillId="0" borderId="45" xfId="0" applyFont="1" applyBorder="1" applyAlignment="1">
      <alignment horizontal="center"/>
    </xf>
    <xf numFmtId="0" fontId="69" fillId="0" borderId="46" xfId="0" applyFont="1" applyBorder="1" applyAlignment="1">
      <alignment horizontal="center"/>
    </xf>
    <xf numFmtId="0" fontId="69" fillId="0" borderId="47" xfId="0" applyFont="1" applyBorder="1" applyAlignment="1">
      <alignment horizontal="center"/>
    </xf>
    <xf numFmtId="0" fontId="69" fillId="0" borderId="0" xfId="0" applyFont="1" applyAlignment="1">
      <alignment horizontal="right" indent="2"/>
    </xf>
    <xf numFmtId="0" fontId="71" fillId="0" borderId="0" xfId="0" applyFont="1" applyAlignment="1">
      <alignment horizontal="right" indent="2"/>
    </xf>
    <xf numFmtId="0" fontId="72" fillId="0" borderId="0" xfId="0" applyFont="1" applyAlignment="1">
      <alignment horizontal="right" indent="2"/>
    </xf>
    <xf numFmtId="0" fontId="74" fillId="0" borderId="0" xfId="0" applyFont="1" applyAlignment="1">
      <alignment horizontal="right"/>
    </xf>
    <xf numFmtId="164" fontId="75" fillId="47" borderId="36" xfId="0" applyNumberFormat="1" applyFont="1" applyFill="1" applyBorder="1" applyAlignment="1">
      <alignment horizontal="center"/>
    </xf>
    <xf numFmtId="164" fontId="75" fillId="47" borderId="27" xfId="0" applyNumberFormat="1" applyFont="1" applyFill="1" applyBorder="1" applyAlignment="1">
      <alignment horizontal="center"/>
    </xf>
    <xf numFmtId="164" fontId="75" fillId="47" borderId="29" xfId="0" applyNumberFormat="1" applyFont="1" applyFill="1" applyBorder="1" applyAlignment="1">
      <alignment horizontal="center"/>
    </xf>
    <xf numFmtId="8" fontId="70" fillId="0" borderId="49" xfId="0" applyNumberFormat="1" applyFont="1" applyBorder="1" applyAlignment="1">
      <alignment horizontal="center"/>
    </xf>
    <xf numFmtId="8" fontId="70" fillId="0" borderId="42" xfId="0" applyNumberFormat="1" applyFont="1" applyBorder="1" applyAlignment="1">
      <alignment horizontal="center"/>
    </xf>
    <xf numFmtId="8" fontId="70" fillId="0" borderId="45" xfId="0" applyNumberFormat="1" applyFont="1" applyBorder="1" applyAlignment="1">
      <alignment horizontal="center"/>
    </xf>
    <xf numFmtId="8" fontId="70" fillId="0" borderId="46" xfId="0" applyNumberFormat="1" applyFont="1" applyBorder="1" applyAlignment="1">
      <alignment horizontal="center"/>
    </xf>
    <xf numFmtId="8" fontId="70" fillId="0" borderId="47" xfId="0" applyNumberFormat="1" applyFont="1" applyBorder="1" applyAlignment="1">
      <alignment horizontal="center"/>
    </xf>
    <xf numFmtId="10" fontId="70" fillId="0" borderId="50" xfId="0" applyNumberFormat="1" applyFont="1" applyBorder="1" applyAlignment="1">
      <alignment horizontal="center"/>
    </xf>
    <xf numFmtId="10" fontId="70" fillId="0" borderId="51" xfId="0" applyNumberFormat="1" applyFont="1" applyBorder="1" applyAlignment="1">
      <alignment horizontal="center"/>
    </xf>
    <xf numFmtId="10" fontId="70" fillId="0" borderId="52" xfId="0" applyNumberFormat="1" applyFont="1" applyBorder="1" applyAlignment="1">
      <alignment horizontal="center"/>
    </xf>
    <xf numFmtId="8" fontId="75" fillId="47" borderId="37" xfId="0" applyNumberFormat="1" applyFont="1" applyFill="1" applyBorder="1" applyAlignment="1">
      <alignment horizontal="center"/>
    </xf>
    <xf numFmtId="8" fontId="75" fillId="47" borderId="17" xfId="0" applyNumberFormat="1" applyFont="1" applyFill="1" applyBorder="1" applyAlignment="1">
      <alignment horizontal="center"/>
    </xf>
    <xf numFmtId="8" fontId="70" fillId="0" borderId="48" xfId="0" applyNumberFormat="1" applyFont="1" applyBorder="1" applyAlignment="1">
      <alignment horizontal="center"/>
    </xf>
    <xf numFmtId="8" fontId="70" fillId="0" borderId="43" xfId="0" applyNumberFormat="1" applyFont="1" applyBorder="1" applyAlignment="1">
      <alignment horizontal="center"/>
    </xf>
    <xf numFmtId="8" fontId="70" fillId="0" borderId="44" xfId="0" applyNumberFormat="1" applyFont="1" applyBorder="1" applyAlignment="1">
      <alignment horizontal="center"/>
    </xf>
    <xf numFmtId="0" fontId="55" fillId="14" borderId="0" xfId="0" applyFont="1" applyFill="1" applyAlignment="1" applyProtection="1">
      <alignment horizontal="center"/>
      <protection hidden="1"/>
    </xf>
    <xf numFmtId="0" fontId="57" fillId="14" borderId="0" xfId="0" applyFont="1" applyFill="1" applyAlignment="1" applyProtection="1">
      <alignment horizontal="center"/>
      <protection hidden="1"/>
    </xf>
    <xf numFmtId="0" fontId="68" fillId="0" borderId="0" xfId="0" applyFont="1" applyAlignment="1">
      <alignment horizontal="center"/>
    </xf>
    <xf numFmtId="8" fontId="70" fillId="0" borderId="22" xfId="0" applyNumberFormat="1" applyFont="1" applyBorder="1" applyAlignment="1">
      <alignment horizontal="center"/>
    </xf>
    <xf numFmtId="8" fontId="70" fillId="0" borderId="26" xfId="0" applyNumberFormat="1" applyFont="1" applyBorder="1" applyAlignment="1">
      <alignment horizontal="center"/>
    </xf>
    <xf numFmtId="8" fontId="70" fillId="0" borderId="23" xfId="0" applyNumberFormat="1" applyFont="1" applyBorder="1" applyAlignment="1">
      <alignment horizontal="center"/>
    </xf>
    <xf numFmtId="8" fontId="70" fillId="0" borderId="28" xfId="0" applyNumberFormat="1" applyFont="1" applyBorder="1" applyAlignment="1">
      <alignment horizontal="center"/>
    </xf>
    <xf numFmtId="0" fontId="74" fillId="0" borderId="0" xfId="0" applyFont="1" applyAlignment="1">
      <alignment horizontal="center"/>
    </xf>
    <xf numFmtId="8" fontId="75" fillId="47" borderId="24" xfId="0" applyNumberFormat="1" applyFont="1" applyFill="1" applyBorder="1" applyAlignment="1">
      <alignment horizontal="center"/>
    </xf>
    <xf numFmtId="8" fontId="75" fillId="47" borderId="25" xfId="0" applyNumberFormat="1" applyFont="1" applyFill="1" applyBorder="1" applyAlignment="1">
      <alignment horizontal="center"/>
    </xf>
    <xf numFmtId="0" fontId="74" fillId="0" borderId="17" xfId="0" applyFont="1" applyBorder="1" applyAlignment="1">
      <alignment horizontal="center"/>
    </xf>
    <xf numFmtId="0" fontId="68" fillId="0" borderId="48" xfId="0" applyFont="1" applyBorder="1" applyAlignment="1">
      <alignment horizontal="center"/>
    </xf>
    <xf numFmtId="0" fontId="68" fillId="0" borderId="31" xfId="0" applyFont="1" applyBorder="1" applyAlignment="1">
      <alignment horizontal="center"/>
    </xf>
    <xf numFmtId="0" fontId="68" fillId="0" borderId="56" xfId="0" applyFont="1" applyBorder="1" applyAlignment="1">
      <alignment horizontal="center"/>
    </xf>
    <xf numFmtId="0" fontId="68" fillId="0" borderId="32" xfId="0" applyFont="1" applyBorder="1" applyAlignment="1">
      <alignment horizontal="center"/>
    </xf>
    <xf numFmtId="0" fontId="76" fillId="47" borderId="37" xfId="0" applyFont="1" applyFill="1" applyBorder="1" applyAlignment="1">
      <alignment horizontal="center"/>
    </xf>
    <xf numFmtId="0" fontId="76" fillId="47" borderId="17" xfId="0" applyFont="1" applyFill="1" applyBorder="1" applyAlignment="1">
      <alignment horizontal="center"/>
    </xf>
    <xf numFmtId="0" fontId="68" fillId="0" borderId="49" xfId="0" applyFont="1" applyBorder="1" applyAlignment="1">
      <alignment horizontal="center"/>
    </xf>
    <xf numFmtId="0" fontId="68" fillId="0" borderId="53" xfId="0" applyFont="1" applyBorder="1" applyAlignment="1">
      <alignment horizontal="center"/>
    </xf>
    <xf numFmtId="0" fontId="7" fillId="47" borderId="31" xfId="0" applyFont="1" applyFill="1" applyBorder="1" applyAlignment="1">
      <alignment horizontal="center"/>
    </xf>
    <xf numFmtId="0" fontId="59" fillId="0" borderId="0" xfId="0" applyFont="1" applyAlignment="1">
      <alignment horizontal="right"/>
    </xf>
    <xf numFmtId="0" fontId="69" fillId="0" borderId="0" xfId="0" applyFont="1" applyAlignment="1">
      <alignment horizontal="center"/>
    </xf>
    <xf numFmtId="0" fontId="3" fillId="19" borderId="9" xfId="0" applyFont="1" applyFill="1" applyBorder="1" applyAlignment="1">
      <alignment horizontal="center"/>
    </xf>
    <xf numFmtId="0" fontId="3" fillId="19" borderId="10" xfId="0" applyFont="1" applyFill="1" applyBorder="1" applyAlignment="1">
      <alignment horizontal="center"/>
    </xf>
    <xf numFmtId="0" fontId="39" fillId="19" borderId="11" xfId="0" applyFont="1" applyFill="1" applyBorder="1" applyAlignment="1">
      <alignment horizontal="left"/>
    </xf>
    <xf numFmtId="0" fontId="39" fillId="19" borderId="12" xfId="0" applyFont="1" applyFill="1" applyBorder="1" applyAlignment="1">
      <alignment horizontal="left"/>
    </xf>
    <xf numFmtId="0" fontId="3" fillId="19" borderId="11" xfId="0" applyFont="1" applyFill="1" applyBorder="1" applyAlignment="1">
      <alignment horizontal="left"/>
    </xf>
    <xf numFmtId="0" fontId="3" fillId="19" borderId="12" xfId="0" applyFont="1" applyFill="1" applyBorder="1" applyAlignment="1">
      <alignment horizontal="left"/>
    </xf>
    <xf numFmtId="0" fontId="40" fillId="43" borderId="12" xfId="0" applyFont="1" applyFill="1" applyBorder="1" applyAlignment="1">
      <alignment horizontal="center"/>
    </xf>
    <xf numFmtId="0" fontId="17" fillId="43" borderId="12" xfId="0" applyFont="1" applyFill="1" applyBorder="1" applyAlignment="1">
      <alignment horizontal="left"/>
    </xf>
    <xf numFmtId="0" fontId="8" fillId="43" borderId="12" xfId="0" applyFont="1" applyFill="1" applyBorder="1" applyAlignment="1">
      <alignment horizontal="left"/>
    </xf>
    <xf numFmtId="0" fontId="30" fillId="0" borderId="16" xfId="6" applyFont="1" applyBorder="1" applyAlignment="1">
      <alignment horizontal="center"/>
    </xf>
    <xf numFmtId="0" fontId="30" fillId="0" borderId="18" xfId="6" applyFont="1" applyBorder="1" applyAlignment="1">
      <alignment horizontal="center"/>
    </xf>
    <xf numFmtId="0" fontId="30" fillId="0" borderId="61" xfId="6" applyFont="1" applyBorder="1" applyAlignment="1">
      <alignment horizontal="center"/>
    </xf>
    <xf numFmtId="0" fontId="2" fillId="0" borderId="14" xfId="0" applyFont="1" applyBorder="1" applyAlignment="1">
      <alignment horizontal="left" wrapText="1"/>
    </xf>
    <xf numFmtId="0" fontId="2" fillId="0" borderId="20" xfId="0" applyFont="1" applyBorder="1" applyAlignment="1">
      <alignment horizontal="left" wrapText="1"/>
    </xf>
    <xf numFmtId="0" fontId="2" fillId="0" borderId="15" xfId="0" applyFont="1" applyBorder="1" applyAlignment="1">
      <alignment horizontal="left" wrapText="1"/>
    </xf>
    <xf numFmtId="167" fontId="2" fillId="0" borderId="14" xfId="0" applyNumberFormat="1" applyFont="1" applyBorder="1" applyAlignment="1">
      <alignment vertical="center" wrapText="1"/>
    </xf>
    <xf numFmtId="167" fontId="2" fillId="0" borderId="15" xfId="0" applyNumberFormat="1" applyFont="1" applyBorder="1" applyAlignment="1">
      <alignment vertical="center" wrapText="1"/>
    </xf>
    <xf numFmtId="0" fontId="2" fillId="0" borderId="1" xfId="0" applyFont="1" applyBorder="1" applyAlignment="1">
      <alignment horizontal="left" wrapText="1"/>
    </xf>
    <xf numFmtId="0" fontId="38" fillId="14" borderId="0" xfId="0" applyFont="1" applyFill="1" applyAlignment="1">
      <alignment horizontal="center"/>
    </xf>
    <xf numFmtId="0" fontId="28" fillId="14" borderId="10" xfId="0" applyFont="1" applyFill="1" applyBorder="1" applyAlignment="1">
      <alignment horizontal="center" wrapText="1"/>
    </xf>
    <xf numFmtId="168" fontId="2" fillId="0" borderId="14" xfId="0" applyNumberFormat="1" applyFont="1" applyBorder="1" applyAlignment="1">
      <alignment vertical="center" wrapText="1"/>
    </xf>
    <xf numFmtId="168" fontId="2" fillId="0" borderId="15" xfId="0" applyNumberFormat="1" applyFont="1" applyBorder="1" applyAlignment="1">
      <alignment vertical="center" wrapText="1"/>
    </xf>
    <xf numFmtId="167" fontId="37" fillId="48" borderId="40" xfId="0" applyNumberFormat="1" applyFont="1" applyFill="1" applyBorder="1" applyAlignment="1">
      <alignment horizontal="right" vertical="center" wrapText="1"/>
    </xf>
    <xf numFmtId="167" fontId="37" fillId="48" borderId="41" xfId="0" applyNumberFormat="1" applyFont="1" applyFill="1" applyBorder="1" applyAlignment="1">
      <alignment horizontal="right" vertical="center" wrapText="1"/>
    </xf>
    <xf numFmtId="0" fontId="0" fillId="14" borderId="0" xfId="0" applyFill="1" applyAlignment="1">
      <alignment horizontal="center" wrapText="1"/>
    </xf>
    <xf numFmtId="167" fontId="36" fillId="48" borderId="0" xfId="0" applyNumberFormat="1" applyFont="1" applyFill="1" applyAlignment="1">
      <alignment horizontal="center" vertical="center"/>
    </xf>
    <xf numFmtId="0" fontId="2" fillId="0" borderId="18" xfId="0" applyFont="1" applyBorder="1" applyAlignment="1">
      <alignment horizontal="left" wrapText="1"/>
    </xf>
    <xf numFmtId="167" fontId="2" fillId="0" borderId="11" xfId="0" applyNumberFormat="1" applyFont="1" applyBorder="1" applyAlignment="1">
      <alignment vertical="center" wrapText="1"/>
    </xf>
    <xf numFmtId="167" fontId="2" fillId="0" borderId="13" xfId="0" applyNumberFormat="1" applyFont="1" applyBorder="1" applyAlignment="1">
      <alignment vertical="center" wrapText="1"/>
    </xf>
    <xf numFmtId="0" fontId="0" fillId="0" borderId="0" xfId="0" applyAlignment="1">
      <alignment horizontal="center"/>
    </xf>
    <xf numFmtId="0" fontId="0" fillId="0" borderId="21" xfId="0" applyBorder="1" applyAlignment="1">
      <alignment horizontal="center"/>
    </xf>
    <xf numFmtId="0" fontId="17" fillId="15" borderId="3" xfId="0" applyFont="1" applyFill="1" applyBorder="1" applyAlignment="1">
      <alignment horizontal="center" vertical="center"/>
    </xf>
    <xf numFmtId="0" fontId="17" fillId="15" borderId="4" xfId="0" applyFont="1" applyFill="1" applyBorder="1" applyAlignment="1">
      <alignment horizontal="center" vertical="center"/>
    </xf>
    <xf numFmtId="0" fontId="0" fillId="15" borderId="5" xfId="0" applyFill="1" applyBorder="1" applyAlignment="1">
      <alignment horizontal="center"/>
    </xf>
    <xf numFmtId="0" fontId="0" fillId="15" borderId="6" xfId="0" applyFill="1" applyBorder="1" applyAlignment="1">
      <alignment horizontal="center"/>
    </xf>
    <xf numFmtId="0" fontId="0" fillId="15" borderId="7" xfId="0" applyFill="1" applyBorder="1" applyAlignment="1">
      <alignment horizontal="center"/>
    </xf>
    <xf numFmtId="0" fontId="20" fillId="15" borderId="3" xfId="0" applyFont="1" applyFill="1" applyBorder="1" applyAlignment="1">
      <alignment horizontal="center" vertical="center"/>
    </xf>
    <xf numFmtId="0" fontId="20" fillId="15" borderId="4" xfId="0" applyFont="1" applyFill="1" applyBorder="1" applyAlignment="1">
      <alignment horizontal="center" vertical="center"/>
    </xf>
    <xf numFmtId="0" fontId="20" fillId="13" borderId="3" xfId="0" applyFont="1" applyFill="1" applyBorder="1" applyAlignment="1">
      <alignment horizontal="center" vertical="center"/>
    </xf>
    <xf numFmtId="0" fontId="20" fillId="13" borderId="4" xfId="0" applyFont="1" applyFill="1" applyBorder="1" applyAlignment="1">
      <alignment horizontal="center" vertical="center"/>
    </xf>
    <xf numFmtId="0" fontId="0" fillId="13" borderId="5" xfId="0" applyFill="1" applyBorder="1" applyAlignment="1">
      <alignment horizontal="center"/>
    </xf>
    <xf numFmtId="0" fontId="0" fillId="13" borderId="6" xfId="0" applyFill="1" applyBorder="1" applyAlignment="1">
      <alignment horizontal="center"/>
    </xf>
    <xf numFmtId="0" fontId="0" fillId="13" borderId="7" xfId="0" applyFill="1" applyBorder="1" applyAlignment="1">
      <alignment horizontal="center"/>
    </xf>
  </cellXfs>
  <cellStyles count="7">
    <cellStyle name="Bad" xfId="4" builtinId="27"/>
    <cellStyle name="Currency" xfId="2" builtinId="4"/>
    <cellStyle name="Good" xfId="3" builtinId="26"/>
    <cellStyle name="Hyperlink" xfId="5" builtinId="8"/>
    <cellStyle name="Normal" xfId="0" builtinId="0"/>
    <cellStyle name="Normal 4" xfId="6" xr:uid="{00000000-0005-0000-0000-000005000000}"/>
    <cellStyle name="Per cent" xfId="1" builtinId="5"/>
  </cellStyles>
  <dxfs count="4452">
    <dxf>
      <font>
        <b/>
        <i val="0"/>
        <u/>
        <color auto="1"/>
      </font>
      <fill>
        <patternFill patternType="darkTrellis">
          <fgColor rgb="FF00B0F0"/>
          <bgColor theme="0"/>
        </patternFill>
      </fill>
    </dxf>
    <dxf>
      <font>
        <b/>
        <i val="0"/>
        <u val="double"/>
        <color auto="1"/>
      </font>
      <fill>
        <patternFill patternType="darkTrellis">
          <fgColor theme="5" tint="0.39994506668294322"/>
        </patternFill>
      </fill>
      <border>
        <left style="thin">
          <color auto="1"/>
        </left>
        <right style="thin">
          <color auto="1"/>
        </right>
        <top style="thin">
          <color auto="1"/>
        </top>
        <bottom style="thin">
          <color auto="1"/>
        </bottom>
      </border>
    </dxf>
    <dxf>
      <font>
        <b/>
        <i val="0"/>
        <strike val="0"/>
        <u/>
      </font>
      <fill>
        <patternFill patternType="darkTrellis">
          <fgColor theme="9" tint="0.59996337778862885"/>
          <bgColor auto="1"/>
        </patternFill>
      </fill>
      <border>
        <left style="thin">
          <color auto="1"/>
        </left>
        <right style="thin">
          <color auto="1"/>
        </right>
        <top style="thin">
          <color auto="1"/>
        </top>
        <bottom style="thin">
          <color auto="1"/>
        </bottom>
      </border>
    </dxf>
    <dxf>
      <font>
        <b/>
        <i val="0"/>
        <u val="double"/>
        <color auto="1"/>
      </font>
      <fill>
        <patternFill patternType="darkTrellis">
          <fgColor theme="5" tint="0.39994506668294322"/>
        </patternFill>
      </fill>
      <border>
        <left style="thin">
          <color auto="1"/>
        </left>
        <right style="thin">
          <color auto="1"/>
        </right>
        <top style="thin">
          <color auto="1"/>
        </top>
        <bottom style="thin">
          <color auto="1"/>
        </bottom>
      </border>
    </dxf>
    <dxf>
      <font>
        <b/>
        <i val="0"/>
        <strike val="0"/>
        <u/>
      </font>
      <fill>
        <patternFill patternType="darkTrellis">
          <fgColor theme="9" tint="0.59996337778862885"/>
          <bgColor auto="1"/>
        </patternFill>
      </fill>
      <border>
        <left style="thin">
          <color auto="1"/>
        </left>
        <right style="thin">
          <color auto="1"/>
        </right>
        <top style="thin">
          <color auto="1"/>
        </top>
        <bottom style="thin">
          <color auto="1"/>
        </bottom>
      </border>
    </dxf>
    <dxf>
      <font>
        <b/>
        <i val="0"/>
        <strike val="0"/>
        <u val="none"/>
        <color theme="5" tint="-0.24994659260841701"/>
      </font>
      <fill>
        <patternFill patternType="solid">
          <bgColor rgb="FFFFFF00"/>
        </patternFill>
      </fill>
    </dxf>
    <dxf>
      <font>
        <b/>
        <i val="0"/>
        <strike val="0"/>
        <u val="none"/>
        <color rgb="FFFF0000"/>
      </font>
      <fill>
        <patternFill patternType="solid">
          <bgColor rgb="FFFFFF00"/>
        </patternFill>
      </fill>
    </dxf>
    <dxf>
      <font>
        <b/>
        <i val="0"/>
        <strike val="0"/>
        <u val="none"/>
        <color rgb="FF00B0F0"/>
      </font>
      <fill>
        <patternFill patternType="solid">
          <bgColor rgb="FFFFFF00"/>
        </patternFill>
      </fill>
    </dxf>
    <dxf>
      <font>
        <b/>
        <i val="0"/>
        <strike val="0"/>
        <u val="none"/>
        <color theme="0"/>
      </font>
      <fill>
        <patternFill>
          <bgColor rgb="FFFF3399"/>
        </patternFill>
      </fill>
    </dxf>
    <dxf>
      <font>
        <b/>
        <i val="0"/>
        <strike val="0"/>
        <u val="none"/>
        <color theme="0"/>
      </font>
      <fill>
        <patternFill>
          <bgColor rgb="FFFF3399"/>
        </patternFill>
      </fill>
    </dxf>
    <dxf>
      <font>
        <b/>
        <i/>
        <strike val="0"/>
        <u val="none"/>
        <color theme="5" tint="-0.24994659260841701"/>
      </font>
      <fill>
        <patternFill>
          <bgColor rgb="FFFFFF00"/>
        </patternFill>
      </fill>
    </dxf>
    <dxf>
      <font>
        <b/>
        <i/>
        <strike val="0"/>
        <u val="none"/>
        <color rgb="FFFF0000"/>
      </font>
      <fill>
        <patternFill>
          <bgColor rgb="FFFFFF00"/>
        </patternFill>
      </fill>
    </dxf>
    <dxf>
      <font>
        <b/>
        <i val="0"/>
        <strike val="0"/>
        <u val="none"/>
        <color auto="1"/>
      </font>
      <fill>
        <patternFill patternType="solid">
          <bgColor theme="9" tint="0.59996337778862885"/>
        </patternFill>
      </fill>
    </dxf>
    <dxf>
      <font>
        <b/>
        <i/>
        <strike val="0"/>
        <u val="none"/>
        <color auto="1"/>
      </font>
      <fill>
        <patternFill patternType="solid">
          <bgColor rgb="FF00FF00"/>
        </patternFill>
      </fill>
    </dxf>
    <dxf>
      <font>
        <b/>
        <i/>
        <strike val="0"/>
        <u val="none"/>
        <color auto="1"/>
      </font>
      <fill>
        <patternFill patternType="solid">
          <bgColor rgb="FF00FF00"/>
        </patternFill>
      </fill>
    </dxf>
    <dxf>
      <font>
        <b/>
        <i val="0"/>
        <strike val="0"/>
        <u val="none"/>
        <color rgb="FFFF0000"/>
      </font>
      <fill>
        <patternFill>
          <bgColor rgb="FF00B0F0"/>
        </patternFill>
      </fill>
    </dxf>
    <dxf>
      <font>
        <b/>
        <i val="0"/>
        <strike val="0"/>
        <u val="none"/>
        <color rgb="FFFF0000"/>
      </font>
      <fill>
        <patternFill>
          <bgColor rgb="FF00B0F0"/>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rgb="FFFFC000"/>
      </font>
      <fill>
        <patternFill patternType="solid">
          <bgColor theme="7" tint="0.79998168889431442"/>
        </patternFill>
      </fill>
    </dxf>
    <dxf>
      <font>
        <b/>
        <i/>
        <strike val="0"/>
        <u val="none"/>
        <color rgb="FFFFC000"/>
      </font>
      <fill>
        <patternFill patternType="solid">
          <bgColor theme="7" tint="0.79998168889431442"/>
        </patternFill>
      </fill>
    </dxf>
    <dxf>
      <font>
        <b val="0"/>
        <i/>
        <strike val="0"/>
        <u val="none"/>
        <color rgb="FFFF0000"/>
      </font>
      <fill>
        <patternFill>
          <bgColor theme="8" tint="0.59996337778862885"/>
        </patternFill>
      </fill>
    </dxf>
    <dxf>
      <font>
        <b val="0"/>
        <i/>
        <strike val="0"/>
        <u val="none"/>
        <color rgb="FFFF0000"/>
      </font>
      <fill>
        <patternFill>
          <bgColor theme="8" tint="0.59996337778862885"/>
        </patternFill>
      </fill>
    </dxf>
    <dxf>
      <font>
        <b val="0"/>
        <i/>
        <strike val="0"/>
        <u val="none"/>
        <color rgb="FFFF0000"/>
      </font>
      <fill>
        <patternFill>
          <bgColor theme="8" tint="0.59996337778862885"/>
        </patternFill>
      </fill>
    </dxf>
    <dxf>
      <font>
        <b val="0"/>
        <i/>
        <strike val="0"/>
        <u val="none"/>
        <color rgb="FFFF0000"/>
      </font>
      <fill>
        <patternFill>
          <bgColor theme="8" tint="0.59996337778862885"/>
        </patternFill>
      </fill>
    </dxf>
    <dxf>
      <font>
        <b/>
        <i val="0"/>
        <strike val="0"/>
        <u val="none"/>
        <color theme="0"/>
      </font>
      <fill>
        <patternFill>
          <bgColor rgb="FFCC99FF"/>
        </patternFill>
      </fill>
    </dxf>
    <dxf>
      <font>
        <b/>
        <i val="0"/>
        <strike val="0"/>
        <u val="none"/>
        <color theme="7" tint="0.39991454817346722"/>
      </font>
      <fill>
        <patternFill>
          <bgColor theme="7" tint="0.79998168889431442"/>
        </patternFill>
      </fill>
    </dxf>
    <dxf>
      <font>
        <b/>
        <i val="0"/>
        <strike val="0"/>
        <u val="none"/>
        <color theme="1"/>
      </font>
      <fill>
        <patternFill>
          <bgColor theme="9" tint="-0.24994659260841701"/>
        </patternFill>
      </fill>
    </dxf>
    <dxf>
      <font>
        <b/>
        <i val="0"/>
        <strike val="0"/>
        <color theme="1"/>
      </font>
      <fill>
        <patternFill>
          <bgColor theme="4" tint="0.39994506668294322"/>
        </patternFill>
      </fill>
    </dxf>
    <dxf>
      <font>
        <b/>
        <i val="0"/>
        <strike val="0"/>
        <color rgb="FF7E1389"/>
      </font>
      <fill>
        <patternFill>
          <bgColor rgb="FFFFAFB9"/>
        </patternFill>
      </fill>
    </dxf>
    <dxf>
      <font>
        <b/>
        <i val="0"/>
        <strike val="0"/>
        <color rgb="FFEB2403"/>
      </font>
      <fill>
        <patternFill>
          <bgColor theme="7" tint="0.79998168889431442"/>
        </patternFill>
      </fill>
    </dxf>
    <dxf>
      <font>
        <b/>
        <i val="0"/>
        <strike val="0"/>
        <color theme="1"/>
      </font>
      <fill>
        <patternFill>
          <bgColor theme="1" tint="0.499984740745262"/>
        </patternFill>
      </fill>
    </dxf>
    <dxf>
      <font>
        <b/>
        <i val="0"/>
        <strike val="0"/>
        <color theme="1"/>
      </font>
      <fill>
        <patternFill>
          <bgColor theme="9" tint="0.39994506668294322"/>
        </patternFill>
      </fill>
    </dxf>
    <dxf>
      <font>
        <b/>
        <i val="0"/>
        <strike val="0"/>
        <color theme="0"/>
      </font>
      <fill>
        <patternFill>
          <bgColor theme="5" tint="-0.24994659260841701"/>
        </patternFill>
      </fill>
    </dxf>
    <dxf>
      <font>
        <b/>
        <i val="0"/>
        <strike val="0"/>
        <color theme="0"/>
      </font>
      <fill>
        <patternFill>
          <bgColor rgb="FFF632C7"/>
        </patternFill>
      </fill>
    </dxf>
    <dxf>
      <font>
        <b/>
        <i val="0"/>
        <strike val="0"/>
        <u val="none"/>
        <color theme="1"/>
      </font>
      <fill>
        <patternFill>
          <bgColor rgb="FF99FF33"/>
        </patternFill>
      </fill>
    </dxf>
    <dxf>
      <font>
        <b/>
        <i val="0"/>
        <strike val="0"/>
        <u val="none"/>
        <color theme="0"/>
      </font>
      <fill>
        <patternFill>
          <bgColor rgb="FFFF0000"/>
        </patternFill>
      </fill>
    </dxf>
    <dxf>
      <font>
        <b/>
        <i val="0"/>
        <strike val="0"/>
        <u val="none"/>
        <color theme="0"/>
      </font>
      <fill>
        <patternFill>
          <bgColor rgb="FF7ED882"/>
        </patternFill>
      </fill>
    </dxf>
    <dxf>
      <font>
        <strike val="0"/>
        <color rgb="FF9C0006"/>
      </font>
      <fill>
        <patternFill>
          <bgColor theme="7" tint="0.39994506668294322"/>
        </patternFill>
      </fill>
    </dxf>
    <dxf>
      <font>
        <b/>
        <i val="0"/>
        <strike val="0"/>
        <u val="none"/>
        <color theme="0"/>
      </font>
      <fill>
        <patternFill patternType="solid">
          <bgColor theme="1"/>
        </patternFill>
      </fill>
    </dxf>
    <dxf>
      <font>
        <b/>
        <i val="0"/>
        <strike val="0"/>
        <u val="none"/>
        <color theme="0"/>
      </font>
      <fill>
        <patternFill patternType="solid">
          <bgColor rgb="FFFF9900"/>
        </patternFill>
      </fill>
    </dxf>
    <dxf>
      <font>
        <b/>
        <i val="0"/>
        <strike val="0"/>
        <u val="none"/>
        <color theme="1"/>
      </font>
      <fill>
        <patternFill patternType="solid">
          <bgColor rgb="FFAA5322"/>
        </patternFill>
      </fill>
    </dxf>
    <dxf>
      <font>
        <b/>
        <i val="0"/>
        <strike val="0"/>
        <u val="none"/>
        <color theme="1"/>
      </font>
      <fill>
        <patternFill>
          <bgColor rgb="FF92E7F0"/>
        </patternFill>
      </fill>
    </dxf>
    <dxf>
      <font>
        <b val="0"/>
        <i val="0"/>
        <strike val="0"/>
        <u val="none"/>
        <color theme="0"/>
      </font>
      <fill>
        <patternFill patternType="solid">
          <bgColor rgb="FFFF66CC"/>
        </patternFill>
      </fill>
    </dxf>
    <dxf>
      <font>
        <b/>
        <i val="0"/>
        <strike val="0"/>
        <u val="none"/>
        <color theme="0"/>
      </font>
      <fill>
        <patternFill patternType="solid">
          <bgColor rgb="FF0070C0"/>
        </patternFill>
      </fill>
    </dxf>
    <dxf>
      <font>
        <b/>
        <i val="0"/>
        <color theme="1"/>
      </font>
      <fill>
        <patternFill>
          <bgColor rgb="FFFFFF00"/>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val="0"/>
        <u val="double"/>
        <color auto="1"/>
      </font>
      <fill>
        <patternFill patternType="darkTrellis">
          <fgColor theme="5" tint="0.39994506668294322"/>
        </patternFill>
      </fill>
      <border>
        <left style="thin">
          <color auto="1"/>
        </left>
        <right style="thin">
          <color auto="1"/>
        </right>
        <top style="thin">
          <color auto="1"/>
        </top>
        <bottom style="thin">
          <color auto="1"/>
        </bottom>
      </border>
    </dxf>
    <dxf>
      <font>
        <b/>
        <i val="0"/>
        <strike val="0"/>
        <u/>
      </font>
      <fill>
        <patternFill patternType="darkTrellis">
          <fgColor theme="9" tint="0.59996337778862885"/>
          <bgColor auto="1"/>
        </patternFill>
      </fill>
      <border>
        <left style="thin">
          <color auto="1"/>
        </left>
        <right style="thin">
          <color auto="1"/>
        </right>
        <top style="thin">
          <color auto="1"/>
        </top>
        <bottom style="thin">
          <color auto="1"/>
        </bottom>
      </border>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b/>
        <i val="0"/>
        <strike val="0"/>
        <u val="none"/>
        <color theme="0"/>
      </font>
      <fill>
        <patternFill>
          <bgColor rgb="FFFF3399"/>
        </patternFill>
      </fill>
    </dxf>
    <dxf>
      <font>
        <b/>
        <i val="0"/>
        <strike val="0"/>
        <u val="none"/>
        <color theme="0"/>
      </font>
      <fill>
        <patternFill>
          <bgColor rgb="FFFF3399"/>
        </patternFill>
      </fill>
    </dxf>
    <dxf>
      <font>
        <b/>
        <i/>
        <strike val="0"/>
        <u val="none"/>
        <color auto="1"/>
      </font>
      <fill>
        <patternFill patternType="solid">
          <bgColor rgb="FF00FF00"/>
        </patternFill>
      </fill>
    </dxf>
    <dxf>
      <font>
        <b/>
        <i val="0"/>
        <strike val="0"/>
        <u val="none"/>
        <color rgb="FFFF0000"/>
      </font>
      <fill>
        <patternFill>
          <bgColor rgb="FF00B0F0"/>
        </patternFill>
      </fill>
    </dxf>
    <dxf>
      <font>
        <b/>
        <i val="0"/>
        <strike val="0"/>
        <u val="none"/>
        <color rgb="FF00B050"/>
      </font>
      <fill>
        <patternFill>
          <bgColor rgb="FFEAF1AB"/>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9966FF"/>
      </font>
      <fill>
        <patternFill>
          <bgColor rgb="FFB1DDEB"/>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00B0F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CC99FF"/>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7" tint="0.39991454817346722"/>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theme="9" tint="-0.2499465926084170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4" tint="0.3999450666829432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rgb="FF7E1389"/>
      </font>
      <fill>
        <patternFill>
          <bgColor rgb="FFFFAFB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rgb="FFEB2403"/>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1" tint="0.49998474074526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0"/>
      </font>
      <fill>
        <patternFill>
          <bgColor theme="5" tint="-0.2499465926084170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0"/>
      </font>
      <fill>
        <patternFill>
          <bgColor rgb="FFF632C7"/>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rgb="FF99FF33"/>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FF0000"/>
      </font>
      <fill>
        <patternFill patternType="solid">
          <bgColor theme="9" tint="0.59996337778862885"/>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7ED882"/>
        </patternFill>
      </fill>
      <border>
        <left style="thin">
          <color theme="0" tint="-0.14996795556505021"/>
        </left>
        <right style="thin">
          <color theme="0" tint="-0.14996795556505021"/>
        </right>
        <top style="thin">
          <color theme="0" tint="-0.14996795556505021"/>
        </top>
        <bottom style="thin">
          <color theme="0" tint="-0.14996795556505021"/>
        </bottom>
      </border>
    </dxf>
    <dxf>
      <font>
        <strike val="0"/>
        <color rgb="FF9C0006"/>
      </font>
      <fill>
        <patternFill>
          <bgColor theme="7" tint="0.39994506668294322"/>
        </patternFill>
      </fill>
    </dxf>
    <dxf>
      <font>
        <b/>
        <i val="0"/>
        <strike val="0"/>
        <u val="none"/>
        <color theme="0"/>
      </font>
      <fill>
        <patternFill patternType="solid">
          <bgColor theme="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FF99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patternType="solid">
          <bgColor rgb="FFFF99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rgb="FF92E7F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FF66CC"/>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0070C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1"/>
      </font>
      <fill>
        <patternFill>
          <bgColor rgb="FFFFFF00"/>
        </patternFill>
      </fill>
      <border>
        <left style="thin">
          <color theme="0" tint="-0.14996795556505021"/>
        </left>
        <right style="thin">
          <color theme="0" tint="-0.14996795556505021"/>
        </right>
        <top style="thin">
          <color theme="0" tint="-0.14996795556505021"/>
        </top>
        <bottom style="thin">
          <color theme="0" tint="-0.14996795556505021"/>
        </bottom>
      </border>
    </dxf>
    <dxf>
      <font>
        <color auto="1"/>
      </font>
      <fill>
        <patternFill>
          <bgColor theme="9" tint="0.59996337778862885"/>
        </patternFill>
      </fill>
      <border>
        <left style="thin">
          <color theme="2"/>
        </left>
        <right style="thin">
          <color theme="2"/>
        </right>
        <top style="thin">
          <color theme="2"/>
        </top>
        <bottom style="thin">
          <color theme="2"/>
        </bottom>
      </border>
    </dxf>
    <dxf>
      <fill>
        <patternFill>
          <bgColor rgb="FF00B050"/>
        </patternFill>
      </fill>
      <border>
        <left style="thin">
          <color theme="0" tint="-0.24994659260841701"/>
        </left>
        <right style="thin">
          <color theme="0" tint="-0.24994659260841701"/>
        </right>
        <top style="thin">
          <color theme="0" tint="-0.24994659260841701"/>
        </top>
        <bottom style="thin">
          <color theme="0" tint="-0.24994659260841701"/>
        </bottom>
      </border>
    </dxf>
    <dxf>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rgb="FFFFFF0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b/>
        <i val="0"/>
        <color rgb="FF00B050"/>
      </font>
    </dxf>
    <dxf>
      <font>
        <b/>
        <i val="0"/>
      </font>
      <fill>
        <patternFill>
          <bgColor theme="5" tint="0.7999816888943144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00B050"/>
        </patternFill>
      </fill>
    </dxf>
    <dxf>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b/>
        <i val="0"/>
        <strike val="0"/>
        <u val="none"/>
        <color theme="0"/>
      </font>
      <fill>
        <patternFill>
          <bgColor rgb="FFFF3399"/>
        </patternFill>
      </fill>
    </dxf>
    <dxf>
      <font>
        <b/>
        <i val="0"/>
        <strike val="0"/>
        <u val="none"/>
        <color theme="0"/>
      </font>
      <fill>
        <patternFill>
          <bgColor rgb="FFFF3399"/>
        </patternFill>
      </fill>
    </dxf>
    <dxf>
      <font>
        <b/>
        <i/>
        <strike val="0"/>
        <u val="none"/>
        <color auto="1"/>
      </font>
      <fill>
        <patternFill patternType="solid">
          <bgColor rgb="FF00FF00"/>
        </patternFill>
      </fill>
    </dxf>
    <dxf>
      <font>
        <b/>
        <i val="0"/>
        <strike val="0"/>
        <u val="none"/>
        <color rgb="FFFF0000"/>
      </font>
      <fill>
        <patternFill>
          <bgColor rgb="FF00B0F0"/>
        </patternFill>
      </fill>
    </dxf>
    <dxf>
      <font>
        <b/>
        <i val="0"/>
        <strike val="0"/>
        <u val="none"/>
        <color rgb="FF00B050"/>
      </font>
      <fill>
        <patternFill>
          <bgColor rgb="FFEAF1AB"/>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9966FF"/>
      </font>
      <fill>
        <patternFill>
          <bgColor rgb="FFB1DDEB"/>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00B0F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CC99FF"/>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7" tint="0.39991454817346722"/>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theme="9" tint="-0.2499465926084170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4" tint="0.3999450666829432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rgb="FF7E1389"/>
      </font>
      <fill>
        <patternFill>
          <bgColor rgb="FFFFAFB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rgb="FFEB2403"/>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1" tint="0.49998474074526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0"/>
      </font>
      <fill>
        <patternFill>
          <bgColor theme="5" tint="-0.2499465926084170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0"/>
      </font>
      <fill>
        <patternFill>
          <bgColor rgb="FFF632C7"/>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rgb="FF99FF33"/>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FF0000"/>
      </font>
      <fill>
        <patternFill patternType="solid">
          <bgColor theme="9" tint="0.59996337778862885"/>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7ED882"/>
        </patternFill>
      </fill>
      <border>
        <left style="thin">
          <color theme="0" tint="-0.14996795556505021"/>
        </left>
        <right style="thin">
          <color theme="0" tint="-0.14996795556505021"/>
        </right>
        <top style="thin">
          <color theme="0" tint="-0.14996795556505021"/>
        </top>
        <bottom style="thin">
          <color theme="0" tint="-0.14996795556505021"/>
        </bottom>
      </border>
    </dxf>
    <dxf>
      <font>
        <strike val="0"/>
        <color rgb="FF9C0006"/>
      </font>
      <fill>
        <patternFill>
          <bgColor theme="7" tint="0.39994506668294322"/>
        </patternFill>
      </fill>
    </dxf>
    <dxf>
      <font>
        <b/>
        <i val="0"/>
        <strike val="0"/>
        <u val="none"/>
        <color theme="0"/>
      </font>
      <fill>
        <patternFill patternType="solid">
          <bgColor theme="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FF99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patternType="solid">
          <bgColor rgb="FFFF99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rgb="FF92E7F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FF66CC"/>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0070C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1"/>
      </font>
      <fill>
        <patternFill>
          <bgColor rgb="FFFFFF00"/>
        </patternFill>
      </fill>
      <border>
        <left style="thin">
          <color theme="0" tint="-0.14996795556505021"/>
        </left>
        <right style="thin">
          <color theme="0" tint="-0.14996795556505021"/>
        </right>
        <top style="thin">
          <color theme="0" tint="-0.14996795556505021"/>
        </top>
        <bottom style="thin">
          <color theme="0" tint="-0.14996795556505021"/>
        </bottom>
      </border>
    </dxf>
    <dxf>
      <font>
        <color auto="1"/>
      </font>
      <fill>
        <patternFill>
          <bgColor theme="9" tint="0.59996337778862885"/>
        </patternFill>
      </fill>
      <border>
        <left style="thin">
          <color theme="2"/>
        </left>
        <right style="thin">
          <color theme="2"/>
        </right>
        <top style="thin">
          <color theme="2"/>
        </top>
        <bottom style="thin">
          <color theme="2"/>
        </bottom>
      </border>
    </dxf>
    <dxf>
      <fill>
        <patternFill>
          <bgColor rgb="FF00B050"/>
        </patternFill>
      </fill>
      <border>
        <left style="thin">
          <color theme="0" tint="-0.24994659260841701"/>
        </left>
        <right style="thin">
          <color theme="0" tint="-0.24994659260841701"/>
        </right>
        <top style="thin">
          <color theme="0" tint="-0.24994659260841701"/>
        </top>
        <bottom style="thin">
          <color theme="0" tint="-0.24994659260841701"/>
        </bottom>
      </border>
    </dxf>
    <dxf>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rgb="FFFFFF0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b/>
        <i val="0"/>
        <color rgb="FF00B050"/>
      </font>
    </dxf>
    <dxf>
      <font>
        <b/>
        <i val="0"/>
      </font>
      <fill>
        <patternFill>
          <bgColor theme="5" tint="0.7999816888943144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00B050"/>
        </patternFill>
      </fill>
    </dxf>
    <dxf>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b/>
        <i val="0"/>
        <strike val="0"/>
        <u val="none"/>
        <color theme="0"/>
      </font>
      <fill>
        <patternFill>
          <bgColor rgb="FFFF3399"/>
        </patternFill>
      </fill>
    </dxf>
    <dxf>
      <font>
        <b/>
        <i val="0"/>
        <strike val="0"/>
        <u val="none"/>
        <color theme="0"/>
      </font>
      <fill>
        <patternFill>
          <bgColor rgb="FFFF3399"/>
        </patternFill>
      </fill>
    </dxf>
    <dxf>
      <font>
        <b/>
        <i/>
        <strike val="0"/>
        <u val="none"/>
        <color auto="1"/>
      </font>
      <fill>
        <patternFill patternType="solid">
          <bgColor rgb="FF00FF00"/>
        </patternFill>
      </fill>
    </dxf>
    <dxf>
      <font>
        <b/>
        <i val="0"/>
        <strike val="0"/>
        <u val="none"/>
        <color rgb="FFFF0000"/>
      </font>
      <fill>
        <patternFill>
          <bgColor rgb="FF00B0F0"/>
        </patternFill>
      </fill>
    </dxf>
    <dxf>
      <font>
        <b/>
        <i val="0"/>
        <strike val="0"/>
        <u val="none"/>
        <color rgb="FF00B050"/>
      </font>
      <fill>
        <patternFill>
          <bgColor rgb="FFEAF1AB"/>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9966FF"/>
      </font>
      <fill>
        <patternFill>
          <bgColor rgb="FFB1DDEB"/>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00B0F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CC99FF"/>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7" tint="0.39991454817346722"/>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theme="9" tint="-0.2499465926084170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4" tint="0.3999450666829432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rgb="FF7E1389"/>
      </font>
      <fill>
        <patternFill>
          <bgColor rgb="FFFFAFB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rgb="FFEB2403"/>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1" tint="0.49998474074526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0"/>
      </font>
      <fill>
        <patternFill>
          <bgColor theme="5" tint="-0.2499465926084170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0"/>
      </font>
      <fill>
        <patternFill>
          <bgColor rgb="FFF632C7"/>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rgb="FF99FF33"/>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FF0000"/>
      </font>
      <fill>
        <patternFill patternType="solid">
          <bgColor theme="9" tint="0.59996337778862885"/>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7ED882"/>
        </patternFill>
      </fill>
      <border>
        <left style="thin">
          <color theme="0" tint="-0.14996795556505021"/>
        </left>
        <right style="thin">
          <color theme="0" tint="-0.14996795556505021"/>
        </right>
        <top style="thin">
          <color theme="0" tint="-0.14996795556505021"/>
        </top>
        <bottom style="thin">
          <color theme="0" tint="-0.14996795556505021"/>
        </bottom>
      </border>
    </dxf>
    <dxf>
      <font>
        <strike val="0"/>
        <color rgb="FF9C0006"/>
      </font>
      <fill>
        <patternFill>
          <bgColor theme="7" tint="0.39994506668294322"/>
        </patternFill>
      </fill>
    </dxf>
    <dxf>
      <font>
        <b/>
        <i val="0"/>
        <strike val="0"/>
        <u val="none"/>
        <color theme="0"/>
      </font>
      <fill>
        <patternFill patternType="solid">
          <bgColor theme="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FF99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patternType="solid">
          <bgColor rgb="FFFF99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rgb="FF92E7F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FF66CC"/>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0070C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1"/>
      </font>
      <fill>
        <patternFill>
          <bgColor rgb="FFFFFF00"/>
        </patternFill>
      </fill>
      <border>
        <left style="thin">
          <color theme="0" tint="-0.14996795556505021"/>
        </left>
        <right style="thin">
          <color theme="0" tint="-0.14996795556505021"/>
        </right>
        <top style="thin">
          <color theme="0" tint="-0.14996795556505021"/>
        </top>
        <bottom style="thin">
          <color theme="0" tint="-0.14996795556505021"/>
        </bottom>
      </border>
    </dxf>
    <dxf>
      <font>
        <color auto="1"/>
      </font>
      <fill>
        <patternFill>
          <bgColor theme="9" tint="0.59996337778862885"/>
        </patternFill>
      </fill>
      <border>
        <left style="thin">
          <color theme="2"/>
        </left>
        <right style="thin">
          <color theme="2"/>
        </right>
        <top style="thin">
          <color theme="2"/>
        </top>
        <bottom style="thin">
          <color theme="2"/>
        </bottom>
      </border>
    </dxf>
    <dxf>
      <fill>
        <patternFill>
          <bgColor rgb="FF00B050"/>
        </patternFill>
      </fill>
      <border>
        <left style="thin">
          <color theme="0" tint="-0.24994659260841701"/>
        </left>
        <right style="thin">
          <color theme="0" tint="-0.24994659260841701"/>
        </right>
        <top style="thin">
          <color theme="0" tint="-0.24994659260841701"/>
        </top>
        <bottom style="thin">
          <color theme="0" tint="-0.24994659260841701"/>
        </bottom>
      </border>
    </dxf>
    <dxf>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rgb="FFFFFF0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b/>
        <i val="0"/>
        <color rgb="FF00B050"/>
      </font>
    </dxf>
    <dxf>
      <font>
        <b/>
        <i val="0"/>
      </font>
      <fill>
        <patternFill>
          <bgColor theme="5" tint="0.7999816888943144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00B050"/>
        </patternFill>
      </fill>
      <border>
        <left style="thin">
          <color theme="0" tint="-0.14996795556505021"/>
        </left>
        <right style="thin">
          <color theme="0" tint="-0.14996795556505021"/>
        </right>
        <top style="thin">
          <color theme="0" tint="-0.14996795556505021"/>
        </top>
        <bottom style="thin">
          <color theme="0" tint="-0.14996795556505021"/>
        </bottom>
      </border>
    </dxf>
    <dxf>
      <fill>
        <patternFill>
          <bgColor theme="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FF3399"/>
        </patternFill>
      </fill>
    </dxf>
    <dxf>
      <font>
        <b/>
        <i val="0"/>
        <strike val="0"/>
        <u val="none"/>
        <color theme="0"/>
      </font>
      <fill>
        <patternFill>
          <bgColor rgb="FFFF3399"/>
        </patternFill>
      </fill>
    </dxf>
    <dxf>
      <font>
        <b/>
        <i/>
        <strike val="0"/>
        <u val="none"/>
        <color auto="1"/>
      </font>
      <fill>
        <patternFill patternType="solid">
          <bgColor rgb="FF00FF00"/>
        </patternFill>
      </fill>
    </dxf>
    <dxf>
      <font>
        <b/>
        <i val="0"/>
        <strike val="0"/>
        <u val="none"/>
        <color rgb="FFFF0000"/>
      </font>
      <fill>
        <patternFill>
          <bgColor rgb="FF00B0F0"/>
        </patternFill>
      </fill>
    </dxf>
    <dxf>
      <font>
        <b/>
        <i val="0"/>
        <strike val="0"/>
        <u val="none"/>
        <color rgb="FF00B050"/>
      </font>
      <fill>
        <patternFill>
          <bgColor rgb="FFEAF1AB"/>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9966FF"/>
      </font>
      <fill>
        <patternFill>
          <bgColor rgb="FFB1DDEB"/>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00B0F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CC99FF"/>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7" tint="0.39991454817346722"/>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theme="9" tint="-0.2499465926084170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4" tint="0.3999450666829432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rgb="FF7E1389"/>
      </font>
      <fill>
        <patternFill>
          <bgColor rgb="FFFFAFB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rgb="FFEB2403"/>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1" tint="0.49998474074526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0"/>
      </font>
      <fill>
        <patternFill>
          <bgColor theme="5" tint="-0.2499465926084170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0"/>
      </font>
      <fill>
        <patternFill>
          <bgColor rgb="FFF632C7"/>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rgb="FF99FF33"/>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FF0000"/>
      </font>
      <fill>
        <patternFill patternType="solid">
          <bgColor theme="9" tint="0.59996337778862885"/>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7ED882"/>
        </patternFill>
      </fill>
      <border>
        <left style="thin">
          <color theme="0" tint="-0.14996795556505021"/>
        </left>
        <right style="thin">
          <color theme="0" tint="-0.14996795556505021"/>
        </right>
        <top style="thin">
          <color theme="0" tint="-0.14996795556505021"/>
        </top>
        <bottom style="thin">
          <color theme="0" tint="-0.14996795556505021"/>
        </bottom>
      </border>
    </dxf>
    <dxf>
      <font>
        <strike val="0"/>
        <color rgb="FF9C0006"/>
      </font>
      <fill>
        <patternFill>
          <bgColor theme="7" tint="0.39994506668294322"/>
        </patternFill>
      </fill>
    </dxf>
    <dxf>
      <font>
        <b/>
        <i val="0"/>
        <strike val="0"/>
        <u val="none"/>
        <color theme="0"/>
      </font>
      <fill>
        <patternFill patternType="solid">
          <bgColor theme="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FF99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patternType="solid">
          <bgColor rgb="FFFF99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rgb="FF92E7F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FF66CC"/>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0070C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1"/>
      </font>
      <fill>
        <patternFill>
          <bgColor rgb="FFFFFF00"/>
        </patternFill>
      </fill>
      <border>
        <left style="thin">
          <color theme="0" tint="-0.14996795556505021"/>
        </left>
        <right style="thin">
          <color theme="0" tint="-0.14996795556505021"/>
        </right>
        <top style="thin">
          <color theme="0" tint="-0.14996795556505021"/>
        </top>
        <bottom style="thin">
          <color theme="0" tint="-0.14996795556505021"/>
        </bottom>
      </border>
    </dxf>
    <dxf>
      <font>
        <color auto="1"/>
      </font>
      <fill>
        <patternFill>
          <bgColor theme="9" tint="0.59996337778862885"/>
        </patternFill>
      </fill>
      <border>
        <left style="thin">
          <color theme="2"/>
        </left>
        <right style="thin">
          <color theme="2"/>
        </right>
        <top style="thin">
          <color theme="2"/>
        </top>
        <bottom style="thin">
          <color theme="2"/>
        </bottom>
      </border>
    </dxf>
    <dxf>
      <fill>
        <patternFill>
          <bgColor rgb="FF00B050"/>
        </patternFill>
      </fill>
      <border>
        <left style="thin">
          <color theme="0" tint="-0.24994659260841701"/>
        </left>
        <right style="thin">
          <color theme="0" tint="-0.24994659260841701"/>
        </right>
        <top style="thin">
          <color theme="0" tint="-0.24994659260841701"/>
        </top>
        <bottom style="thin">
          <color theme="0" tint="-0.24994659260841701"/>
        </bottom>
      </border>
    </dxf>
    <dxf>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rgb="FFFFFF0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b/>
        <i val="0"/>
        <color rgb="FF00B050"/>
      </font>
    </dxf>
    <dxf>
      <font>
        <b/>
        <i val="0"/>
      </font>
      <fill>
        <patternFill>
          <bgColor theme="5" tint="0.7999816888943144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00B050"/>
        </patternFill>
      </fill>
      <border>
        <left style="thin">
          <color theme="0" tint="-0.14996795556505021"/>
        </left>
        <right style="thin">
          <color theme="0" tint="-0.14996795556505021"/>
        </right>
        <top style="thin">
          <color theme="0" tint="-0.14996795556505021"/>
        </top>
        <bottom style="thin">
          <color theme="0" tint="-0.14996795556505021"/>
        </bottom>
      </border>
    </dxf>
    <dxf>
      <fill>
        <patternFill>
          <bgColor theme="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u val="double"/>
        <color auto="1"/>
      </font>
      <fill>
        <patternFill patternType="darkTrellis">
          <fgColor theme="5" tint="0.39994506668294322"/>
        </patternFill>
      </fill>
      <border>
        <left style="thin">
          <color auto="1"/>
        </left>
        <right style="thin">
          <color auto="1"/>
        </right>
        <top style="thin">
          <color auto="1"/>
        </top>
        <bottom style="thin">
          <color auto="1"/>
        </bottom>
      </border>
    </dxf>
    <dxf>
      <font>
        <b/>
        <i val="0"/>
        <strike val="0"/>
        <u/>
      </font>
      <fill>
        <patternFill patternType="darkTrellis">
          <fgColor theme="9" tint="0.59996337778862885"/>
          <bgColor auto="1"/>
        </patternFill>
      </fill>
      <border>
        <left style="thin">
          <color auto="1"/>
        </left>
        <right style="thin">
          <color auto="1"/>
        </right>
        <top style="thin">
          <color auto="1"/>
        </top>
        <bottom style="thin">
          <color auto="1"/>
        </bottom>
      </border>
    </dxf>
    <dxf>
      <font>
        <b/>
        <i val="0"/>
        <u val="double"/>
        <color auto="1"/>
      </font>
      <fill>
        <patternFill patternType="darkTrellis">
          <fgColor theme="5" tint="0.39994506668294322"/>
        </patternFill>
      </fill>
      <border>
        <left style="thin">
          <color auto="1"/>
        </left>
        <right style="thin">
          <color auto="1"/>
        </right>
        <top style="thin">
          <color auto="1"/>
        </top>
        <bottom style="thin">
          <color auto="1"/>
        </bottom>
      </border>
    </dxf>
    <dxf>
      <font>
        <b/>
        <i val="0"/>
        <strike val="0"/>
        <u/>
      </font>
      <fill>
        <patternFill patternType="darkTrellis">
          <fgColor theme="9" tint="0.59996337778862885"/>
          <bgColor auto="1"/>
        </patternFill>
      </fill>
      <border>
        <left style="thin">
          <color auto="1"/>
        </left>
        <right style="thin">
          <color auto="1"/>
        </right>
        <top style="thin">
          <color auto="1"/>
        </top>
        <bottom style="thin">
          <color auto="1"/>
        </bottom>
      </border>
    </dxf>
    <dxf>
      <font>
        <b/>
        <i val="0"/>
        <strike val="0"/>
        <u val="none"/>
        <color theme="0"/>
      </font>
      <fill>
        <patternFill>
          <bgColor rgb="FFFF3399"/>
        </patternFill>
      </fill>
    </dxf>
    <dxf>
      <font>
        <b/>
        <i val="0"/>
        <strike val="0"/>
        <u val="none"/>
        <color theme="0"/>
      </font>
      <fill>
        <patternFill>
          <bgColor rgb="FFFF3399"/>
        </patternFill>
      </fill>
    </dxf>
    <dxf>
      <font>
        <b/>
        <i/>
        <strike val="0"/>
        <u val="none"/>
        <color auto="1"/>
      </font>
      <fill>
        <patternFill patternType="solid">
          <bgColor rgb="FF00FF00"/>
        </patternFill>
      </fill>
    </dxf>
    <dxf>
      <font>
        <b/>
        <i val="0"/>
        <strike val="0"/>
        <u val="none"/>
        <color rgb="FFFF0000"/>
      </font>
      <fill>
        <patternFill>
          <bgColor rgb="FF00B0F0"/>
        </patternFill>
      </fill>
    </dxf>
    <dxf>
      <font>
        <b/>
        <i val="0"/>
        <strike val="0"/>
        <u val="none"/>
        <color rgb="FF00B050"/>
      </font>
      <fill>
        <patternFill>
          <bgColor rgb="FFEAF1AB"/>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9966FF"/>
      </font>
      <fill>
        <patternFill>
          <bgColor rgb="FFB1DDEB"/>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00B0F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CC99FF"/>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7" tint="0.39991454817346722"/>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theme="9" tint="-0.2499465926084170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4" tint="0.3999450666829432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rgb="FF7E1389"/>
      </font>
      <fill>
        <patternFill>
          <bgColor rgb="FFFFAFB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rgb="FFEB2403"/>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1" tint="0.49998474074526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0"/>
      </font>
      <fill>
        <patternFill>
          <bgColor theme="5" tint="-0.2499465926084170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0"/>
      </font>
      <fill>
        <patternFill>
          <bgColor rgb="FFF632C7"/>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rgb="FF99FF33"/>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FF0000"/>
      </font>
      <fill>
        <patternFill patternType="solid">
          <bgColor theme="9" tint="0.59996337778862885"/>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7ED882"/>
        </patternFill>
      </fill>
      <border>
        <left style="thin">
          <color theme="0" tint="-0.14996795556505021"/>
        </left>
        <right style="thin">
          <color theme="0" tint="-0.14996795556505021"/>
        </right>
        <top style="thin">
          <color theme="0" tint="-0.14996795556505021"/>
        </top>
        <bottom style="thin">
          <color theme="0" tint="-0.14996795556505021"/>
        </bottom>
      </border>
    </dxf>
    <dxf>
      <font>
        <strike val="0"/>
        <color rgb="FF9C0006"/>
      </font>
      <fill>
        <patternFill>
          <bgColor theme="7" tint="0.39994506668294322"/>
        </patternFill>
      </fill>
    </dxf>
    <dxf>
      <font>
        <b/>
        <i val="0"/>
        <strike val="0"/>
        <u val="none"/>
        <color theme="0"/>
      </font>
      <fill>
        <patternFill patternType="solid">
          <bgColor theme="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FF99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patternType="solid">
          <bgColor rgb="FFFF99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rgb="FF92E7F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FF66CC"/>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0070C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1"/>
      </font>
      <fill>
        <patternFill>
          <bgColor rgb="FFFFFF00"/>
        </patternFill>
      </fill>
      <border>
        <left style="thin">
          <color theme="0" tint="-0.14996795556505021"/>
        </left>
        <right style="thin">
          <color theme="0" tint="-0.14996795556505021"/>
        </right>
        <top style="thin">
          <color theme="0" tint="-0.14996795556505021"/>
        </top>
        <bottom style="thin">
          <color theme="0" tint="-0.14996795556505021"/>
        </bottom>
      </border>
    </dxf>
    <dxf>
      <font>
        <color auto="1"/>
      </font>
      <fill>
        <patternFill>
          <bgColor theme="9" tint="0.59996337778862885"/>
        </patternFill>
      </fill>
      <border>
        <left style="thin">
          <color theme="2"/>
        </left>
        <right style="thin">
          <color theme="2"/>
        </right>
        <top style="thin">
          <color theme="2"/>
        </top>
        <bottom style="thin">
          <color theme="2"/>
        </bottom>
      </border>
    </dxf>
    <dxf>
      <fill>
        <patternFill>
          <bgColor rgb="FF00B050"/>
        </patternFill>
      </fill>
      <border>
        <left style="thin">
          <color theme="0" tint="-0.24994659260841701"/>
        </left>
        <right style="thin">
          <color theme="0" tint="-0.24994659260841701"/>
        </right>
        <top style="thin">
          <color theme="0" tint="-0.24994659260841701"/>
        </top>
        <bottom style="thin">
          <color theme="0" tint="-0.24994659260841701"/>
        </bottom>
      </border>
    </dxf>
    <dxf>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rgb="FFFFFF0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b/>
        <i val="0"/>
        <color rgb="FF00B050"/>
      </font>
    </dxf>
    <dxf>
      <font>
        <b/>
        <i val="0"/>
      </font>
      <fill>
        <patternFill>
          <bgColor theme="5" tint="0.7999816888943144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00B050"/>
        </patternFill>
      </fill>
    </dxf>
    <dxf>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b/>
        <i val="0"/>
        <strike val="0"/>
        <u val="none"/>
        <color theme="0"/>
      </font>
      <fill>
        <patternFill>
          <bgColor rgb="FFFF3399"/>
        </patternFill>
      </fill>
    </dxf>
    <dxf>
      <font>
        <b/>
        <i val="0"/>
        <strike val="0"/>
        <u val="none"/>
        <color theme="0"/>
      </font>
      <fill>
        <patternFill>
          <bgColor rgb="FFFF3399"/>
        </patternFill>
      </fill>
    </dxf>
    <dxf>
      <font>
        <b/>
        <i/>
        <strike val="0"/>
        <u val="none"/>
        <color auto="1"/>
      </font>
      <fill>
        <patternFill patternType="solid">
          <bgColor rgb="FF00FF00"/>
        </patternFill>
      </fill>
    </dxf>
    <dxf>
      <font>
        <b/>
        <i val="0"/>
        <strike val="0"/>
        <u val="none"/>
        <color rgb="FFFF0000"/>
      </font>
      <fill>
        <patternFill>
          <bgColor rgb="FF00B0F0"/>
        </patternFill>
      </fill>
    </dxf>
    <dxf>
      <font>
        <b/>
        <i val="0"/>
        <strike val="0"/>
        <u val="none"/>
        <color rgb="FF00B050"/>
      </font>
      <fill>
        <patternFill>
          <bgColor rgb="FFEAF1AB"/>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9966FF"/>
      </font>
      <fill>
        <patternFill>
          <bgColor rgb="FFB1DDEB"/>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00B0F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CC99FF"/>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7" tint="0.39991454817346722"/>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theme="9" tint="-0.2499465926084170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4" tint="0.3999450666829432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rgb="FF7E1389"/>
      </font>
      <fill>
        <patternFill>
          <bgColor rgb="FFFFAFB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rgb="FFEB2403"/>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1" tint="0.49998474074526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0"/>
      </font>
      <fill>
        <patternFill>
          <bgColor theme="5" tint="-0.2499465926084170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0"/>
      </font>
      <fill>
        <patternFill>
          <bgColor rgb="FFF632C7"/>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rgb="FF99FF33"/>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FF0000"/>
      </font>
      <fill>
        <patternFill patternType="solid">
          <bgColor theme="9" tint="0.59996337778862885"/>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7ED882"/>
        </patternFill>
      </fill>
      <border>
        <left style="thin">
          <color theme="0" tint="-0.14996795556505021"/>
        </left>
        <right style="thin">
          <color theme="0" tint="-0.14996795556505021"/>
        </right>
        <top style="thin">
          <color theme="0" tint="-0.14996795556505021"/>
        </top>
        <bottom style="thin">
          <color theme="0" tint="-0.14996795556505021"/>
        </bottom>
      </border>
    </dxf>
    <dxf>
      <font>
        <strike val="0"/>
        <color rgb="FF9C0006"/>
      </font>
      <fill>
        <patternFill>
          <bgColor theme="7" tint="0.39994506668294322"/>
        </patternFill>
      </fill>
    </dxf>
    <dxf>
      <font>
        <b/>
        <i val="0"/>
        <strike val="0"/>
        <u val="none"/>
        <color theme="0"/>
      </font>
      <fill>
        <patternFill patternType="solid">
          <bgColor theme="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FF99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patternType="solid">
          <bgColor rgb="FFFF99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rgb="FF92E7F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FF66CC"/>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0070C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1"/>
      </font>
      <fill>
        <patternFill>
          <bgColor rgb="FFFFFF00"/>
        </patternFill>
      </fill>
      <border>
        <left style="thin">
          <color theme="0" tint="-0.14996795556505021"/>
        </left>
        <right style="thin">
          <color theme="0" tint="-0.14996795556505021"/>
        </right>
        <top style="thin">
          <color theme="0" tint="-0.14996795556505021"/>
        </top>
        <bottom style="thin">
          <color theme="0" tint="-0.14996795556505021"/>
        </bottom>
      </border>
    </dxf>
    <dxf>
      <font>
        <color auto="1"/>
      </font>
      <fill>
        <patternFill>
          <bgColor theme="9" tint="0.59996337778862885"/>
        </patternFill>
      </fill>
      <border>
        <left style="thin">
          <color theme="2"/>
        </left>
        <right style="thin">
          <color theme="2"/>
        </right>
        <top style="thin">
          <color theme="2"/>
        </top>
        <bottom style="thin">
          <color theme="2"/>
        </bottom>
      </border>
    </dxf>
    <dxf>
      <fill>
        <patternFill>
          <bgColor rgb="FF00B050"/>
        </patternFill>
      </fill>
      <border>
        <left style="thin">
          <color theme="0" tint="-0.24994659260841701"/>
        </left>
        <right style="thin">
          <color theme="0" tint="-0.24994659260841701"/>
        </right>
        <top style="thin">
          <color theme="0" tint="-0.24994659260841701"/>
        </top>
        <bottom style="thin">
          <color theme="0" tint="-0.24994659260841701"/>
        </bottom>
      </border>
    </dxf>
    <dxf>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rgb="FFFFFF0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b/>
        <i val="0"/>
        <color rgb="FF00B050"/>
      </font>
    </dxf>
    <dxf>
      <font>
        <b/>
        <i val="0"/>
      </font>
      <fill>
        <patternFill>
          <bgColor theme="5" tint="0.7999816888943144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00B050"/>
        </patternFill>
      </fill>
    </dxf>
    <dxf>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auto="1"/>
      </font>
      <fill>
        <patternFill>
          <bgColor theme="9" tint="0.59996337778862885"/>
        </patternFill>
      </fill>
      <border>
        <left style="thin">
          <color theme="2"/>
        </left>
        <right style="thin">
          <color theme="2"/>
        </right>
        <top style="thin">
          <color theme="2"/>
        </top>
        <bottom style="thin">
          <color theme="2"/>
        </bottom>
      </border>
    </dxf>
    <dxf>
      <fill>
        <patternFill>
          <bgColor rgb="FF00B050"/>
        </patternFill>
      </fill>
      <border>
        <left style="thin">
          <color theme="0" tint="-0.24994659260841701"/>
        </left>
        <right style="thin">
          <color theme="0" tint="-0.24994659260841701"/>
        </right>
        <top style="thin">
          <color theme="0" tint="-0.24994659260841701"/>
        </top>
        <bottom style="thin">
          <color theme="0" tint="-0.24994659260841701"/>
        </bottom>
      </border>
    </dxf>
    <dxf>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b/>
        <i val="0"/>
        <strike val="0"/>
        <u val="none"/>
        <color theme="5" tint="-0.24994659260841701"/>
      </font>
      <fill>
        <patternFill patternType="solid">
          <bgColor rgb="FFFFFF00"/>
        </patternFill>
      </fill>
    </dxf>
    <dxf>
      <font>
        <b/>
        <i val="0"/>
        <strike val="0"/>
        <u val="none"/>
        <color rgb="FFFF0000"/>
      </font>
      <fill>
        <patternFill patternType="solid">
          <bgColor rgb="FFFFFF00"/>
        </patternFill>
      </fill>
    </dxf>
    <dxf>
      <font>
        <b/>
        <i val="0"/>
        <strike val="0"/>
        <u val="none"/>
        <color rgb="FF00B0F0"/>
      </font>
      <fill>
        <patternFill patternType="solid">
          <bgColor rgb="FFFFFF00"/>
        </patternFill>
      </fill>
    </dxf>
    <dxf>
      <font>
        <b/>
        <i val="0"/>
        <strike val="0"/>
        <u val="none"/>
        <color theme="0"/>
      </font>
      <fill>
        <patternFill>
          <bgColor rgb="FFFF3399"/>
        </patternFill>
      </fill>
    </dxf>
    <dxf>
      <font>
        <b/>
        <i val="0"/>
        <strike val="0"/>
        <u val="none"/>
        <color theme="0"/>
      </font>
      <fill>
        <patternFill>
          <bgColor rgb="FFFF3399"/>
        </patternFill>
      </fill>
    </dxf>
    <dxf>
      <font>
        <b/>
        <i/>
        <strike val="0"/>
        <u val="none"/>
        <color theme="5" tint="-0.24994659260841701"/>
      </font>
      <fill>
        <patternFill>
          <bgColor rgb="FFFFFF00"/>
        </patternFill>
      </fill>
    </dxf>
    <dxf>
      <font>
        <b/>
        <i/>
        <strike val="0"/>
        <u val="none"/>
        <color rgb="FFFF0000"/>
      </font>
      <fill>
        <patternFill>
          <bgColor rgb="FFFFFF00"/>
        </patternFill>
      </fill>
    </dxf>
    <dxf>
      <font>
        <b/>
        <i val="0"/>
        <strike val="0"/>
        <u val="none"/>
        <color auto="1"/>
      </font>
      <fill>
        <patternFill patternType="solid">
          <bgColor theme="9" tint="0.59996337778862885"/>
        </patternFill>
      </fill>
    </dxf>
    <dxf>
      <font>
        <b/>
        <i/>
        <strike val="0"/>
        <u val="none"/>
        <color auto="1"/>
      </font>
      <fill>
        <patternFill patternType="solid">
          <bgColor rgb="FF00FF00"/>
        </patternFill>
      </fill>
    </dxf>
    <dxf>
      <font>
        <b/>
        <i/>
        <strike val="0"/>
        <u val="none"/>
        <color auto="1"/>
      </font>
      <fill>
        <patternFill patternType="solid">
          <bgColor rgb="FF00FF00"/>
        </patternFill>
      </fill>
    </dxf>
    <dxf>
      <font>
        <b/>
        <i val="0"/>
        <strike val="0"/>
        <u val="none"/>
        <color rgb="FFFF0000"/>
      </font>
      <fill>
        <patternFill>
          <bgColor rgb="FF00B0F0"/>
        </patternFill>
      </fill>
    </dxf>
    <dxf>
      <font>
        <b/>
        <i val="0"/>
        <strike val="0"/>
        <u val="none"/>
        <color rgb="FFFF0000"/>
      </font>
      <fill>
        <patternFill>
          <bgColor rgb="FF00B0F0"/>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rgb="FFFFC000"/>
      </font>
      <fill>
        <patternFill patternType="solid">
          <bgColor theme="7" tint="0.79998168889431442"/>
        </patternFill>
      </fill>
    </dxf>
    <dxf>
      <font>
        <b/>
        <i/>
        <strike val="0"/>
        <u val="none"/>
        <color rgb="FFFFC000"/>
      </font>
      <fill>
        <patternFill patternType="solid">
          <bgColor theme="7" tint="0.79998168889431442"/>
        </patternFill>
      </fill>
    </dxf>
    <dxf>
      <font>
        <b/>
        <i val="0"/>
        <strike val="0"/>
        <u val="none"/>
        <color rgb="FF00B050"/>
      </font>
      <fill>
        <patternFill>
          <bgColor rgb="FFEAF1AB"/>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9966FF"/>
      </font>
      <fill>
        <patternFill>
          <bgColor rgb="FFB1DDEB"/>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00B0F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CC99FF"/>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7" tint="0.39991454817346722"/>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theme="9" tint="-0.2499465926084170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4" tint="0.3999450666829432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rgb="FF7E1389"/>
      </font>
      <fill>
        <patternFill>
          <bgColor rgb="FFFFAFB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rgb="FFEB2403"/>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1" tint="0.49998474074526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0"/>
      </font>
      <fill>
        <patternFill>
          <bgColor theme="5" tint="-0.2499465926084170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0"/>
      </font>
      <fill>
        <patternFill>
          <bgColor rgb="FFF632C7"/>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rgb="FF99FF33"/>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FF0000"/>
      </font>
      <fill>
        <patternFill patternType="solid">
          <bgColor theme="9" tint="0.59996337778862885"/>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7ED882"/>
        </patternFill>
      </fill>
      <border>
        <left style="thin">
          <color theme="0" tint="-0.14996795556505021"/>
        </left>
        <right style="thin">
          <color theme="0" tint="-0.14996795556505021"/>
        </right>
        <top style="thin">
          <color theme="0" tint="-0.14996795556505021"/>
        </top>
        <bottom style="thin">
          <color theme="0" tint="-0.14996795556505021"/>
        </bottom>
      </border>
    </dxf>
    <dxf>
      <font>
        <strike val="0"/>
        <color rgb="FF9C0006"/>
      </font>
      <fill>
        <patternFill>
          <bgColor theme="7" tint="0.39994506668294322"/>
        </patternFill>
      </fill>
    </dxf>
    <dxf>
      <font>
        <b/>
        <i val="0"/>
        <strike val="0"/>
        <u val="none"/>
        <color theme="0"/>
      </font>
      <fill>
        <patternFill patternType="solid">
          <bgColor theme="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FF99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patternType="solid">
          <bgColor rgb="FFFF99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rgb="FF92E7F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FF66CC"/>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0070C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1"/>
      </font>
      <fill>
        <patternFill>
          <bgColor rgb="FFFFFF00"/>
        </patternFill>
      </fill>
      <border>
        <left style="thin">
          <color theme="0" tint="-0.14996795556505021"/>
        </left>
        <right style="thin">
          <color theme="0" tint="-0.14996795556505021"/>
        </right>
        <top style="thin">
          <color theme="0" tint="-0.14996795556505021"/>
        </top>
        <bottom style="thin">
          <color theme="0" tint="-0.14996795556505021"/>
        </bottom>
      </border>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color auto="1"/>
      </font>
      <fill>
        <patternFill>
          <bgColor theme="9"/>
        </patternFill>
      </fill>
      <border>
        <left style="thin">
          <color theme="0" tint="-0.14996795556505021"/>
        </left>
        <right style="thin">
          <color theme="0" tint="-0.14996795556505021"/>
        </right>
        <top style="thin">
          <color theme="0" tint="-0.14996795556505021"/>
        </top>
        <bottom style="thin">
          <color theme="0" tint="-0.14996795556505021"/>
        </bottom>
      </border>
    </dxf>
    <dxf>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border>
    </dxf>
    <dxf>
      <font>
        <color auto="1"/>
      </font>
      <fill>
        <patternFill>
          <bgColor theme="9" tint="0.59996337778862885"/>
        </patternFill>
      </fill>
      <border>
        <left style="thin">
          <color theme="2"/>
        </left>
        <right style="thin">
          <color theme="2"/>
        </right>
        <top style="thin">
          <color theme="2"/>
        </top>
        <bottom style="thin">
          <color theme="2"/>
        </bottom>
      </border>
    </dxf>
    <dxf>
      <fill>
        <patternFill>
          <bgColor rgb="FF00B050"/>
        </patternFill>
      </fill>
      <border>
        <left style="thin">
          <color theme="0" tint="-0.24994659260841701"/>
        </left>
        <right style="thin">
          <color theme="0" tint="-0.24994659260841701"/>
        </right>
        <top style="thin">
          <color theme="0" tint="-0.24994659260841701"/>
        </top>
        <bottom style="thin">
          <color theme="0" tint="-0.24994659260841701"/>
        </bottom>
      </border>
    </dxf>
    <dxf>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b/>
        <i val="0"/>
        <strike val="0"/>
        <u val="none"/>
        <color theme="5" tint="-0.24994659260841701"/>
      </font>
      <fill>
        <patternFill patternType="solid">
          <bgColor rgb="FFFFFF00"/>
        </patternFill>
      </fill>
    </dxf>
    <dxf>
      <font>
        <b/>
        <i val="0"/>
        <strike val="0"/>
        <u val="none"/>
        <color rgb="FFFF0000"/>
      </font>
      <fill>
        <patternFill patternType="solid">
          <bgColor rgb="FFFFFF00"/>
        </patternFill>
      </fill>
    </dxf>
    <dxf>
      <font>
        <b/>
        <i val="0"/>
        <strike val="0"/>
        <u val="none"/>
        <color rgb="FF00B0F0"/>
      </font>
      <fill>
        <patternFill patternType="solid">
          <bgColor rgb="FFFFFF00"/>
        </patternFill>
      </fill>
    </dxf>
    <dxf>
      <font>
        <b/>
        <i val="0"/>
        <strike val="0"/>
        <u val="none"/>
        <color theme="0"/>
      </font>
      <fill>
        <patternFill>
          <bgColor rgb="FFFF3399"/>
        </patternFill>
      </fill>
    </dxf>
    <dxf>
      <font>
        <b/>
        <i val="0"/>
        <strike val="0"/>
        <u val="none"/>
        <color theme="0"/>
      </font>
      <fill>
        <patternFill>
          <bgColor rgb="FFFF3399"/>
        </patternFill>
      </fill>
    </dxf>
    <dxf>
      <font>
        <b/>
        <i/>
        <strike val="0"/>
        <u val="none"/>
        <color theme="5" tint="-0.24994659260841701"/>
      </font>
      <fill>
        <patternFill>
          <bgColor rgb="FFFFFF00"/>
        </patternFill>
      </fill>
    </dxf>
    <dxf>
      <font>
        <b/>
        <i/>
        <strike val="0"/>
        <u val="none"/>
        <color rgb="FFFF0000"/>
      </font>
      <fill>
        <patternFill>
          <bgColor rgb="FFFFFF00"/>
        </patternFill>
      </fill>
    </dxf>
    <dxf>
      <font>
        <b/>
        <i val="0"/>
        <strike val="0"/>
        <u val="none"/>
        <color auto="1"/>
      </font>
      <fill>
        <patternFill patternType="solid">
          <bgColor theme="9" tint="0.59996337778862885"/>
        </patternFill>
      </fill>
    </dxf>
    <dxf>
      <font>
        <b/>
        <i/>
        <strike val="0"/>
        <u val="none"/>
        <color auto="1"/>
      </font>
      <fill>
        <patternFill patternType="solid">
          <bgColor rgb="FF00FF00"/>
        </patternFill>
      </fill>
    </dxf>
    <dxf>
      <font>
        <b/>
        <i/>
        <strike val="0"/>
        <u val="none"/>
        <color auto="1"/>
      </font>
      <fill>
        <patternFill patternType="solid">
          <bgColor rgb="FF00FF00"/>
        </patternFill>
      </fill>
    </dxf>
    <dxf>
      <font>
        <b/>
        <i val="0"/>
        <strike val="0"/>
        <u val="none"/>
        <color rgb="FFFF0000"/>
      </font>
      <fill>
        <patternFill>
          <bgColor rgb="FF00B0F0"/>
        </patternFill>
      </fill>
    </dxf>
    <dxf>
      <font>
        <b/>
        <i val="0"/>
        <strike val="0"/>
        <u val="none"/>
        <color rgb="FFFF0000"/>
      </font>
      <fill>
        <patternFill>
          <bgColor rgb="FF00B0F0"/>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rgb="FFFFC000"/>
      </font>
      <fill>
        <patternFill patternType="solid">
          <bgColor theme="7" tint="0.79998168889431442"/>
        </patternFill>
      </fill>
    </dxf>
    <dxf>
      <font>
        <b/>
        <i/>
        <strike val="0"/>
        <u val="none"/>
        <color rgb="FFFFC000"/>
      </font>
      <fill>
        <patternFill patternType="solid">
          <bgColor theme="7" tint="0.79998168889431442"/>
        </patternFill>
      </fill>
    </dxf>
    <dxf>
      <font>
        <b/>
        <i val="0"/>
        <strike val="0"/>
        <u val="none"/>
        <color rgb="FF00B050"/>
      </font>
      <fill>
        <patternFill>
          <bgColor rgb="FFEAF1AB"/>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9966FF"/>
      </font>
      <fill>
        <patternFill>
          <bgColor rgb="FFB1DDEB"/>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00B0F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CC99FF"/>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7" tint="0.39991454817346722"/>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theme="9" tint="-0.2499465926084170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4" tint="0.3999450666829432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rgb="FF7E1389"/>
      </font>
      <fill>
        <patternFill>
          <bgColor rgb="FFFFAFB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rgb="FFEB2403"/>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1" tint="0.49998474074526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0"/>
      </font>
      <fill>
        <patternFill>
          <bgColor theme="5" tint="-0.2499465926084170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0"/>
      </font>
      <fill>
        <patternFill>
          <bgColor rgb="FFF632C7"/>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rgb="FF99FF33"/>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FF0000"/>
      </font>
      <fill>
        <patternFill patternType="solid">
          <bgColor theme="9" tint="0.59996337778862885"/>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7ED882"/>
        </patternFill>
      </fill>
      <border>
        <left style="thin">
          <color theme="0" tint="-0.14996795556505021"/>
        </left>
        <right style="thin">
          <color theme="0" tint="-0.14996795556505021"/>
        </right>
        <top style="thin">
          <color theme="0" tint="-0.14996795556505021"/>
        </top>
        <bottom style="thin">
          <color theme="0" tint="-0.14996795556505021"/>
        </bottom>
      </border>
    </dxf>
    <dxf>
      <font>
        <strike val="0"/>
        <color rgb="FF9C0006"/>
      </font>
      <fill>
        <patternFill>
          <bgColor theme="7" tint="0.39994506668294322"/>
        </patternFill>
      </fill>
    </dxf>
    <dxf>
      <font>
        <b/>
        <i val="0"/>
        <strike val="0"/>
        <u val="none"/>
        <color theme="0"/>
      </font>
      <fill>
        <patternFill patternType="solid">
          <bgColor theme="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FF99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patternType="solid">
          <bgColor rgb="FFFF99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rgb="FF92E7F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FF66CC"/>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0070C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1"/>
      </font>
      <fill>
        <patternFill>
          <bgColor rgb="FFFFFF00"/>
        </patternFill>
      </fill>
      <border>
        <left style="thin">
          <color theme="0" tint="-0.14996795556505021"/>
        </left>
        <right style="thin">
          <color theme="0" tint="-0.14996795556505021"/>
        </right>
        <top style="thin">
          <color theme="0" tint="-0.14996795556505021"/>
        </top>
        <bottom style="thin">
          <color theme="0" tint="-0.14996795556505021"/>
        </bottom>
      </border>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color auto="1"/>
      </font>
      <fill>
        <patternFill>
          <bgColor theme="9"/>
        </patternFill>
      </fill>
      <border>
        <left style="thin">
          <color theme="0" tint="-0.14996795556505021"/>
        </left>
        <right style="thin">
          <color theme="0" tint="-0.14996795556505021"/>
        </right>
        <top style="thin">
          <color theme="0" tint="-0.14996795556505021"/>
        </top>
        <bottom style="thin">
          <color theme="0" tint="-0.14996795556505021"/>
        </bottom>
      </border>
    </dxf>
    <dxf>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5" tint="-0.24994659260841701"/>
      </font>
      <fill>
        <patternFill patternType="solid">
          <bgColor rgb="FFFFFF00"/>
        </patternFill>
      </fill>
    </dxf>
    <dxf>
      <font>
        <b/>
        <i val="0"/>
        <strike val="0"/>
        <u val="none"/>
        <color rgb="FFFF0000"/>
      </font>
      <fill>
        <patternFill patternType="solid">
          <bgColor rgb="FFFFFF00"/>
        </patternFill>
      </fill>
    </dxf>
    <dxf>
      <font>
        <b/>
        <i val="0"/>
        <strike val="0"/>
        <u val="none"/>
        <color rgb="FF00B0F0"/>
      </font>
      <fill>
        <patternFill patternType="solid">
          <bgColor rgb="FFFFFF00"/>
        </patternFill>
      </fill>
    </dxf>
    <dxf>
      <font>
        <b/>
        <i val="0"/>
        <strike val="0"/>
        <u val="none"/>
        <color theme="0"/>
      </font>
      <fill>
        <patternFill>
          <bgColor rgb="FFFF3399"/>
        </patternFill>
      </fill>
    </dxf>
    <dxf>
      <font>
        <b/>
        <i val="0"/>
        <strike val="0"/>
        <u val="none"/>
        <color theme="0"/>
      </font>
      <fill>
        <patternFill>
          <bgColor rgb="FFFF3399"/>
        </patternFill>
      </fill>
    </dxf>
    <dxf>
      <font>
        <b/>
        <i/>
        <strike val="0"/>
        <u val="none"/>
        <color theme="5" tint="-0.24994659260841701"/>
      </font>
      <fill>
        <patternFill>
          <bgColor rgb="FFFFFF00"/>
        </patternFill>
      </fill>
    </dxf>
    <dxf>
      <font>
        <b/>
        <i/>
        <strike val="0"/>
        <u val="none"/>
        <color rgb="FFFF0000"/>
      </font>
      <fill>
        <patternFill>
          <bgColor rgb="FFFFFF00"/>
        </patternFill>
      </fill>
    </dxf>
    <dxf>
      <font>
        <b/>
        <i val="0"/>
        <strike val="0"/>
        <u val="none"/>
        <color auto="1"/>
      </font>
      <fill>
        <patternFill patternType="solid">
          <bgColor theme="9" tint="0.59996337778862885"/>
        </patternFill>
      </fill>
    </dxf>
    <dxf>
      <font>
        <b/>
        <i/>
        <strike val="0"/>
        <u val="none"/>
        <color auto="1"/>
      </font>
      <fill>
        <patternFill patternType="solid">
          <bgColor rgb="FF00FF00"/>
        </patternFill>
      </fill>
    </dxf>
    <dxf>
      <font>
        <b/>
        <i val="0"/>
        <strike val="0"/>
        <u val="none"/>
        <color rgb="FFFF0000"/>
      </font>
      <fill>
        <patternFill>
          <bgColor rgb="FF00B0F0"/>
        </patternFill>
      </fill>
    </dxf>
    <dxf>
      <font>
        <b/>
        <i val="0"/>
        <strike val="0"/>
        <u val="none"/>
        <color rgb="FFFF0000"/>
      </font>
      <fill>
        <patternFill>
          <bgColor rgb="FF00B0F0"/>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rgb="FFFFC000"/>
      </font>
      <fill>
        <patternFill patternType="solid">
          <bgColor theme="7" tint="0.79998168889431442"/>
        </patternFill>
      </fill>
    </dxf>
    <dxf>
      <font>
        <b/>
        <i/>
        <strike val="0"/>
        <u val="none"/>
        <color rgb="FFFFC000"/>
      </font>
      <fill>
        <patternFill patternType="solid">
          <bgColor theme="7" tint="0.79998168889431442"/>
        </patternFill>
      </fill>
    </dxf>
    <dxf>
      <font>
        <b val="0"/>
        <i/>
        <strike val="0"/>
        <u val="none"/>
        <color rgb="FFFF0000"/>
      </font>
      <fill>
        <patternFill>
          <bgColor theme="8" tint="0.59996337778862885"/>
        </patternFill>
      </fill>
    </dxf>
    <dxf>
      <font>
        <b val="0"/>
        <i/>
        <strike val="0"/>
        <u val="none"/>
        <color rgb="FFFF0000"/>
      </font>
      <fill>
        <patternFill>
          <bgColor theme="8" tint="0.59996337778862885"/>
        </patternFill>
      </fill>
    </dxf>
    <dxf>
      <font>
        <b/>
        <i val="0"/>
        <strike val="0"/>
        <u val="none"/>
        <color theme="0"/>
      </font>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00B0F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CC99FF"/>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7" tint="0.39991454817346722"/>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theme="9" tint="-0.2499465926084170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4" tint="0.3999450666829432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rgb="FF7E1389"/>
      </font>
      <fill>
        <patternFill>
          <bgColor rgb="FFFFAFB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rgb="FFEB2403"/>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1" tint="0.49998474074526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0"/>
      </font>
      <fill>
        <patternFill>
          <bgColor theme="5" tint="-0.2499465926084170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0"/>
      </font>
      <fill>
        <patternFill>
          <bgColor rgb="FFF632C7"/>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rgb="FF99FF33"/>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FF0000"/>
      </font>
      <fill>
        <patternFill patternType="none">
          <bgColor auto="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7ED882"/>
        </patternFill>
      </fill>
      <border>
        <left style="thin">
          <color theme="0" tint="-0.14996795556505021"/>
        </left>
        <right style="thin">
          <color theme="0" tint="-0.14996795556505021"/>
        </right>
        <top style="thin">
          <color theme="0" tint="-0.14996795556505021"/>
        </top>
        <bottom style="thin">
          <color theme="0" tint="-0.14996795556505021"/>
        </bottom>
      </border>
    </dxf>
    <dxf>
      <font>
        <strike val="0"/>
        <color rgb="FF9C0006"/>
      </font>
      <fill>
        <patternFill>
          <bgColor theme="7" tint="0.39994506668294322"/>
        </patternFill>
      </fill>
    </dxf>
    <dxf>
      <font>
        <b/>
        <i val="0"/>
        <strike val="0"/>
        <u val="none"/>
        <color theme="0"/>
      </font>
      <fill>
        <patternFill patternType="solid">
          <bgColor theme="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FF99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patternType="solid">
          <bgColor rgb="FFFF99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rgb="FF92E7F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FF66CC"/>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0070C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1"/>
      </font>
      <fill>
        <patternFill>
          <bgColor rgb="FFFFFF00"/>
        </patternFill>
      </fill>
      <border>
        <left style="thin">
          <color theme="0" tint="-0.14996795556505021"/>
        </left>
        <right style="thin">
          <color theme="0" tint="-0.14996795556505021"/>
        </right>
        <top style="thin">
          <color theme="0" tint="-0.14996795556505021"/>
        </top>
        <bottom style="thin">
          <color theme="0" tint="-0.14996795556505021"/>
        </bottom>
      </border>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auto="1"/>
      </font>
      <fill>
        <patternFill patternType="solid">
          <bgColor rgb="FF00FF00"/>
        </patternFill>
      </fill>
    </dxf>
    <dxf>
      <fill>
        <patternFill>
          <bgColor theme="9"/>
        </patternFill>
      </fill>
    </dxf>
    <dxf>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border>
    </dxf>
    <dxf>
      <font>
        <b/>
        <i/>
        <strike val="0"/>
        <u val="none"/>
        <color theme="0" tint="-0.499984740745262"/>
      </font>
      <fill>
        <patternFill patternType="solid">
          <bgColor theme="7" tint="0.79998168889431442"/>
        </patternFill>
      </fill>
    </dxf>
    <dxf>
      <font>
        <b/>
        <i val="0"/>
        <strike val="0"/>
        <u val="none"/>
        <color theme="5" tint="-0.24994659260841701"/>
      </font>
      <fill>
        <patternFill patternType="solid">
          <bgColor rgb="FFFFFF00"/>
        </patternFill>
      </fill>
    </dxf>
    <dxf>
      <font>
        <b/>
        <i val="0"/>
        <strike val="0"/>
        <u val="none"/>
        <color rgb="FFFF0000"/>
      </font>
      <fill>
        <patternFill patternType="solid">
          <bgColor rgb="FFFFFF00"/>
        </patternFill>
      </fill>
    </dxf>
    <dxf>
      <font>
        <b/>
        <i val="0"/>
        <strike val="0"/>
        <u val="none"/>
        <color rgb="FF00B0F0"/>
      </font>
      <fill>
        <patternFill patternType="solid">
          <bgColor rgb="FFFFFF00"/>
        </patternFill>
      </fill>
    </dxf>
    <dxf>
      <font>
        <b/>
        <i val="0"/>
        <strike val="0"/>
        <u val="none"/>
        <color theme="0"/>
      </font>
      <fill>
        <patternFill>
          <bgColor rgb="FFFF3399"/>
        </patternFill>
      </fill>
    </dxf>
    <dxf>
      <font>
        <b/>
        <i val="0"/>
        <strike val="0"/>
        <u val="none"/>
        <color theme="0"/>
      </font>
      <fill>
        <patternFill>
          <bgColor rgb="FFFF3399"/>
        </patternFill>
      </fill>
    </dxf>
    <dxf>
      <font>
        <b/>
        <i/>
        <strike val="0"/>
        <u val="none"/>
        <color theme="5" tint="-0.24994659260841701"/>
      </font>
      <fill>
        <patternFill>
          <bgColor rgb="FFFFFF00"/>
        </patternFill>
      </fill>
    </dxf>
    <dxf>
      <font>
        <b/>
        <i/>
        <strike val="0"/>
        <u val="none"/>
        <color rgb="FFFF0000"/>
      </font>
      <fill>
        <patternFill>
          <bgColor rgb="FFFFFF00"/>
        </patternFill>
      </fill>
    </dxf>
    <dxf>
      <font>
        <b/>
        <i val="0"/>
        <strike val="0"/>
        <u val="none"/>
        <color auto="1"/>
      </font>
      <fill>
        <patternFill patternType="solid">
          <bgColor theme="9" tint="0.59996337778862885"/>
        </patternFill>
      </fill>
    </dxf>
    <dxf>
      <font>
        <b/>
        <i/>
        <strike val="0"/>
        <u val="none"/>
        <color auto="1"/>
      </font>
      <fill>
        <patternFill patternType="solid">
          <bgColor rgb="FF00FF00"/>
        </patternFill>
      </fill>
    </dxf>
    <dxf>
      <font>
        <b/>
        <i/>
        <strike val="0"/>
        <u val="none"/>
        <color auto="1"/>
      </font>
      <fill>
        <patternFill patternType="solid">
          <bgColor rgb="FF00FF00"/>
        </patternFill>
      </fill>
    </dxf>
    <dxf>
      <font>
        <b/>
        <i val="0"/>
        <strike val="0"/>
        <u val="none"/>
        <color rgb="FFFF0000"/>
      </font>
      <fill>
        <patternFill>
          <bgColor rgb="FF00B0F0"/>
        </patternFill>
      </fill>
    </dxf>
    <dxf>
      <font>
        <b/>
        <i val="0"/>
        <strike val="0"/>
        <u val="none"/>
        <color rgb="FFFF0000"/>
      </font>
      <fill>
        <patternFill>
          <bgColor rgb="FF00B0F0"/>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rgb="FFFFC000"/>
      </font>
      <fill>
        <patternFill patternType="solid">
          <bgColor theme="7" tint="0.79998168889431442"/>
        </patternFill>
      </fill>
    </dxf>
    <dxf>
      <font>
        <b/>
        <i/>
        <strike val="0"/>
        <u val="none"/>
        <color rgb="FFFFC000"/>
      </font>
      <fill>
        <patternFill patternType="solid">
          <bgColor theme="7" tint="0.79998168889431442"/>
        </patternFill>
      </fill>
    </dxf>
    <dxf>
      <font>
        <b val="0"/>
        <i/>
        <strike val="0"/>
        <u val="none"/>
        <color rgb="FFFF0000"/>
      </font>
      <fill>
        <patternFill>
          <bgColor theme="8" tint="0.59996337778862885"/>
        </patternFill>
      </fill>
    </dxf>
    <dxf>
      <font>
        <b val="0"/>
        <i/>
        <strike val="0"/>
        <u val="none"/>
        <color rgb="FFFF0000"/>
      </font>
      <fill>
        <patternFill>
          <bgColor theme="8" tint="0.59996337778862885"/>
        </patternFill>
      </fill>
    </dxf>
    <dxf>
      <font>
        <b/>
        <i val="0"/>
        <strike val="0"/>
        <u val="none"/>
        <color theme="0"/>
      </font>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00B0F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CC99FF"/>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7" tint="0.39991454817346722"/>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theme="9" tint="-0.2499465926084170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4" tint="0.3999450666829432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rgb="FF7E1389"/>
      </font>
      <fill>
        <patternFill>
          <bgColor rgb="FFFFAFB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rgb="FFEB2403"/>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1" tint="0.49998474074526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0"/>
      </font>
      <fill>
        <patternFill>
          <bgColor theme="5" tint="-0.2499465926084170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0"/>
      </font>
      <fill>
        <patternFill>
          <bgColor rgb="FFF632C7"/>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rgb="FF99FF33"/>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FF0000"/>
      </font>
      <fill>
        <patternFill patternType="none">
          <bgColor auto="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7ED882"/>
        </patternFill>
      </fill>
      <border>
        <left style="thin">
          <color theme="0" tint="-0.14996795556505021"/>
        </left>
        <right style="thin">
          <color theme="0" tint="-0.14996795556505021"/>
        </right>
        <top style="thin">
          <color theme="0" tint="-0.14996795556505021"/>
        </top>
        <bottom style="thin">
          <color theme="0" tint="-0.14996795556505021"/>
        </bottom>
      </border>
    </dxf>
    <dxf>
      <font>
        <strike val="0"/>
        <color rgb="FF9C0006"/>
      </font>
      <fill>
        <patternFill>
          <bgColor theme="7" tint="0.39994506668294322"/>
        </patternFill>
      </fill>
    </dxf>
    <dxf>
      <font>
        <b/>
        <i val="0"/>
        <strike val="0"/>
        <u val="none"/>
        <color theme="0"/>
      </font>
      <fill>
        <patternFill patternType="solid">
          <bgColor theme="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FF99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patternType="solid">
          <bgColor rgb="FFFF99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rgb="FF92E7F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FF66CC"/>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0070C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1"/>
      </font>
      <fill>
        <patternFill>
          <bgColor rgb="FFFFFF00"/>
        </patternFill>
      </fill>
      <border>
        <left style="thin">
          <color theme="0" tint="-0.14996795556505021"/>
        </left>
        <right style="thin">
          <color theme="0" tint="-0.14996795556505021"/>
        </right>
        <top style="thin">
          <color theme="0" tint="-0.14996795556505021"/>
        </top>
        <bottom style="thin">
          <color theme="0" tint="-0.14996795556505021"/>
        </bottom>
      </border>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color auto="1"/>
      </font>
      <fill>
        <patternFill>
          <bgColor theme="9" tint="0.59996337778862885"/>
        </patternFill>
      </fill>
      <border>
        <left style="thin">
          <color theme="2"/>
        </left>
        <right style="thin">
          <color theme="2"/>
        </right>
        <top style="thin">
          <color theme="2"/>
        </top>
        <bottom style="thin">
          <color theme="2"/>
        </bottom>
      </border>
    </dxf>
    <dxf>
      <fill>
        <patternFill>
          <bgColor rgb="FF00B050"/>
        </patternFill>
      </fill>
      <border>
        <left style="thin">
          <color theme="0" tint="-0.24994659260841701"/>
        </left>
        <right style="thin">
          <color theme="0" tint="-0.24994659260841701"/>
        </right>
        <top style="thin">
          <color theme="0" tint="-0.24994659260841701"/>
        </top>
        <bottom style="thin">
          <color theme="0" tint="-0.24994659260841701"/>
        </bottom>
      </border>
    </dxf>
    <dxf>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b/>
        <i val="0"/>
        <strike val="0"/>
        <u val="none"/>
        <color theme="5" tint="-0.24994659260841701"/>
      </font>
      <fill>
        <patternFill patternType="solid">
          <bgColor rgb="FFFFFF00"/>
        </patternFill>
      </fill>
    </dxf>
    <dxf>
      <font>
        <b/>
        <i val="0"/>
        <strike val="0"/>
        <u val="none"/>
        <color rgb="FFFF0000"/>
      </font>
      <fill>
        <patternFill patternType="solid">
          <bgColor rgb="FFFFFF00"/>
        </patternFill>
      </fill>
    </dxf>
    <dxf>
      <font>
        <b/>
        <i val="0"/>
        <strike val="0"/>
        <u val="none"/>
        <color rgb="FF00B0F0"/>
      </font>
      <fill>
        <patternFill patternType="solid">
          <bgColor rgb="FFFFFF00"/>
        </patternFill>
      </fill>
    </dxf>
    <dxf>
      <font>
        <b/>
        <i val="0"/>
        <strike val="0"/>
        <u val="none"/>
        <color theme="0"/>
      </font>
      <fill>
        <patternFill>
          <bgColor rgb="FFFF3399"/>
        </patternFill>
      </fill>
    </dxf>
    <dxf>
      <font>
        <b/>
        <i val="0"/>
        <strike val="0"/>
        <u val="none"/>
        <color theme="0"/>
      </font>
      <fill>
        <patternFill>
          <bgColor rgb="FFFF3399"/>
        </patternFill>
      </fill>
    </dxf>
    <dxf>
      <font>
        <b/>
        <i/>
        <strike val="0"/>
        <u val="none"/>
        <color theme="5" tint="-0.24994659260841701"/>
      </font>
      <fill>
        <patternFill>
          <bgColor rgb="FFFFFF00"/>
        </patternFill>
      </fill>
    </dxf>
    <dxf>
      <font>
        <b/>
        <i/>
        <strike val="0"/>
        <u val="none"/>
        <color rgb="FFFF0000"/>
      </font>
      <fill>
        <patternFill>
          <bgColor rgb="FFFFFF00"/>
        </patternFill>
      </fill>
    </dxf>
    <dxf>
      <font>
        <b/>
        <i val="0"/>
        <strike val="0"/>
        <u val="none"/>
        <color auto="1"/>
      </font>
      <fill>
        <patternFill patternType="solid">
          <bgColor theme="9" tint="0.59996337778862885"/>
        </patternFill>
      </fill>
    </dxf>
    <dxf>
      <font>
        <b/>
        <i/>
        <strike val="0"/>
        <u val="none"/>
        <color auto="1"/>
      </font>
      <fill>
        <patternFill patternType="solid">
          <bgColor rgb="FF00FF00"/>
        </patternFill>
      </fill>
    </dxf>
    <dxf>
      <font>
        <b/>
        <i/>
        <strike val="0"/>
        <u val="none"/>
        <color auto="1"/>
      </font>
      <fill>
        <patternFill patternType="solid">
          <bgColor rgb="FF00FF00"/>
        </patternFill>
      </fill>
    </dxf>
    <dxf>
      <font>
        <b/>
        <i val="0"/>
        <strike val="0"/>
        <u val="none"/>
        <color rgb="FFFF0000"/>
      </font>
      <fill>
        <patternFill>
          <bgColor rgb="FF00B0F0"/>
        </patternFill>
      </fill>
    </dxf>
    <dxf>
      <font>
        <b/>
        <i val="0"/>
        <strike val="0"/>
        <u val="none"/>
        <color rgb="FFFF0000"/>
      </font>
      <fill>
        <patternFill>
          <bgColor rgb="FF00B0F0"/>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rgb="FFFFC000"/>
      </font>
      <fill>
        <patternFill patternType="solid">
          <bgColor theme="7" tint="0.79998168889431442"/>
        </patternFill>
      </fill>
    </dxf>
    <dxf>
      <font>
        <b/>
        <i/>
        <strike val="0"/>
        <u val="none"/>
        <color rgb="FFFFC000"/>
      </font>
      <fill>
        <patternFill patternType="solid">
          <bgColor theme="7" tint="0.79998168889431442"/>
        </patternFill>
      </fill>
    </dxf>
    <dxf>
      <font>
        <b/>
        <i val="0"/>
        <strike val="0"/>
        <u val="none"/>
        <color rgb="FF00B050"/>
      </font>
      <fill>
        <patternFill>
          <bgColor rgb="FFEAF1AB"/>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9966FF"/>
      </font>
      <fill>
        <patternFill>
          <bgColor rgb="FFB1DDEB"/>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00B0F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CC99FF"/>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7" tint="0.39991454817346722"/>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theme="9" tint="-0.2499465926084170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4" tint="0.3999450666829432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rgb="FF7E1389"/>
      </font>
      <fill>
        <patternFill>
          <bgColor rgb="FFFFAFB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rgb="FFEB2403"/>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1" tint="0.49998474074526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0"/>
      </font>
      <fill>
        <patternFill>
          <bgColor theme="5" tint="-0.2499465926084170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0"/>
      </font>
      <fill>
        <patternFill>
          <bgColor rgb="FFF632C7"/>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rgb="FF99FF33"/>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FF0000"/>
      </font>
      <fill>
        <patternFill patternType="solid">
          <bgColor theme="9" tint="0.59996337778862885"/>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7ED882"/>
        </patternFill>
      </fill>
      <border>
        <left style="thin">
          <color theme="0" tint="-0.14996795556505021"/>
        </left>
        <right style="thin">
          <color theme="0" tint="-0.14996795556505021"/>
        </right>
        <top style="thin">
          <color theme="0" tint="-0.14996795556505021"/>
        </top>
        <bottom style="thin">
          <color theme="0" tint="-0.14996795556505021"/>
        </bottom>
      </border>
    </dxf>
    <dxf>
      <font>
        <strike val="0"/>
        <color rgb="FF9C0006"/>
      </font>
      <fill>
        <patternFill>
          <bgColor theme="7" tint="0.39994506668294322"/>
        </patternFill>
      </fill>
    </dxf>
    <dxf>
      <font>
        <b/>
        <i val="0"/>
        <strike val="0"/>
        <u val="none"/>
        <color theme="0"/>
      </font>
      <fill>
        <patternFill patternType="solid">
          <bgColor theme="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FF99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patternType="solid">
          <bgColor rgb="FFFF99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rgb="FF92E7F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FF66CC"/>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0070C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1"/>
      </font>
      <fill>
        <patternFill>
          <bgColor rgb="FFFFFF00"/>
        </patternFill>
      </fill>
      <border>
        <left style="thin">
          <color theme="0" tint="-0.14996795556505021"/>
        </left>
        <right style="thin">
          <color theme="0" tint="-0.14996795556505021"/>
        </right>
        <top style="thin">
          <color theme="0" tint="-0.14996795556505021"/>
        </top>
        <bottom style="thin">
          <color theme="0" tint="-0.14996795556505021"/>
        </bottom>
      </border>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color auto="1"/>
      </font>
      <fill>
        <patternFill>
          <bgColor theme="9"/>
        </patternFill>
      </fill>
      <border>
        <left style="thin">
          <color theme="0" tint="-0.14996795556505021"/>
        </left>
        <right style="thin">
          <color theme="0" tint="-0.14996795556505021"/>
        </right>
        <top style="thin">
          <color theme="0" tint="-0.14996795556505021"/>
        </top>
        <bottom style="thin">
          <color theme="0" tint="-0.14996795556505021"/>
        </bottom>
      </border>
    </dxf>
    <dxf>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border>
    </dxf>
    <dxf>
      <font>
        <color auto="1"/>
      </font>
      <fill>
        <patternFill>
          <bgColor theme="9" tint="0.59996337778862885"/>
        </patternFill>
      </fill>
      <border>
        <left style="thin">
          <color theme="2"/>
        </left>
        <right style="thin">
          <color theme="2"/>
        </right>
        <top style="thin">
          <color theme="2"/>
        </top>
        <bottom style="thin">
          <color theme="2"/>
        </bottom>
      </border>
    </dxf>
    <dxf>
      <fill>
        <patternFill>
          <bgColor rgb="FF00B050"/>
        </patternFill>
      </fill>
      <border>
        <left style="thin">
          <color theme="0" tint="-0.24994659260841701"/>
        </left>
        <right style="thin">
          <color theme="0" tint="-0.24994659260841701"/>
        </right>
        <top style="thin">
          <color theme="0" tint="-0.24994659260841701"/>
        </top>
        <bottom style="thin">
          <color theme="0" tint="-0.24994659260841701"/>
        </bottom>
      </border>
    </dxf>
    <dxf>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b/>
        <i val="0"/>
        <strike val="0"/>
        <u val="none"/>
        <color theme="5" tint="-0.24994659260841701"/>
      </font>
      <fill>
        <patternFill patternType="solid">
          <bgColor rgb="FFFFFF00"/>
        </patternFill>
      </fill>
    </dxf>
    <dxf>
      <font>
        <b/>
        <i val="0"/>
        <strike val="0"/>
        <u val="none"/>
        <color rgb="FFFF0000"/>
      </font>
      <fill>
        <patternFill patternType="solid">
          <bgColor rgb="FFFFFF00"/>
        </patternFill>
      </fill>
    </dxf>
    <dxf>
      <font>
        <b/>
        <i val="0"/>
        <strike val="0"/>
        <u val="none"/>
        <color rgb="FF00B0F0"/>
      </font>
      <fill>
        <patternFill patternType="solid">
          <bgColor rgb="FFFFFF00"/>
        </patternFill>
      </fill>
    </dxf>
    <dxf>
      <font>
        <b/>
        <i val="0"/>
        <strike val="0"/>
        <u val="none"/>
        <color theme="0"/>
      </font>
      <fill>
        <patternFill>
          <bgColor rgb="FFFF3399"/>
        </patternFill>
      </fill>
    </dxf>
    <dxf>
      <font>
        <b/>
        <i val="0"/>
        <strike val="0"/>
        <u val="none"/>
        <color theme="0"/>
      </font>
      <fill>
        <patternFill>
          <bgColor rgb="FFFF3399"/>
        </patternFill>
      </fill>
    </dxf>
    <dxf>
      <font>
        <b/>
        <i/>
        <strike val="0"/>
        <u val="none"/>
        <color theme="5" tint="-0.24994659260841701"/>
      </font>
      <fill>
        <patternFill>
          <bgColor rgb="FFFFFF00"/>
        </patternFill>
      </fill>
    </dxf>
    <dxf>
      <font>
        <b/>
        <i/>
        <strike val="0"/>
        <u val="none"/>
        <color rgb="FFFF0000"/>
      </font>
      <fill>
        <patternFill>
          <bgColor rgb="FFFFFF00"/>
        </patternFill>
      </fill>
    </dxf>
    <dxf>
      <font>
        <b/>
        <i val="0"/>
        <strike val="0"/>
        <u val="none"/>
        <color auto="1"/>
      </font>
      <fill>
        <patternFill patternType="solid">
          <bgColor theme="9" tint="0.59996337778862885"/>
        </patternFill>
      </fill>
    </dxf>
    <dxf>
      <font>
        <b/>
        <i/>
        <strike val="0"/>
        <u val="none"/>
        <color auto="1"/>
      </font>
      <fill>
        <patternFill patternType="solid">
          <bgColor rgb="FF00FF00"/>
        </patternFill>
      </fill>
    </dxf>
    <dxf>
      <font>
        <b/>
        <i/>
        <strike val="0"/>
        <u val="none"/>
        <color auto="1"/>
      </font>
      <fill>
        <patternFill patternType="solid">
          <bgColor rgb="FF00FF00"/>
        </patternFill>
      </fill>
    </dxf>
    <dxf>
      <font>
        <b/>
        <i val="0"/>
        <strike val="0"/>
        <u val="none"/>
        <color rgb="FFFF0000"/>
      </font>
      <fill>
        <patternFill>
          <bgColor rgb="FF00B0F0"/>
        </patternFill>
      </fill>
    </dxf>
    <dxf>
      <font>
        <b/>
        <i val="0"/>
        <strike val="0"/>
        <u val="none"/>
        <color rgb="FFFF0000"/>
      </font>
      <fill>
        <patternFill>
          <bgColor rgb="FF00B0F0"/>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rgb="FFFFC000"/>
      </font>
      <fill>
        <patternFill patternType="solid">
          <bgColor theme="7" tint="0.79998168889431442"/>
        </patternFill>
      </fill>
    </dxf>
    <dxf>
      <font>
        <b/>
        <i/>
        <strike val="0"/>
        <u val="none"/>
        <color rgb="FFFFC000"/>
      </font>
      <fill>
        <patternFill patternType="solid">
          <bgColor theme="7" tint="0.79998168889431442"/>
        </patternFill>
      </fill>
    </dxf>
    <dxf>
      <font>
        <b/>
        <i val="0"/>
        <strike val="0"/>
        <u val="none"/>
        <color rgb="FF00B050"/>
      </font>
      <fill>
        <patternFill>
          <bgColor rgb="FFEAF1AB"/>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9966FF"/>
      </font>
      <fill>
        <patternFill>
          <bgColor rgb="FFB1DDEB"/>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00B0F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CC99FF"/>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7" tint="0.39991454817346722"/>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theme="9" tint="-0.2499465926084170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4" tint="0.3999450666829432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rgb="FF7E1389"/>
      </font>
      <fill>
        <patternFill>
          <bgColor rgb="FFFFAFB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rgb="FFEB2403"/>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1" tint="0.49998474074526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0"/>
      </font>
      <fill>
        <patternFill>
          <bgColor theme="5" tint="-0.2499465926084170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0"/>
      </font>
      <fill>
        <patternFill>
          <bgColor rgb="FFF632C7"/>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rgb="FF99FF33"/>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FF0000"/>
      </font>
      <fill>
        <patternFill patternType="solid">
          <bgColor theme="9" tint="0.59996337778862885"/>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7ED882"/>
        </patternFill>
      </fill>
      <border>
        <left style="thin">
          <color theme="0" tint="-0.14996795556505021"/>
        </left>
        <right style="thin">
          <color theme="0" tint="-0.14996795556505021"/>
        </right>
        <top style="thin">
          <color theme="0" tint="-0.14996795556505021"/>
        </top>
        <bottom style="thin">
          <color theme="0" tint="-0.14996795556505021"/>
        </bottom>
      </border>
    </dxf>
    <dxf>
      <font>
        <strike val="0"/>
        <color rgb="FF9C0006"/>
      </font>
      <fill>
        <patternFill>
          <bgColor theme="7" tint="0.39994506668294322"/>
        </patternFill>
      </fill>
    </dxf>
    <dxf>
      <font>
        <b/>
        <i val="0"/>
        <strike val="0"/>
        <u val="none"/>
        <color theme="0"/>
      </font>
      <fill>
        <patternFill patternType="solid">
          <bgColor theme="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FF99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patternType="solid">
          <bgColor rgb="FFFF99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rgb="FF92E7F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FF66CC"/>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0070C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1"/>
      </font>
      <fill>
        <patternFill>
          <bgColor rgb="FFFFFF00"/>
        </patternFill>
      </fill>
      <border>
        <left style="thin">
          <color theme="0" tint="-0.14996795556505021"/>
        </left>
        <right style="thin">
          <color theme="0" tint="-0.14996795556505021"/>
        </right>
        <top style="thin">
          <color theme="0" tint="-0.14996795556505021"/>
        </top>
        <bottom style="thin">
          <color theme="0" tint="-0.14996795556505021"/>
        </bottom>
      </border>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color auto="1"/>
      </font>
      <fill>
        <patternFill>
          <bgColor theme="9"/>
        </patternFill>
      </fill>
      <border>
        <left style="thin">
          <color theme="0" tint="-0.14996795556505021"/>
        </left>
        <right style="thin">
          <color theme="0" tint="-0.14996795556505021"/>
        </right>
        <top style="thin">
          <color theme="0" tint="-0.14996795556505021"/>
        </top>
        <bottom style="thin">
          <color theme="0" tint="-0.14996795556505021"/>
        </bottom>
      </border>
    </dxf>
    <dxf>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border>
    </dxf>
    <dxf>
      <font>
        <color auto="1"/>
      </font>
      <fill>
        <patternFill>
          <bgColor theme="9" tint="0.59996337778862885"/>
        </patternFill>
      </fill>
      <border>
        <left style="thin">
          <color theme="2"/>
        </left>
        <right style="thin">
          <color theme="2"/>
        </right>
        <top style="thin">
          <color theme="2"/>
        </top>
        <bottom style="thin">
          <color theme="2"/>
        </bottom>
      </border>
    </dxf>
    <dxf>
      <fill>
        <patternFill>
          <bgColor rgb="FF00B050"/>
        </patternFill>
      </fill>
      <border>
        <left style="thin">
          <color theme="0" tint="-0.24994659260841701"/>
        </left>
        <right style="thin">
          <color theme="0" tint="-0.24994659260841701"/>
        </right>
        <top style="thin">
          <color theme="0" tint="-0.24994659260841701"/>
        </top>
        <bottom style="thin">
          <color theme="0" tint="-0.24994659260841701"/>
        </bottom>
      </border>
    </dxf>
    <dxf>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b/>
        <i val="0"/>
        <strike val="0"/>
        <u val="none"/>
        <color theme="5" tint="-0.24994659260841701"/>
      </font>
      <fill>
        <patternFill patternType="solid">
          <bgColor rgb="FFFFFF00"/>
        </patternFill>
      </fill>
    </dxf>
    <dxf>
      <font>
        <b/>
        <i val="0"/>
        <strike val="0"/>
        <u val="none"/>
        <color rgb="FFFF0000"/>
      </font>
      <fill>
        <patternFill patternType="solid">
          <bgColor rgb="FFFFFF00"/>
        </patternFill>
      </fill>
    </dxf>
    <dxf>
      <font>
        <b/>
        <i val="0"/>
        <strike val="0"/>
        <u val="none"/>
        <color rgb="FF00B0F0"/>
      </font>
      <fill>
        <patternFill patternType="solid">
          <bgColor rgb="FFFFFF00"/>
        </patternFill>
      </fill>
    </dxf>
    <dxf>
      <font>
        <b/>
        <i val="0"/>
        <strike val="0"/>
        <u val="none"/>
        <color theme="0"/>
      </font>
      <fill>
        <patternFill>
          <bgColor rgb="FFFF3399"/>
        </patternFill>
      </fill>
    </dxf>
    <dxf>
      <font>
        <b/>
        <i val="0"/>
        <strike val="0"/>
        <u val="none"/>
        <color theme="0"/>
      </font>
      <fill>
        <patternFill>
          <bgColor rgb="FFFF3399"/>
        </patternFill>
      </fill>
    </dxf>
    <dxf>
      <font>
        <b/>
        <i/>
        <strike val="0"/>
        <u val="none"/>
        <color theme="5" tint="-0.24994659260841701"/>
      </font>
      <fill>
        <patternFill>
          <bgColor rgb="FFFFFF00"/>
        </patternFill>
      </fill>
    </dxf>
    <dxf>
      <font>
        <b/>
        <i/>
        <strike val="0"/>
        <u val="none"/>
        <color rgb="FFFF0000"/>
      </font>
      <fill>
        <patternFill>
          <bgColor rgb="FFFFFF00"/>
        </patternFill>
      </fill>
    </dxf>
    <dxf>
      <font>
        <b/>
        <i val="0"/>
        <strike val="0"/>
        <u val="none"/>
        <color auto="1"/>
      </font>
      <fill>
        <patternFill patternType="solid">
          <bgColor theme="9" tint="0.59996337778862885"/>
        </patternFill>
      </fill>
    </dxf>
    <dxf>
      <font>
        <b/>
        <i/>
        <strike val="0"/>
        <u val="none"/>
        <color auto="1"/>
      </font>
      <fill>
        <patternFill patternType="solid">
          <bgColor rgb="FF00FF00"/>
        </patternFill>
      </fill>
    </dxf>
    <dxf>
      <font>
        <b/>
        <i/>
        <strike val="0"/>
        <u val="none"/>
        <color auto="1"/>
      </font>
      <fill>
        <patternFill patternType="solid">
          <bgColor rgb="FF00FF00"/>
        </patternFill>
      </fill>
    </dxf>
    <dxf>
      <font>
        <b/>
        <i val="0"/>
        <strike val="0"/>
        <u val="none"/>
        <color rgb="FFFF0000"/>
      </font>
      <fill>
        <patternFill>
          <bgColor rgb="FF00B0F0"/>
        </patternFill>
      </fill>
    </dxf>
    <dxf>
      <font>
        <b/>
        <i val="0"/>
        <strike val="0"/>
        <u val="none"/>
        <color rgb="FFFF0000"/>
      </font>
      <fill>
        <patternFill>
          <bgColor rgb="FF00B0F0"/>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rgb="FFFFC000"/>
      </font>
      <fill>
        <patternFill patternType="solid">
          <bgColor theme="7" tint="0.79998168889431442"/>
        </patternFill>
      </fill>
    </dxf>
    <dxf>
      <font>
        <b/>
        <i/>
        <strike val="0"/>
        <u val="none"/>
        <color rgb="FFFFC000"/>
      </font>
      <fill>
        <patternFill patternType="solid">
          <bgColor theme="7" tint="0.79998168889431442"/>
        </patternFill>
      </fill>
    </dxf>
    <dxf>
      <font>
        <b/>
        <i val="0"/>
        <strike val="0"/>
        <u val="none"/>
        <color rgb="FF00B050"/>
      </font>
      <fill>
        <patternFill>
          <bgColor rgb="FFEAF1AB"/>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9966FF"/>
      </font>
      <fill>
        <patternFill>
          <bgColor rgb="FFB1DDEB"/>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00B0F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CC99FF"/>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7" tint="0.39991454817346722"/>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theme="9" tint="-0.2499465926084170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4" tint="0.3999450666829432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rgb="FF7E1389"/>
      </font>
      <fill>
        <patternFill>
          <bgColor rgb="FFFFAFB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rgb="FFEB2403"/>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1" tint="0.49998474074526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0"/>
      </font>
      <fill>
        <patternFill>
          <bgColor theme="5" tint="-0.2499465926084170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0"/>
      </font>
      <fill>
        <patternFill>
          <bgColor rgb="FFF632C7"/>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rgb="FF99FF33"/>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FF0000"/>
      </font>
      <fill>
        <patternFill patternType="solid">
          <bgColor theme="9" tint="0.59996337778862885"/>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7ED882"/>
        </patternFill>
      </fill>
      <border>
        <left style="thin">
          <color theme="0" tint="-0.14996795556505021"/>
        </left>
        <right style="thin">
          <color theme="0" tint="-0.14996795556505021"/>
        </right>
        <top style="thin">
          <color theme="0" tint="-0.14996795556505021"/>
        </top>
        <bottom style="thin">
          <color theme="0" tint="-0.14996795556505021"/>
        </bottom>
      </border>
    </dxf>
    <dxf>
      <font>
        <strike val="0"/>
        <color rgb="FF9C0006"/>
      </font>
      <fill>
        <patternFill>
          <bgColor theme="7" tint="0.39994506668294322"/>
        </patternFill>
      </fill>
    </dxf>
    <dxf>
      <font>
        <b/>
        <i val="0"/>
        <strike val="0"/>
        <u val="none"/>
        <color theme="0"/>
      </font>
      <fill>
        <patternFill patternType="solid">
          <bgColor theme="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FF99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patternType="solid">
          <bgColor rgb="FFFF99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rgb="FF92E7F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FF66CC"/>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0070C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1"/>
      </font>
      <fill>
        <patternFill>
          <bgColor rgb="FFFFFF00"/>
        </patternFill>
      </fill>
      <border>
        <left style="thin">
          <color theme="0" tint="-0.14996795556505021"/>
        </left>
        <right style="thin">
          <color theme="0" tint="-0.14996795556505021"/>
        </right>
        <top style="thin">
          <color theme="0" tint="-0.14996795556505021"/>
        </top>
        <bottom style="thin">
          <color theme="0" tint="-0.14996795556505021"/>
        </bottom>
      </border>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color auto="1"/>
      </font>
      <fill>
        <patternFill>
          <bgColor theme="9"/>
        </patternFill>
      </fill>
      <border>
        <left style="thin">
          <color theme="0" tint="-0.14996795556505021"/>
        </left>
        <right style="thin">
          <color theme="0" tint="-0.14996795556505021"/>
        </right>
        <top style="thin">
          <color theme="0" tint="-0.14996795556505021"/>
        </top>
        <bottom style="thin">
          <color theme="0" tint="-0.14996795556505021"/>
        </bottom>
      </border>
    </dxf>
    <dxf>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border>
    </dxf>
    <dxf>
      <font>
        <color auto="1"/>
      </font>
      <fill>
        <patternFill>
          <bgColor theme="9" tint="0.59996337778862885"/>
        </patternFill>
      </fill>
      <border>
        <left style="thin">
          <color theme="2"/>
        </left>
        <right style="thin">
          <color theme="2"/>
        </right>
        <top style="thin">
          <color theme="2"/>
        </top>
        <bottom style="thin">
          <color theme="2"/>
        </bottom>
      </border>
    </dxf>
    <dxf>
      <fill>
        <patternFill>
          <bgColor rgb="FF00B050"/>
        </patternFill>
      </fill>
      <border>
        <left style="thin">
          <color theme="0" tint="-0.24994659260841701"/>
        </left>
        <right style="thin">
          <color theme="0" tint="-0.24994659260841701"/>
        </right>
        <top style="thin">
          <color theme="0" tint="-0.24994659260841701"/>
        </top>
        <bottom style="thin">
          <color theme="0" tint="-0.24994659260841701"/>
        </bottom>
      </border>
    </dxf>
    <dxf>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b/>
        <i val="0"/>
        <strike val="0"/>
        <u val="none"/>
        <color theme="5" tint="-0.24994659260841701"/>
      </font>
      <fill>
        <patternFill patternType="solid">
          <bgColor rgb="FFFFFF00"/>
        </patternFill>
      </fill>
    </dxf>
    <dxf>
      <font>
        <b/>
        <i val="0"/>
        <strike val="0"/>
        <u val="none"/>
        <color rgb="FFFF0000"/>
      </font>
      <fill>
        <patternFill patternType="solid">
          <bgColor rgb="FFFFFF00"/>
        </patternFill>
      </fill>
    </dxf>
    <dxf>
      <font>
        <b/>
        <i val="0"/>
        <strike val="0"/>
        <u val="none"/>
        <color rgb="FF00B0F0"/>
      </font>
      <fill>
        <patternFill patternType="solid">
          <bgColor rgb="FFFFFF00"/>
        </patternFill>
      </fill>
    </dxf>
    <dxf>
      <font>
        <b/>
        <i val="0"/>
        <strike val="0"/>
        <u val="none"/>
        <color theme="0"/>
      </font>
      <fill>
        <patternFill>
          <bgColor rgb="FFFF3399"/>
        </patternFill>
      </fill>
    </dxf>
    <dxf>
      <font>
        <b/>
        <i val="0"/>
        <strike val="0"/>
        <u val="none"/>
        <color theme="0"/>
      </font>
      <fill>
        <patternFill>
          <bgColor rgb="FFFF3399"/>
        </patternFill>
      </fill>
    </dxf>
    <dxf>
      <font>
        <b/>
        <i/>
        <strike val="0"/>
        <u val="none"/>
        <color theme="5" tint="-0.24994659260841701"/>
      </font>
      <fill>
        <patternFill>
          <bgColor rgb="FFFFFF00"/>
        </patternFill>
      </fill>
    </dxf>
    <dxf>
      <font>
        <b/>
        <i/>
        <strike val="0"/>
        <u val="none"/>
        <color rgb="FFFF0000"/>
      </font>
      <fill>
        <patternFill>
          <bgColor rgb="FFFFFF00"/>
        </patternFill>
      </fill>
    </dxf>
    <dxf>
      <font>
        <b/>
        <i val="0"/>
        <strike val="0"/>
        <u val="none"/>
        <color auto="1"/>
      </font>
      <fill>
        <patternFill patternType="solid">
          <bgColor theme="9" tint="0.59996337778862885"/>
        </patternFill>
      </fill>
    </dxf>
    <dxf>
      <font>
        <b/>
        <i/>
        <strike val="0"/>
        <u val="none"/>
        <color auto="1"/>
      </font>
      <fill>
        <patternFill patternType="solid">
          <bgColor rgb="FF00FF00"/>
        </patternFill>
      </fill>
    </dxf>
    <dxf>
      <font>
        <b/>
        <i/>
        <strike val="0"/>
        <u val="none"/>
        <color auto="1"/>
      </font>
      <fill>
        <patternFill patternType="solid">
          <bgColor rgb="FF00FF00"/>
        </patternFill>
      </fill>
    </dxf>
    <dxf>
      <font>
        <b/>
        <i val="0"/>
        <strike val="0"/>
        <u val="none"/>
        <color rgb="FFFF0000"/>
      </font>
      <fill>
        <patternFill>
          <bgColor rgb="FF00B0F0"/>
        </patternFill>
      </fill>
    </dxf>
    <dxf>
      <font>
        <b/>
        <i val="0"/>
        <strike val="0"/>
        <u val="none"/>
        <color rgb="FFFF0000"/>
      </font>
      <fill>
        <patternFill>
          <bgColor rgb="FF00B0F0"/>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rgb="FFFFC000"/>
      </font>
      <fill>
        <patternFill patternType="solid">
          <bgColor theme="7" tint="0.79998168889431442"/>
        </patternFill>
      </fill>
    </dxf>
    <dxf>
      <font>
        <b/>
        <i/>
        <strike val="0"/>
        <u val="none"/>
        <color rgb="FFFFC000"/>
      </font>
      <fill>
        <patternFill patternType="solid">
          <bgColor theme="7" tint="0.79998168889431442"/>
        </patternFill>
      </fill>
    </dxf>
    <dxf>
      <font>
        <b/>
        <i val="0"/>
        <strike val="0"/>
        <u val="none"/>
        <color rgb="FF00B050"/>
      </font>
      <fill>
        <patternFill>
          <bgColor rgb="FFEAF1AB"/>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9966FF"/>
      </font>
      <fill>
        <patternFill>
          <bgColor rgb="FFB1DDEB"/>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00B0F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CC99FF"/>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7" tint="0.39991454817346722"/>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theme="9" tint="-0.2499465926084170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4" tint="0.3999450666829432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rgb="FF7E1389"/>
      </font>
      <fill>
        <patternFill>
          <bgColor rgb="FFFFAFB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rgb="FFEB2403"/>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1" tint="0.49998474074526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0"/>
      </font>
      <fill>
        <patternFill>
          <bgColor theme="5" tint="-0.2499465926084170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0"/>
      </font>
      <fill>
        <patternFill>
          <bgColor rgb="FFF632C7"/>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rgb="FF99FF33"/>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FF0000"/>
      </font>
      <fill>
        <patternFill patternType="solid">
          <bgColor theme="9" tint="0.59996337778862885"/>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7ED882"/>
        </patternFill>
      </fill>
      <border>
        <left style="thin">
          <color theme="0" tint="-0.14996795556505021"/>
        </left>
        <right style="thin">
          <color theme="0" tint="-0.14996795556505021"/>
        </right>
        <top style="thin">
          <color theme="0" tint="-0.14996795556505021"/>
        </top>
        <bottom style="thin">
          <color theme="0" tint="-0.14996795556505021"/>
        </bottom>
      </border>
    </dxf>
    <dxf>
      <font>
        <strike val="0"/>
        <color rgb="FF9C0006"/>
      </font>
      <fill>
        <patternFill>
          <bgColor theme="7" tint="0.39994506668294322"/>
        </patternFill>
      </fill>
    </dxf>
    <dxf>
      <font>
        <b/>
        <i val="0"/>
        <strike val="0"/>
        <u val="none"/>
        <color theme="0"/>
      </font>
      <fill>
        <patternFill patternType="solid">
          <bgColor theme="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FF99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patternType="solid">
          <bgColor rgb="FFFF99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rgb="FF92E7F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FF66CC"/>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0070C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1"/>
      </font>
      <fill>
        <patternFill>
          <bgColor rgb="FFFFFF00"/>
        </patternFill>
      </fill>
      <border>
        <left style="thin">
          <color theme="0" tint="-0.14996795556505021"/>
        </left>
        <right style="thin">
          <color theme="0" tint="-0.14996795556505021"/>
        </right>
        <top style="thin">
          <color theme="0" tint="-0.14996795556505021"/>
        </top>
        <bottom style="thin">
          <color theme="0" tint="-0.14996795556505021"/>
        </bottom>
      </border>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color auto="1"/>
      </font>
      <fill>
        <patternFill>
          <bgColor theme="9"/>
        </patternFill>
      </fill>
      <border>
        <left style="thin">
          <color theme="0" tint="-0.14996795556505021"/>
        </left>
        <right style="thin">
          <color theme="0" tint="-0.14996795556505021"/>
        </right>
        <top style="thin">
          <color theme="0" tint="-0.14996795556505021"/>
        </top>
        <bottom style="thin">
          <color theme="0" tint="-0.14996795556505021"/>
        </bottom>
      </border>
    </dxf>
    <dxf>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border>
    </dxf>
    <dxf>
      <font>
        <color auto="1"/>
      </font>
      <fill>
        <patternFill>
          <bgColor theme="9" tint="0.59996337778862885"/>
        </patternFill>
      </fill>
      <border>
        <left style="thin">
          <color theme="2"/>
        </left>
        <right style="thin">
          <color theme="2"/>
        </right>
        <top style="thin">
          <color theme="2"/>
        </top>
        <bottom style="thin">
          <color theme="2"/>
        </bottom>
      </border>
    </dxf>
    <dxf>
      <fill>
        <patternFill>
          <bgColor rgb="FF00B050"/>
        </patternFill>
      </fill>
      <border>
        <left style="thin">
          <color theme="0" tint="-0.24994659260841701"/>
        </left>
        <right style="thin">
          <color theme="0" tint="-0.24994659260841701"/>
        </right>
        <top style="thin">
          <color theme="0" tint="-0.24994659260841701"/>
        </top>
        <bottom style="thin">
          <color theme="0" tint="-0.24994659260841701"/>
        </bottom>
      </border>
    </dxf>
    <dxf>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b/>
        <i val="0"/>
        <strike val="0"/>
        <u val="none"/>
        <color theme="5" tint="-0.24994659260841701"/>
      </font>
      <fill>
        <patternFill patternType="solid">
          <bgColor rgb="FFFFFF00"/>
        </patternFill>
      </fill>
    </dxf>
    <dxf>
      <font>
        <b/>
        <i val="0"/>
        <strike val="0"/>
        <u val="none"/>
        <color rgb="FFFF0000"/>
      </font>
      <fill>
        <patternFill patternType="solid">
          <bgColor rgb="FFFFFF00"/>
        </patternFill>
      </fill>
    </dxf>
    <dxf>
      <font>
        <b/>
        <i val="0"/>
        <strike val="0"/>
        <u val="none"/>
        <color rgb="FF00B0F0"/>
      </font>
      <fill>
        <patternFill patternType="solid">
          <bgColor rgb="FFFFFF00"/>
        </patternFill>
      </fill>
    </dxf>
    <dxf>
      <font>
        <b/>
        <i val="0"/>
        <strike val="0"/>
        <u val="none"/>
        <color theme="0"/>
      </font>
      <fill>
        <patternFill>
          <bgColor rgb="FFFF3399"/>
        </patternFill>
      </fill>
    </dxf>
    <dxf>
      <font>
        <b/>
        <i val="0"/>
        <strike val="0"/>
        <u val="none"/>
        <color theme="0"/>
      </font>
      <fill>
        <patternFill>
          <bgColor rgb="FFFF3399"/>
        </patternFill>
      </fill>
    </dxf>
    <dxf>
      <font>
        <b/>
        <i/>
        <strike val="0"/>
        <u val="none"/>
        <color theme="5" tint="-0.24994659260841701"/>
      </font>
      <fill>
        <patternFill>
          <bgColor rgb="FFFFFF00"/>
        </patternFill>
      </fill>
    </dxf>
    <dxf>
      <font>
        <b/>
        <i/>
        <strike val="0"/>
        <u val="none"/>
        <color rgb="FFFF0000"/>
      </font>
      <fill>
        <patternFill>
          <bgColor rgb="FFFFFF00"/>
        </patternFill>
      </fill>
    </dxf>
    <dxf>
      <font>
        <b/>
        <i val="0"/>
        <strike val="0"/>
        <u val="none"/>
        <color auto="1"/>
      </font>
      <fill>
        <patternFill patternType="solid">
          <bgColor theme="9" tint="0.59996337778862885"/>
        </patternFill>
      </fill>
    </dxf>
    <dxf>
      <font>
        <b/>
        <i/>
        <strike val="0"/>
        <u val="none"/>
        <color auto="1"/>
      </font>
      <fill>
        <patternFill patternType="solid">
          <bgColor rgb="FF00FF00"/>
        </patternFill>
      </fill>
    </dxf>
    <dxf>
      <font>
        <b/>
        <i/>
        <strike val="0"/>
        <u val="none"/>
        <color auto="1"/>
      </font>
      <fill>
        <patternFill patternType="solid">
          <bgColor rgb="FF00FF00"/>
        </patternFill>
      </fill>
    </dxf>
    <dxf>
      <font>
        <b/>
        <i val="0"/>
        <strike val="0"/>
        <u val="none"/>
        <color rgb="FFFF0000"/>
      </font>
      <fill>
        <patternFill>
          <bgColor rgb="FF00B0F0"/>
        </patternFill>
      </fill>
    </dxf>
    <dxf>
      <font>
        <b/>
        <i val="0"/>
        <strike val="0"/>
        <u val="none"/>
        <color rgb="FFFF0000"/>
      </font>
      <fill>
        <patternFill>
          <bgColor rgb="FF00B0F0"/>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rgb="FFFFC000"/>
      </font>
      <fill>
        <patternFill patternType="solid">
          <bgColor theme="7" tint="0.79998168889431442"/>
        </patternFill>
      </fill>
    </dxf>
    <dxf>
      <font>
        <b/>
        <i/>
        <strike val="0"/>
        <u val="none"/>
        <color rgb="FFFFC000"/>
      </font>
      <fill>
        <patternFill patternType="solid">
          <bgColor theme="7" tint="0.79998168889431442"/>
        </patternFill>
      </fill>
    </dxf>
    <dxf>
      <font>
        <b/>
        <i val="0"/>
        <strike val="0"/>
        <u val="none"/>
        <color rgb="FF00B050"/>
      </font>
      <fill>
        <patternFill>
          <bgColor rgb="FFEAF1AB"/>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9966FF"/>
      </font>
      <fill>
        <patternFill>
          <bgColor rgb="FFB1DDEB"/>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00B0F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CC99FF"/>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7" tint="0.39991454817346722"/>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theme="9" tint="-0.2499465926084170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4" tint="0.3999450666829432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rgb="FF7E1389"/>
      </font>
      <fill>
        <patternFill>
          <bgColor rgb="FFFFAFB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rgb="FFEB2403"/>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1" tint="0.49998474074526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0"/>
      </font>
      <fill>
        <patternFill>
          <bgColor theme="5" tint="-0.2499465926084170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0"/>
      </font>
      <fill>
        <patternFill>
          <bgColor rgb="FFF632C7"/>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rgb="FF99FF33"/>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FF0000"/>
      </font>
      <fill>
        <patternFill patternType="solid">
          <bgColor theme="9" tint="0.59996337778862885"/>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7ED882"/>
        </patternFill>
      </fill>
      <border>
        <left style="thin">
          <color theme="0" tint="-0.14996795556505021"/>
        </left>
        <right style="thin">
          <color theme="0" tint="-0.14996795556505021"/>
        </right>
        <top style="thin">
          <color theme="0" tint="-0.14996795556505021"/>
        </top>
        <bottom style="thin">
          <color theme="0" tint="-0.14996795556505021"/>
        </bottom>
      </border>
    </dxf>
    <dxf>
      <font>
        <strike val="0"/>
        <color rgb="FF9C0006"/>
      </font>
      <fill>
        <patternFill>
          <bgColor theme="7" tint="0.39994506668294322"/>
        </patternFill>
      </fill>
    </dxf>
    <dxf>
      <font>
        <b/>
        <i val="0"/>
        <strike val="0"/>
        <u val="none"/>
        <color theme="0"/>
      </font>
      <fill>
        <patternFill patternType="solid">
          <bgColor theme="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FF99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patternType="solid">
          <bgColor rgb="FFFF99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rgb="FF92E7F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FF66CC"/>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0070C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1"/>
      </font>
      <fill>
        <patternFill>
          <bgColor rgb="FFFFFF00"/>
        </patternFill>
      </fill>
      <border>
        <left style="thin">
          <color theme="0" tint="-0.14996795556505021"/>
        </left>
        <right style="thin">
          <color theme="0" tint="-0.14996795556505021"/>
        </right>
        <top style="thin">
          <color theme="0" tint="-0.14996795556505021"/>
        </top>
        <bottom style="thin">
          <color theme="0" tint="-0.14996795556505021"/>
        </bottom>
      </border>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color auto="1"/>
      </font>
      <fill>
        <patternFill>
          <bgColor theme="9"/>
        </patternFill>
      </fill>
      <border>
        <left style="thin">
          <color theme="0" tint="-0.14996795556505021"/>
        </left>
        <right style="thin">
          <color theme="0" tint="-0.14996795556505021"/>
        </right>
        <top style="thin">
          <color theme="0" tint="-0.14996795556505021"/>
        </top>
        <bottom style="thin">
          <color theme="0" tint="-0.14996795556505021"/>
        </bottom>
      </border>
    </dxf>
    <dxf>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border>
    </dxf>
    <dxf>
      <font>
        <color auto="1"/>
      </font>
      <fill>
        <patternFill>
          <bgColor theme="9" tint="0.59996337778862885"/>
        </patternFill>
      </fill>
      <border>
        <left style="thin">
          <color theme="2"/>
        </left>
        <right style="thin">
          <color theme="2"/>
        </right>
        <top style="thin">
          <color theme="2"/>
        </top>
        <bottom style="thin">
          <color theme="2"/>
        </bottom>
      </border>
    </dxf>
    <dxf>
      <fill>
        <patternFill>
          <bgColor rgb="FF00B050"/>
        </patternFill>
      </fill>
      <border>
        <left style="thin">
          <color theme="0" tint="-0.24994659260841701"/>
        </left>
        <right style="thin">
          <color theme="0" tint="-0.24994659260841701"/>
        </right>
        <top style="thin">
          <color theme="0" tint="-0.24994659260841701"/>
        </top>
        <bottom style="thin">
          <color theme="0" tint="-0.24994659260841701"/>
        </bottom>
      </border>
    </dxf>
    <dxf>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b/>
        <i val="0"/>
        <strike val="0"/>
        <u val="none"/>
        <color theme="5" tint="-0.24994659260841701"/>
      </font>
      <fill>
        <patternFill patternType="solid">
          <bgColor rgb="FFFFFF00"/>
        </patternFill>
      </fill>
    </dxf>
    <dxf>
      <font>
        <b/>
        <i val="0"/>
        <strike val="0"/>
        <u val="none"/>
        <color rgb="FFFF0000"/>
      </font>
      <fill>
        <patternFill patternType="solid">
          <bgColor rgb="FFFFFF00"/>
        </patternFill>
      </fill>
    </dxf>
    <dxf>
      <font>
        <b/>
        <i val="0"/>
        <strike val="0"/>
        <u val="none"/>
        <color rgb="FF00B0F0"/>
      </font>
      <fill>
        <patternFill patternType="solid">
          <bgColor rgb="FFFFFF00"/>
        </patternFill>
      </fill>
    </dxf>
    <dxf>
      <font>
        <b/>
        <i val="0"/>
        <strike val="0"/>
        <u val="none"/>
        <color theme="0"/>
      </font>
      <fill>
        <patternFill>
          <bgColor rgb="FFFF3399"/>
        </patternFill>
      </fill>
    </dxf>
    <dxf>
      <font>
        <b/>
        <i val="0"/>
        <strike val="0"/>
        <u val="none"/>
        <color theme="0"/>
      </font>
      <fill>
        <patternFill>
          <bgColor rgb="FFFF3399"/>
        </patternFill>
      </fill>
    </dxf>
    <dxf>
      <font>
        <b/>
        <i/>
        <strike val="0"/>
        <u val="none"/>
        <color theme="5" tint="-0.24994659260841701"/>
      </font>
      <fill>
        <patternFill>
          <bgColor rgb="FFFFFF00"/>
        </patternFill>
      </fill>
    </dxf>
    <dxf>
      <font>
        <b/>
        <i/>
        <strike val="0"/>
        <u val="none"/>
        <color rgb="FFFF0000"/>
      </font>
      <fill>
        <patternFill>
          <bgColor rgb="FFFFFF00"/>
        </patternFill>
      </fill>
    </dxf>
    <dxf>
      <font>
        <b/>
        <i val="0"/>
        <strike val="0"/>
        <u val="none"/>
        <color auto="1"/>
      </font>
      <fill>
        <patternFill patternType="solid">
          <bgColor theme="9" tint="0.59996337778862885"/>
        </patternFill>
      </fill>
    </dxf>
    <dxf>
      <font>
        <b/>
        <i/>
        <strike val="0"/>
        <u val="none"/>
        <color auto="1"/>
      </font>
      <fill>
        <patternFill patternType="solid">
          <bgColor rgb="FF00FF00"/>
        </patternFill>
      </fill>
    </dxf>
    <dxf>
      <font>
        <b/>
        <i/>
        <strike val="0"/>
        <u val="none"/>
        <color auto="1"/>
      </font>
      <fill>
        <patternFill patternType="solid">
          <bgColor rgb="FF00FF00"/>
        </patternFill>
      </fill>
    </dxf>
    <dxf>
      <font>
        <b/>
        <i val="0"/>
        <strike val="0"/>
        <u val="none"/>
        <color rgb="FFFF0000"/>
      </font>
      <fill>
        <patternFill>
          <bgColor rgb="FF00B0F0"/>
        </patternFill>
      </fill>
    </dxf>
    <dxf>
      <font>
        <b/>
        <i val="0"/>
        <strike val="0"/>
        <u val="none"/>
        <color rgb="FFFF0000"/>
      </font>
      <fill>
        <patternFill>
          <bgColor rgb="FF00B0F0"/>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rgb="FFFFC000"/>
      </font>
      <fill>
        <patternFill patternType="solid">
          <bgColor theme="7" tint="0.79998168889431442"/>
        </patternFill>
      </fill>
    </dxf>
    <dxf>
      <font>
        <b/>
        <i/>
        <strike val="0"/>
        <u val="none"/>
        <color rgb="FFFFC000"/>
      </font>
      <fill>
        <patternFill patternType="solid">
          <bgColor theme="7" tint="0.79998168889431442"/>
        </patternFill>
      </fill>
    </dxf>
    <dxf>
      <font>
        <b/>
        <i val="0"/>
        <strike val="0"/>
        <u val="none"/>
        <color rgb="FF00B050"/>
      </font>
      <fill>
        <patternFill>
          <bgColor rgb="FFEAF1AB"/>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9966FF"/>
      </font>
      <fill>
        <patternFill>
          <bgColor rgb="FFB1DDEB"/>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00B0F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CC99FF"/>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7" tint="0.39991454817346722"/>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theme="9" tint="-0.2499465926084170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4" tint="0.3999450666829432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rgb="FF7E1389"/>
      </font>
      <fill>
        <patternFill>
          <bgColor rgb="FFFFAFB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rgb="FFEB2403"/>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1" tint="0.49998474074526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0"/>
      </font>
      <fill>
        <patternFill>
          <bgColor theme="5" tint="-0.2499465926084170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0"/>
      </font>
      <fill>
        <patternFill>
          <bgColor rgb="FFF632C7"/>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rgb="FF99FF33"/>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FF0000"/>
      </font>
      <fill>
        <patternFill patternType="solid">
          <bgColor theme="9" tint="0.59996337778862885"/>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7ED882"/>
        </patternFill>
      </fill>
      <border>
        <left style="thin">
          <color theme="0" tint="-0.14996795556505021"/>
        </left>
        <right style="thin">
          <color theme="0" tint="-0.14996795556505021"/>
        </right>
        <top style="thin">
          <color theme="0" tint="-0.14996795556505021"/>
        </top>
        <bottom style="thin">
          <color theme="0" tint="-0.14996795556505021"/>
        </bottom>
      </border>
    </dxf>
    <dxf>
      <font>
        <strike val="0"/>
        <color rgb="FF9C0006"/>
      </font>
      <fill>
        <patternFill>
          <bgColor theme="7" tint="0.39994506668294322"/>
        </patternFill>
      </fill>
    </dxf>
    <dxf>
      <font>
        <b/>
        <i val="0"/>
        <strike val="0"/>
        <u val="none"/>
        <color theme="0"/>
      </font>
      <fill>
        <patternFill patternType="solid">
          <bgColor theme="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FF99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patternType="solid">
          <bgColor rgb="FFFF99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rgb="FF92E7F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FF66CC"/>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0070C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1"/>
      </font>
      <fill>
        <patternFill>
          <bgColor rgb="FFFFFF00"/>
        </patternFill>
      </fill>
      <border>
        <left style="thin">
          <color theme="0" tint="-0.14996795556505021"/>
        </left>
        <right style="thin">
          <color theme="0" tint="-0.14996795556505021"/>
        </right>
        <top style="thin">
          <color theme="0" tint="-0.14996795556505021"/>
        </top>
        <bottom style="thin">
          <color theme="0" tint="-0.14996795556505021"/>
        </bottom>
      </border>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color auto="1"/>
      </font>
      <fill>
        <patternFill>
          <bgColor theme="9"/>
        </patternFill>
      </fill>
      <border>
        <left style="thin">
          <color theme="0" tint="-0.14996795556505021"/>
        </left>
        <right style="thin">
          <color theme="0" tint="-0.14996795556505021"/>
        </right>
        <top style="thin">
          <color theme="0" tint="-0.14996795556505021"/>
        </top>
        <bottom style="thin">
          <color theme="0" tint="-0.14996795556505021"/>
        </bottom>
      </border>
    </dxf>
    <dxf>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5" tint="-0.24994659260841701"/>
      </font>
      <fill>
        <patternFill patternType="solid">
          <bgColor rgb="FFFFFF00"/>
        </patternFill>
      </fill>
    </dxf>
    <dxf>
      <font>
        <b/>
        <i val="0"/>
        <strike val="0"/>
        <u val="none"/>
        <color rgb="FFFF0000"/>
      </font>
      <fill>
        <patternFill patternType="solid">
          <bgColor rgb="FFFFFF00"/>
        </patternFill>
      </fill>
    </dxf>
    <dxf>
      <font>
        <b/>
        <i val="0"/>
        <strike val="0"/>
        <u val="none"/>
        <color rgb="FF00B0F0"/>
      </font>
      <fill>
        <patternFill patternType="solid">
          <bgColor rgb="FFFFFF00"/>
        </patternFill>
      </fill>
    </dxf>
    <dxf>
      <font>
        <b/>
        <i val="0"/>
        <strike val="0"/>
        <u val="none"/>
        <color theme="0"/>
      </font>
      <fill>
        <patternFill>
          <bgColor rgb="FFFF3399"/>
        </patternFill>
      </fill>
    </dxf>
    <dxf>
      <font>
        <b/>
        <i val="0"/>
        <strike val="0"/>
        <u val="none"/>
        <color theme="0"/>
      </font>
      <fill>
        <patternFill>
          <bgColor rgb="FFFF3399"/>
        </patternFill>
      </fill>
    </dxf>
    <dxf>
      <font>
        <b/>
        <i/>
        <strike val="0"/>
        <u val="none"/>
        <color theme="5" tint="-0.24994659260841701"/>
      </font>
      <fill>
        <patternFill>
          <bgColor rgb="FFFFFF00"/>
        </patternFill>
      </fill>
    </dxf>
    <dxf>
      <font>
        <b/>
        <i/>
        <strike val="0"/>
        <u val="none"/>
        <color rgb="FFFF0000"/>
      </font>
      <fill>
        <patternFill>
          <bgColor rgb="FFFFFF00"/>
        </patternFill>
      </fill>
    </dxf>
    <dxf>
      <font>
        <b/>
        <i val="0"/>
        <strike val="0"/>
        <u val="none"/>
        <color auto="1"/>
      </font>
      <fill>
        <patternFill patternType="solid">
          <bgColor theme="9" tint="0.59996337778862885"/>
        </patternFill>
      </fill>
    </dxf>
    <dxf>
      <font>
        <b/>
        <i/>
        <strike val="0"/>
        <u val="none"/>
        <color auto="1"/>
      </font>
      <fill>
        <patternFill patternType="solid">
          <bgColor rgb="FF00FF00"/>
        </patternFill>
      </fill>
    </dxf>
    <dxf>
      <font>
        <b/>
        <i/>
        <strike val="0"/>
        <u val="none"/>
        <color auto="1"/>
      </font>
      <fill>
        <patternFill patternType="solid">
          <bgColor rgb="FF00FF00"/>
        </patternFill>
      </fill>
    </dxf>
    <dxf>
      <font>
        <b/>
        <i val="0"/>
        <strike val="0"/>
        <u val="none"/>
        <color rgb="FFFF0000"/>
      </font>
      <fill>
        <patternFill>
          <bgColor rgb="FF00B0F0"/>
        </patternFill>
      </fill>
    </dxf>
    <dxf>
      <font>
        <b/>
        <i val="0"/>
        <strike val="0"/>
        <u val="none"/>
        <color rgb="FFFF0000"/>
      </font>
      <fill>
        <patternFill>
          <bgColor rgb="FF00B0F0"/>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rgb="FFFFC000"/>
      </font>
      <fill>
        <patternFill patternType="solid">
          <bgColor theme="7" tint="0.79998168889431442"/>
        </patternFill>
      </fill>
    </dxf>
    <dxf>
      <font>
        <b/>
        <i/>
        <strike val="0"/>
        <u val="none"/>
        <color rgb="FF19010C"/>
      </font>
      <fill>
        <patternFill patternType="solid">
          <bgColor rgb="FFF11343"/>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00B050"/>
      </font>
      <fill>
        <patternFill>
          <bgColor rgb="FFEAF1AB"/>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9966FF"/>
      </font>
      <fill>
        <patternFill>
          <bgColor rgb="FFB1DDEB"/>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00B0F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CC99FF"/>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7" tint="0.39991454817346722"/>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theme="9" tint="-0.2499465926084170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4" tint="0.3999450666829432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rgb="FF7E1389"/>
      </font>
      <fill>
        <patternFill>
          <bgColor rgb="FFFFAFB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rgb="FFEB2403"/>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1" tint="0.49998474074526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0"/>
      </font>
      <fill>
        <patternFill>
          <bgColor theme="5" tint="-0.2499465926084170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0"/>
      </font>
      <fill>
        <patternFill>
          <bgColor rgb="FFF632C7"/>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rgb="FF99FF33"/>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FF0000"/>
      </font>
      <fill>
        <patternFill patternType="solid">
          <bgColor theme="9" tint="0.59996337778862885"/>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7ED882"/>
        </patternFill>
      </fill>
      <border>
        <left style="thin">
          <color theme="0" tint="-0.14996795556505021"/>
        </left>
        <right style="thin">
          <color theme="0" tint="-0.14996795556505021"/>
        </right>
        <top style="thin">
          <color theme="0" tint="-0.14996795556505021"/>
        </top>
        <bottom style="thin">
          <color theme="0" tint="-0.14996795556505021"/>
        </bottom>
      </border>
    </dxf>
    <dxf>
      <font>
        <strike val="0"/>
        <color rgb="FF9C0006"/>
      </font>
      <fill>
        <patternFill>
          <bgColor theme="7" tint="0.39994506668294322"/>
        </patternFill>
      </fill>
    </dxf>
    <dxf>
      <font>
        <b/>
        <i val="0"/>
        <strike val="0"/>
        <u val="none"/>
        <color theme="0"/>
      </font>
      <fill>
        <patternFill patternType="solid">
          <bgColor theme="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FF99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patternType="solid">
          <bgColor rgb="FFFF99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rgb="FF92E7F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FF66CC"/>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0070C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1"/>
      </font>
      <fill>
        <patternFill>
          <bgColor rgb="FFFFFF00"/>
        </patternFill>
      </fill>
      <border>
        <left style="thin">
          <color theme="0" tint="-0.14996795556505021"/>
        </left>
        <right style="thin">
          <color theme="0" tint="-0.14996795556505021"/>
        </right>
        <top style="thin">
          <color theme="0" tint="-0.14996795556505021"/>
        </top>
        <bottom style="thin">
          <color theme="0" tint="-0.14996795556505021"/>
        </bottom>
      </border>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color auto="1"/>
      </font>
      <fill>
        <patternFill>
          <bgColor theme="9"/>
        </patternFill>
      </fill>
      <border>
        <left style="thin">
          <color theme="0" tint="-0.14996795556505021"/>
        </left>
        <right style="thin">
          <color theme="0" tint="-0.14996795556505021"/>
        </right>
        <top style="thin">
          <color theme="0" tint="-0.14996795556505021"/>
        </top>
        <bottom style="thin">
          <color theme="0" tint="-0.14996795556505021"/>
        </bottom>
      </border>
    </dxf>
    <dxf>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5" tint="-0.24994659260841701"/>
      </font>
      <fill>
        <patternFill patternType="solid">
          <bgColor rgb="FFFFFF00"/>
        </patternFill>
      </fill>
    </dxf>
    <dxf>
      <font>
        <b/>
        <i val="0"/>
        <strike val="0"/>
        <u val="none"/>
        <color rgb="FFFF0000"/>
      </font>
      <fill>
        <patternFill patternType="solid">
          <bgColor rgb="FFFFFF00"/>
        </patternFill>
      </fill>
    </dxf>
    <dxf>
      <font>
        <b/>
        <i val="0"/>
        <strike val="0"/>
        <u val="none"/>
        <color rgb="FF00B0F0"/>
      </font>
      <fill>
        <patternFill patternType="solid">
          <bgColor rgb="FFFFFF00"/>
        </patternFill>
      </fill>
    </dxf>
    <dxf>
      <font>
        <b/>
        <i val="0"/>
        <strike val="0"/>
        <u val="none"/>
        <color theme="0"/>
      </font>
      <fill>
        <patternFill>
          <bgColor rgb="FFFF3399"/>
        </patternFill>
      </fill>
    </dxf>
    <dxf>
      <font>
        <b/>
        <i val="0"/>
        <strike val="0"/>
        <u val="none"/>
        <color theme="0"/>
      </font>
      <fill>
        <patternFill>
          <bgColor rgb="FFFF3399"/>
        </patternFill>
      </fill>
    </dxf>
    <dxf>
      <font>
        <b/>
        <i/>
        <strike val="0"/>
        <u val="none"/>
        <color theme="5" tint="-0.24994659260841701"/>
      </font>
      <fill>
        <patternFill>
          <bgColor rgb="FFFFFF00"/>
        </patternFill>
      </fill>
    </dxf>
    <dxf>
      <font>
        <b/>
        <i/>
        <strike val="0"/>
        <u val="none"/>
        <color rgb="FFFF0000"/>
      </font>
      <fill>
        <patternFill>
          <bgColor rgb="FFFFFF00"/>
        </patternFill>
      </fill>
    </dxf>
    <dxf>
      <font>
        <b/>
        <i val="0"/>
        <strike val="0"/>
        <u val="none"/>
        <color auto="1"/>
      </font>
      <fill>
        <patternFill patternType="solid">
          <bgColor theme="9" tint="0.59996337778862885"/>
        </patternFill>
      </fill>
    </dxf>
    <dxf>
      <font>
        <b/>
        <i/>
        <strike val="0"/>
        <u val="none"/>
        <color auto="1"/>
      </font>
      <fill>
        <patternFill patternType="solid">
          <bgColor rgb="FF00FF00"/>
        </patternFill>
      </fill>
    </dxf>
    <dxf>
      <font>
        <b/>
        <i/>
        <strike val="0"/>
        <u val="none"/>
        <color auto="1"/>
      </font>
      <fill>
        <patternFill patternType="solid">
          <bgColor rgb="FF00FF00"/>
        </patternFill>
      </fill>
    </dxf>
    <dxf>
      <font>
        <b/>
        <i val="0"/>
        <strike val="0"/>
        <u val="none"/>
        <color rgb="FFFF0000"/>
      </font>
      <fill>
        <patternFill>
          <bgColor rgb="FF00B0F0"/>
        </patternFill>
      </fill>
    </dxf>
    <dxf>
      <font>
        <b/>
        <i val="0"/>
        <strike val="0"/>
        <u val="none"/>
        <color rgb="FFFF0000"/>
      </font>
      <fill>
        <patternFill>
          <bgColor rgb="FF00B0F0"/>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rgb="FFFFC000"/>
      </font>
      <fill>
        <patternFill patternType="solid">
          <bgColor theme="7" tint="0.79998168889431442"/>
        </patternFill>
      </fill>
    </dxf>
    <dxf>
      <font>
        <b/>
        <i/>
        <strike val="0"/>
        <u val="none"/>
        <color rgb="FF19010C"/>
      </font>
      <fill>
        <patternFill patternType="solid">
          <bgColor rgb="FFF11343"/>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00B050"/>
      </font>
      <fill>
        <patternFill>
          <bgColor rgb="FFEAF1AB"/>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9966FF"/>
      </font>
      <fill>
        <patternFill>
          <bgColor rgb="FFB1DDEB"/>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00B0F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CC99FF"/>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7" tint="0.39991454817346722"/>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theme="9" tint="-0.2499465926084170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4" tint="0.3999450666829432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rgb="FF7E1389"/>
      </font>
      <fill>
        <patternFill>
          <bgColor rgb="FFFFAFB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rgb="FFEB2403"/>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1" tint="0.49998474074526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0"/>
      </font>
      <fill>
        <patternFill>
          <bgColor theme="5" tint="-0.2499465926084170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0"/>
      </font>
      <fill>
        <patternFill>
          <bgColor rgb="FFF632C7"/>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rgb="FF99FF33"/>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FF0000"/>
      </font>
      <fill>
        <patternFill patternType="solid">
          <bgColor theme="9" tint="0.59996337778862885"/>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7ED882"/>
        </patternFill>
      </fill>
      <border>
        <left style="thin">
          <color theme="0" tint="-0.14996795556505021"/>
        </left>
        <right style="thin">
          <color theme="0" tint="-0.14996795556505021"/>
        </right>
        <top style="thin">
          <color theme="0" tint="-0.14996795556505021"/>
        </top>
        <bottom style="thin">
          <color theme="0" tint="-0.14996795556505021"/>
        </bottom>
      </border>
    </dxf>
    <dxf>
      <font>
        <strike val="0"/>
        <color rgb="FF9C0006"/>
      </font>
      <fill>
        <patternFill>
          <bgColor theme="7" tint="0.39994506668294322"/>
        </patternFill>
      </fill>
    </dxf>
    <dxf>
      <font>
        <b/>
        <i val="0"/>
        <strike val="0"/>
        <u val="none"/>
        <color theme="0"/>
      </font>
      <fill>
        <patternFill patternType="solid">
          <bgColor theme="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FF99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patternType="solid">
          <bgColor rgb="FFFF99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rgb="FF92E7F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FF66CC"/>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0070C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1"/>
      </font>
      <fill>
        <patternFill>
          <bgColor rgb="FFFFFF00"/>
        </patternFill>
      </fill>
      <border>
        <left style="thin">
          <color theme="0" tint="-0.14996795556505021"/>
        </left>
        <right style="thin">
          <color theme="0" tint="-0.14996795556505021"/>
        </right>
        <top style="thin">
          <color theme="0" tint="-0.14996795556505021"/>
        </top>
        <bottom style="thin">
          <color theme="0" tint="-0.14996795556505021"/>
        </bottom>
      </border>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color auto="1"/>
      </font>
      <fill>
        <patternFill>
          <bgColor theme="9"/>
        </patternFill>
      </fill>
      <border>
        <left style="thin">
          <color theme="0" tint="-0.14996795556505021"/>
        </left>
        <right style="thin">
          <color theme="0" tint="-0.14996795556505021"/>
        </right>
        <top style="thin">
          <color theme="0" tint="-0.14996795556505021"/>
        </top>
        <bottom style="thin">
          <color theme="0" tint="-0.14996795556505021"/>
        </bottom>
      </border>
    </dxf>
    <dxf>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border>
    </dxf>
    <dxf>
      <font>
        <color auto="1"/>
      </font>
      <fill>
        <patternFill>
          <bgColor theme="9" tint="0.59996337778862885"/>
        </patternFill>
      </fill>
      <border>
        <left style="thin">
          <color theme="2"/>
        </left>
        <right style="thin">
          <color theme="2"/>
        </right>
        <top style="thin">
          <color theme="2"/>
        </top>
        <bottom style="thin">
          <color theme="2"/>
        </bottom>
      </border>
    </dxf>
    <dxf>
      <fill>
        <patternFill>
          <bgColor rgb="FF00B050"/>
        </patternFill>
      </fill>
      <border>
        <left style="thin">
          <color theme="0" tint="-0.24994659260841701"/>
        </left>
        <right style="thin">
          <color theme="0" tint="-0.24994659260841701"/>
        </right>
        <top style="thin">
          <color theme="0" tint="-0.24994659260841701"/>
        </top>
        <bottom style="thin">
          <color theme="0" tint="-0.24994659260841701"/>
        </bottom>
      </border>
    </dxf>
    <dxf>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b/>
        <i val="0"/>
        <strike val="0"/>
        <u val="none"/>
        <color theme="5" tint="-0.24994659260841701"/>
      </font>
      <fill>
        <patternFill patternType="solid">
          <bgColor rgb="FFFFFF00"/>
        </patternFill>
      </fill>
    </dxf>
    <dxf>
      <font>
        <b/>
        <i val="0"/>
        <strike val="0"/>
        <u val="none"/>
        <color rgb="FFFF0000"/>
      </font>
      <fill>
        <patternFill patternType="solid">
          <bgColor rgb="FFFFFF00"/>
        </patternFill>
      </fill>
    </dxf>
    <dxf>
      <font>
        <b/>
        <i val="0"/>
        <strike val="0"/>
        <u val="none"/>
        <color rgb="FF00B0F0"/>
      </font>
      <fill>
        <patternFill patternType="solid">
          <bgColor rgb="FFFFFF00"/>
        </patternFill>
      </fill>
    </dxf>
    <dxf>
      <font>
        <b/>
        <i val="0"/>
        <strike val="0"/>
        <u val="none"/>
        <color theme="0"/>
      </font>
      <fill>
        <patternFill>
          <bgColor rgb="FFFF3399"/>
        </patternFill>
      </fill>
    </dxf>
    <dxf>
      <font>
        <b/>
        <i val="0"/>
        <strike val="0"/>
        <u val="none"/>
        <color theme="0"/>
      </font>
      <fill>
        <patternFill>
          <bgColor rgb="FFFF3399"/>
        </patternFill>
      </fill>
    </dxf>
    <dxf>
      <font>
        <b/>
        <i/>
        <strike val="0"/>
        <u val="none"/>
        <color theme="5" tint="-0.24994659260841701"/>
      </font>
      <fill>
        <patternFill>
          <bgColor rgb="FFFFFF00"/>
        </patternFill>
      </fill>
    </dxf>
    <dxf>
      <font>
        <b/>
        <i/>
        <strike val="0"/>
        <u val="none"/>
        <color rgb="FFFF0000"/>
      </font>
      <fill>
        <patternFill>
          <bgColor rgb="FFFFFF00"/>
        </patternFill>
      </fill>
    </dxf>
    <dxf>
      <font>
        <b/>
        <i val="0"/>
        <strike val="0"/>
        <u val="none"/>
        <color auto="1"/>
      </font>
      <fill>
        <patternFill patternType="solid">
          <bgColor theme="9" tint="0.59996337778862885"/>
        </patternFill>
      </fill>
    </dxf>
    <dxf>
      <font>
        <b/>
        <i/>
        <strike val="0"/>
        <u val="none"/>
        <color auto="1"/>
      </font>
      <fill>
        <patternFill patternType="solid">
          <bgColor rgb="FF00FF00"/>
        </patternFill>
      </fill>
    </dxf>
    <dxf>
      <font>
        <b/>
        <i/>
        <strike val="0"/>
        <u val="none"/>
        <color auto="1"/>
      </font>
      <fill>
        <patternFill patternType="solid">
          <bgColor rgb="FF00FF00"/>
        </patternFill>
      </fill>
    </dxf>
    <dxf>
      <font>
        <b/>
        <i val="0"/>
        <strike val="0"/>
        <u val="none"/>
        <color rgb="FFFF0000"/>
      </font>
      <fill>
        <patternFill>
          <bgColor rgb="FF00B0F0"/>
        </patternFill>
      </fill>
    </dxf>
    <dxf>
      <font>
        <b/>
        <i val="0"/>
        <strike val="0"/>
        <u val="none"/>
        <color rgb="FFFF0000"/>
      </font>
      <fill>
        <patternFill>
          <bgColor rgb="FF00B0F0"/>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rgb="FFFFC000"/>
      </font>
      <fill>
        <patternFill patternType="solid">
          <bgColor theme="7" tint="0.79998168889431442"/>
        </patternFill>
      </fill>
    </dxf>
    <dxf>
      <font>
        <b/>
        <i/>
        <strike val="0"/>
        <u val="none"/>
        <color rgb="FFFFC000"/>
      </font>
      <fill>
        <patternFill patternType="solid">
          <bgColor theme="7" tint="0.79998168889431442"/>
        </patternFill>
      </fill>
    </dxf>
    <dxf>
      <font>
        <b/>
        <i val="0"/>
        <strike val="0"/>
        <u val="none"/>
        <color rgb="FF00B050"/>
      </font>
      <fill>
        <patternFill>
          <bgColor rgb="FFEAF1AB"/>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9966FF"/>
      </font>
      <fill>
        <patternFill>
          <bgColor rgb="FFB1DDEB"/>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00B0F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CC99FF"/>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7" tint="0.39991454817346722"/>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theme="9" tint="-0.2499465926084170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4" tint="0.3999450666829432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rgb="FF7E1389"/>
      </font>
      <fill>
        <patternFill>
          <bgColor rgb="FFFFAFB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rgb="FFEB2403"/>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1" tint="0.49998474074526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0"/>
      </font>
      <fill>
        <patternFill>
          <bgColor theme="5" tint="-0.2499465926084170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0"/>
      </font>
      <fill>
        <patternFill>
          <bgColor rgb="FFF632C7"/>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rgb="FF99FF33"/>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FF0000"/>
      </font>
      <fill>
        <patternFill patternType="solid">
          <bgColor theme="9" tint="0.59996337778862885"/>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7ED882"/>
        </patternFill>
      </fill>
      <border>
        <left style="thin">
          <color theme="0" tint="-0.14996795556505021"/>
        </left>
        <right style="thin">
          <color theme="0" tint="-0.14996795556505021"/>
        </right>
        <top style="thin">
          <color theme="0" tint="-0.14996795556505021"/>
        </top>
        <bottom style="thin">
          <color theme="0" tint="-0.14996795556505021"/>
        </bottom>
      </border>
    </dxf>
    <dxf>
      <font>
        <strike val="0"/>
        <color rgb="FF9C0006"/>
      </font>
      <fill>
        <patternFill>
          <bgColor theme="7" tint="0.39994506668294322"/>
        </patternFill>
      </fill>
    </dxf>
    <dxf>
      <font>
        <b/>
        <i val="0"/>
        <strike val="0"/>
        <u val="none"/>
        <color theme="0"/>
      </font>
      <fill>
        <patternFill patternType="solid">
          <bgColor theme="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FF99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patternType="solid">
          <bgColor rgb="FFFF99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rgb="FF92E7F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FF66CC"/>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0070C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1"/>
      </font>
      <fill>
        <patternFill>
          <bgColor rgb="FFFFFF00"/>
        </patternFill>
      </fill>
      <border>
        <left style="thin">
          <color theme="0" tint="-0.14996795556505021"/>
        </left>
        <right style="thin">
          <color theme="0" tint="-0.14996795556505021"/>
        </right>
        <top style="thin">
          <color theme="0" tint="-0.14996795556505021"/>
        </top>
        <bottom style="thin">
          <color theme="0" tint="-0.14996795556505021"/>
        </bottom>
      </border>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color auto="1"/>
      </font>
      <fill>
        <patternFill>
          <bgColor theme="9"/>
        </patternFill>
      </fill>
      <border>
        <left style="thin">
          <color theme="0" tint="-0.14996795556505021"/>
        </left>
        <right style="thin">
          <color theme="0" tint="-0.14996795556505021"/>
        </right>
        <top style="thin">
          <color theme="0" tint="-0.14996795556505021"/>
        </top>
        <bottom style="thin">
          <color theme="0" tint="-0.14996795556505021"/>
        </bottom>
      </border>
    </dxf>
    <dxf>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border>
    </dxf>
    <dxf>
      <font>
        <color auto="1"/>
      </font>
      <fill>
        <patternFill>
          <bgColor theme="9" tint="0.59996337778862885"/>
        </patternFill>
      </fill>
      <border>
        <left style="thin">
          <color theme="2"/>
        </left>
        <right style="thin">
          <color theme="2"/>
        </right>
        <top style="thin">
          <color theme="2"/>
        </top>
        <bottom style="thin">
          <color theme="2"/>
        </bottom>
      </border>
    </dxf>
    <dxf>
      <fill>
        <patternFill>
          <bgColor rgb="FF00B050"/>
        </patternFill>
      </fill>
      <border>
        <left style="thin">
          <color theme="0" tint="-0.24994659260841701"/>
        </left>
        <right style="thin">
          <color theme="0" tint="-0.24994659260841701"/>
        </right>
        <top style="thin">
          <color theme="0" tint="-0.24994659260841701"/>
        </top>
        <bottom style="thin">
          <color theme="0" tint="-0.24994659260841701"/>
        </bottom>
      </border>
    </dxf>
    <dxf>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b/>
        <i val="0"/>
        <strike val="0"/>
        <u val="none"/>
        <color theme="5" tint="-0.24994659260841701"/>
      </font>
      <fill>
        <patternFill patternType="solid">
          <bgColor rgb="FFFFFF00"/>
        </patternFill>
      </fill>
    </dxf>
    <dxf>
      <font>
        <b/>
        <i val="0"/>
        <strike val="0"/>
        <u val="none"/>
        <color rgb="FFFF0000"/>
      </font>
      <fill>
        <patternFill patternType="solid">
          <bgColor rgb="FFFFFF00"/>
        </patternFill>
      </fill>
    </dxf>
    <dxf>
      <font>
        <b/>
        <i val="0"/>
        <strike val="0"/>
        <u val="none"/>
        <color rgb="FF00B0F0"/>
      </font>
      <fill>
        <patternFill patternType="solid">
          <bgColor rgb="FFFFFF00"/>
        </patternFill>
      </fill>
    </dxf>
    <dxf>
      <font>
        <b/>
        <i val="0"/>
        <strike val="0"/>
        <u val="none"/>
        <color theme="0"/>
      </font>
      <fill>
        <patternFill>
          <bgColor rgb="FFFF3399"/>
        </patternFill>
      </fill>
    </dxf>
    <dxf>
      <font>
        <b/>
        <i val="0"/>
        <strike val="0"/>
        <u val="none"/>
        <color theme="0"/>
      </font>
      <fill>
        <patternFill>
          <bgColor rgb="FFFF3399"/>
        </patternFill>
      </fill>
    </dxf>
    <dxf>
      <font>
        <b/>
        <i/>
        <strike val="0"/>
        <u val="none"/>
        <color theme="5" tint="-0.24994659260841701"/>
      </font>
      <fill>
        <patternFill>
          <bgColor rgb="FFFFFF00"/>
        </patternFill>
      </fill>
    </dxf>
    <dxf>
      <font>
        <b/>
        <i/>
        <strike val="0"/>
        <u val="none"/>
        <color rgb="FFFF0000"/>
      </font>
      <fill>
        <patternFill>
          <bgColor rgb="FFFFFF00"/>
        </patternFill>
      </fill>
    </dxf>
    <dxf>
      <font>
        <b/>
        <i val="0"/>
        <strike val="0"/>
        <u val="none"/>
        <color auto="1"/>
      </font>
      <fill>
        <patternFill patternType="solid">
          <bgColor theme="9" tint="0.59996337778862885"/>
        </patternFill>
      </fill>
    </dxf>
    <dxf>
      <font>
        <b/>
        <i/>
        <strike val="0"/>
        <u val="none"/>
        <color auto="1"/>
      </font>
      <fill>
        <patternFill patternType="solid">
          <bgColor rgb="FF00FF00"/>
        </patternFill>
      </fill>
    </dxf>
    <dxf>
      <font>
        <b/>
        <i/>
        <strike val="0"/>
        <u val="none"/>
        <color auto="1"/>
      </font>
      <fill>
        <patternFill patternType="solid">
          <bgColor rgb="FF00FF00"/>
        </patternFill>
      </fill>
    </dxf>
    <dxf>
      <font>
        <b/>
        <i val="0"/>
        <strike val="0"/>
        <u val="none"/>
        <color rgb="FFFF0000"/>
      </font>
      <fill>
        <patternFill>
          <bgColor rgb="FF00B0F0"/>
        </patternFill>
      </fill>
    </dxf>
    <dxf>
      <font>
        <b/>
        <i val="0"/>
        <strike val="0"/>
        <u val="none"/>
        <color rgb="FFFF0000"/>
      </font>
      <fill>
        <patternFill>
          <bgColor rgb="FF00B0F0"/>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rgb="FFFFC000"/>
      </font>
      <fill>
        <patternFill patternType="solid">
          <bgColor theme="7" tint="0.79998168889431442"/>
        </patternFill>
      </fill>
    </dxf>
    <dxf>
      <font>
        <b/>
        <i/>
        <strike val="0"/>
        <u val="none"/>
        <color rgb="FFFFC000"/>
      </font>
      <fill>
        <patternFill patternType="solid">
          <bgColor theme="7" tint="0.79998168889431442"/>
        </patternFill>
      </fill>
    </dxf>
    <dxf>
      <font>
        <b/>
        <i val="0"/>
        <strike val="0"/>
        <u val="none"/>
        <color rgb="FF00B050"/>
      </font>
      <fill>
        <patternFill>
          <bgColor rgb="FFEAF1AB"/>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9966FF"/>
      </font>
      <fill>
        <patternFill>
          <bgColor rgb="FFB1DDEB"/>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00B0F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CC99FF"/>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7" tint="0.39991454817346722"/>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theme="9" tint="-0.2499465926084170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4" tint="0.3999450666829432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rgb="FF7E1389"/>
      </font>
      <fill>
        <patternFill>
          <bgColor rgb="FFFFAFB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rgb="FFEB2403"/>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1" tint="0.49998474074526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0"/>
      </font>
      <fill>
        <patternFill>
          <bgColor theme="5" tint="-0.2499465926084170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0"/>
      </font>
      <fill>
        <patternFill>
          <bgColor rgb="FFF632C7"/>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rgb="FF99FF33"/>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FF0000"/>
      </font>
      <fill>
        <patternFill patternType="solid">
          <bgColor theme="9" tint="0.59996337778862885"/>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7ED882"/>
        </patternFill>
      </fill>
      <border>
        <left style="thin">
          <color theme="0" tint="-0.14996795556505021"/>
        </left>
        <right style="thin">
          <color theme="0" tint="-0.14996795556505021"/>
        </right>
        <top style="thin">
          <color theme="0" tint="-0.14996795556505021"/>
        </top>
        <bottom style="thin">
          <color theme="0" tint="-0.14996795556505021"/>
        </bottom>
      </border>
    </dxf>
    <dxf>
      <font>
        <strike val="0"/>
        <color rgb="FF9C0006"/>
      </font>
      <fill>
        <patternFill>
          <bgColor theme="7" tint="0.39994506668294322"/>
        </patternFill>
      </fill>
    </dxf>
    <dxf>
      <font>
        <b/>
        <i val="0"/>
        <strike val="0"/>
        <u val="none"/>
        <color theme="0"/>
      </font>
      <fill>
        <patternFill patternType="solid">
          <bgColor theme="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FF99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patternType="solid">
          <bgColor rgb="FFFF99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rgb="FF92E7F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FF66CC"/>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0070C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1"/>
      </font>
      <fill>
        <patternFill>
          <bgColor rgb="FFFFFF00"/>
        </patternFill>
      </fill>
      <border>
        <left style="thin">
          <color theme="0" tint="-0.14996795556505021"/>
        </left>
        <right style="thin">
          <color theme="0" tint="-0.14996795556505021"/>
        </right>
        <top style="thin">
          <color theme="0" tint="-0.14996795556505021"/>
        </top>
        <bottom style="thin">
          <color theme="0" tint="-0.14996795556505021"/>
        </bottom>
      </border>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color auto="1"/>
      </font>
      <fill>
        <patternFill>
          <bgColor theme="9"/>
        </patternFill>
      </fill>
      <border>
        <left style="thin">
          <color theme="0" tint="-0.14996795556505021"/>
        </left>
        <right style="thin">
          <color theme="0" tint="-0.14996795556505021"/>
        </right>
        <top style="thin">
          <color theme="0" tint="-0.14996795556505021"/>
        </top>
        <bottom style="thin">
          <color theme="0" tint="-0.14996795556505021"/>
        </bottom>
      </border>
    </dxf>
    <dxf>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border>
    </dxf>
    <dxf>
      <font>
        <color auto="1"/>
      </font>
      <fill>
        <patternFill>
          <bgColor theme="9" tint="0.59996337778862885"/>
        </patternFill>
      </fill>
      <border>
        <left style="thin">
          <color theme="2"/>
        </left>
        <right style="thin">
          <color theme="2"/>
        </right>
        <top style="thin">
          <color theme="2"/>
        </top>
        <bottom style="thin">
          <color theme="2"/>
        </bottom>
      </border>
    </dxf>
    <dxf>
      <fill>
        <patternFill>
          <bgColor rgb="FF00B050"/>
        </patternFill>
      </fill>
      <border>
        <left style="thin">
          <color theme="0" tint="-0.24994659260841701"/>
        </left>
        <right style="thin">
          <color theme="0" tint="-0.24994659260841701"/>
        </right>
        <top style="thin">
          <color theme="0" tint="-0.24994659260841701"/>
        </top>
        <bottom style="thin">
          <color theme="0" tint="-0.24994659260841701"/>
        </bottom>
      </border>
    </dxf>
    <dxf>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b/>
        <i val="0"/>
        <strike val="0"/>
        <u val="none"/>
        <color theme="5" tint="-0.24994659260841701"/>
      </font>
      <fill>
        <patternFill patternType="solid">
          <bgColor rgb="FFFFFF00"/>
        </patternFill>
      </fill>
    </dxf>
    <dxf>
      <font>
        <b/>
        <i val="0"/>
        <strike val="0"/>
        <u val="none"/>
        <color rgb="FFFF0000"/>
      </font>
      <fill>
        <patternFill patternType="solid">
          <bgColor rgb="FFFFFF00"/>
        </patternFill>
      </fill>
    </dxf>
    <dxf>
      <font>
        <b/>
        <i val="0"/>
        <strike val="0"/>
        <u val="none"/>
        <color rgb="FF00B0F0"/>
      </font>
      <fill>
        <patternFill patternType="solid">
          <bgColor rgb="FFFFFF00"/>
        </patternFill>
      </fill>
    </dxf>
    <dxf>
      <font>
        <b/>
        <i val="0"/>
        <strike val="0"/>
        <u val="none"/>
        <color theme="0"/>
      </font>
      <fill>
        <patternFill>
          <bgColor rgb="FFFF3399"/>
        </patternFill>
      </fill>
    </dxf>
    <dxf>
      <font>
        <b/>
        <i val="0"/>
        <strike val="0"/>
        <u val="none"/>
        <color theme="0"/>
      </font>
      <fill>
        <patternFill>
          <bgColor rgb="FFFF3399"/>
        </patternFill>
      </fill>
    </dxf>
    <dxf>
      <font>
        <b/>
        <i/>
        <strike val="0"/>
        <u val="none"/>
        <color theme="5" tint="-0.24994659260841701"/>
      </font>
      <fill>
        <patternFill>
          <bgColor rgb="FFFFFF00"/>
        </patternFill>
      </fill>
    </dxf>
    <dxf>
      <font>
        <b/>
        <i/>
        <strike val="0"/>
        <u val="none"/>
        <color rgb="FFFF0000"/>
      </font>
      <fill>
        <patternFill>
          <bgColor rgb="FFFFFF00"/>
        </patternFill>
      </fill>
    </dxf>
    <dxf>
      <font>
        <b/>
        <i val="0"/>
        <strike val="0"/>
        <u val="none"/>
        <color auto="1"/>
      </font>
      <fill>
        <patternFill patternType="solid">
          <bgColor theme="9" tint="0.59996337778862885"/>
        </patternFill>
      </fill>
    </dxf>
    <dxf>
      <font>
        <b/>
        <i/>
        <strike val="0"/>
        <u val="none"/>
        <color auto="1"/>
      </font>
      <fill>
        <patternFill patternType="solid">
          <bgColor rgb="FF00FF00"/>
        </patternFill>
      </fill>
    </dxf>
    <dxf>
      <font>
        <b/>
        <i/>
        <strike val="0"/>
        <u val="none"/>
        <color auto="1"/>
      </font>
      <fill>
        <patternFill patternType="solid">
          <bgColor rgb="FF00FF00"/>
        </patternFill>
      </fill>
    </dxf>
    <dxf>
      <font>
        <b/>
        <i val="0"/>
        <strike val="0"/>
        <u val="none"/>
        <color rgb="FFFF0000"/>
      </font>
      <fill>
        <patternFill>
          <bgColor rgb="FF00B0F0"/>
        </patternFill>
      </fill>
    </dxf>
    <dxf>
      <font>
        <b/>
        <i val="0"/>
        <strike val="0"/>
        <u val="none"/>
        <color rgb="FFFF0000"/>
      </font>
      <fill>
        <patternFill>
          <bgColor rgb="FF00B0F0"/>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rgb="FFFFC000"/>
      </font>
      <fill>
        <patternFill patternType="solid">
          <bgColor theme="7" tint="0.79998168889431442"/>
        </patternFill>
      </fill>
    </dxf>
    <dxf>
      <font>
        <b/>
        <i/>
        <strike val="0"/>
        <u val="none"/>
        <color rgb="FFFFC000"/>
      </font>
      <fill>
        <patternFill patternType="solid">
          <bgColor theme="7" tint="0.79998168889431442"/>
        </patternFill>
      </fill>
    </dxf>
    <dxf>
      <font>
        <b/>
        <i val="0"/>
        <strike val="0"/>
        <u val="none"/>
        <color rgb="FF00B050"/>
      </font>
      <fill>
        <patternFill>
          <bgColor rgb="FFEAF1AB"/>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9966FF"/>
      </font>
      <fill>
        <patternFill>
          <bgColor rgb="FFB1DDEB"/>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00B0F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CC99FF"/>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7" tint="0.39991454817346722"/>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theme="9" tint="-0.2499465926084170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4" tint="0.3999450666829432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rgb="FF7E1389"/>
      </font>
      <fill>
        <patternFill>
          <bgColor rgb="FFFFAFB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rgb="FFEB2403"/>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1" tint="0.49998474074526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0"/>
      </font>
      <fill>
        <patternFill>
          <bgColor theme="5" tint="-0.2499465926084170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0"/>
      </font>
      <fill>
        <patternFill>
          <bgColor rgb="FFF632C7"/>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rgb="FF99FF33"/>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FF0000"/>
      </font>
      <fill>
        <patternFill patternType="solid">
          <bgColor theme="9" tint="0.59996337778862885"/>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7ED882"/>
        </patternFill>
      </fill>
      <border>
        <left style="thin">
          <color theme="0" tint="-0.14996795556505021"/>
        </left>
        <right style="thin">
          <color theme="0" tint="-0.14996795556505021"/>
        </right>
        <top style="thin">
          <color theme="0" tint="-0.14996795556505021"/>
        </top>
        <bottom style="thin">
          <color theme="0" tint="-0.14996795556505021"/>
        </bottom>
      </border>
    </dxf>
    <dxf>
      <font>
        <strike val="0"/>
        <color rgb="FF9C0006"/>
      </font>
      <fill>
        <patternFill>
          <bgColor theme="7" tint="0.39994506668294322"/>
        </patternFill>
      </fill>
    </dxf>
    <dxf>
      <font>
        <b/>
        <i val="0"/>
        <strike val="0"/>
        <u val="none"/>
        <color theme="0"/>
      </font>
      <fill>
        <patternFill patternType="solid">
          <bgColor theme="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FF99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patternType="solid">
          <bgColor rgb="FFFF99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rgb="FF92E7F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FF66CC"/>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0070C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1"/>
      </font>
      <fill>
        <patternFill>
          <bgColor rgb="FFFFFF00"/>
        </patternFill>
      </fill>
      <border>
        <left style="thin">
          <color theme="0" tint="-0.14996795556505021"/>
        </left>
        <right style="thin">
          <color theme="0" tint="-0.14996795556505021"/>
        </right>
        <top style="thin">
          <color theme="0" tint="-0.14996795556505021"/>
        </top>
        <bottom style="thin">
          <color theme="0" tint="-0.14996795556505021"/>
        </bottom>
      </border>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color auto="1"/>
      </font>
      <fill>
        <patternFill>
          <bgColor theme="9"/>
        </patternFill>
      </fill>
      <border>
        <left style="thin">
          <color theme="0" tint="-0.14996795556505021"/>
        </left>
        <right style="thin">
          <color theme="0" tint="-0.14996795556505021"/>
        </right>
        <top style="thin">
          <color theme="0" tint="-0.14996795556505021"/>
        </top>
        <bottom style="thin">
          <color theme="0" tint="-0.14996795556505021"/>
        </bottom>
      </border>
    </dxf>
    <dxf>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border>
    </dxf>
    <dxf>
      <font>
        <color auto="1"/>
      </font>
      <fill>
        <patternFill>
          <bgColor theme="9" tint="0.59996337778862885"/>
        </patternFill>
      </fill>
      <border>
        <left style="thin">
          <color theme="2"/>
        </left>
        <right style="thin">
          <color theme="2"/>
        </right>
        <top style="thin">
          <color theme="2"/>
        </top>
        <bottom style="thin">
          <color theme="2"/>
        </bottom>
      </border>
    </dxf>
    <dxf>
      <fill>
        <patternFill>
          <bgColor rgb="FF00B050"/>
        </patternFill>
      </fill>
      <border>
        <left style="thin">
          <color theme="0" tint="-0.24994659260841701"/>
        </left>
        <right style="thin">
          <color theme="0" tint="-0.24994659260841701"/>
        </right>
        <top style="thin">
          <color theme="0" tint="-0.24994659260841701"/>
        </top>
        <bottom style="thin">
          <color theme="0" tint="-0.24994659260841701"/>
        </bottom>
      </border>
    </dxf>
    <dxf>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b/>
        <i val="0"/>
        <strike val="0"/>
        <u val="none"/>
        <color theme="5" tint="-0.24994659260841701"/>
      </font>
      <fill>
        <patternFill patternType="solid">
          <bgColor rgb="FFFFFF00"/>
        </patternFill>
      </fill>
    </dxf>
    <dxf>
      <font>
        <b/>
        <i val="0"/>
        <strike val="0"/>
        <u val="none"/>
        <color rgb="FFFF0000"/>
      </font>
      <fill>
        <patternFill patternType="solid">
          <bgColor rgb="FFFFFF00"/>
        </patternFill>
      </fill>
    </dxf>
    <dxf>
      <font>
        <b/>
        <i val="0"/>
        <strike val="0"/>
        <u val="none"/>
        <color rgb="FF00B0F0"/>
      </font>
      <fill>
        <patternFill patternType="solid">
          <bgColor rgb="FFFFFF00"/>
        </patternFill>
      </fill>
    </dxf>
    <dxf>
      <font>
        <b/>
        <i val="0"/>
        <strike val="0"/>
        <u val="none"/>
        <color theme="0"/>
      </font>
      <fill>
        <patternFill>
          <bgColor rgb="FFFF3399"/>
        </patternFill>
      </fill>
    </dxf>
    <dxf>
      <font>
        <b/>
        <i val="0"/>
        <strike val="0"/>
        <u val="none"/>
        <color theme="0"/>
      </font>
      <fill>
        <patternFill>
          <bgColor rgb="FFFF3399"/>
        </patternFill>
      </fill>
    </dxf>
    <dxf>
      <font>
        <b/>
        <i/>
        <strike val="0"/>
        <u val="none"/>
        <color theme="5" tint="-0.24994659260841701"/>
      </font>
      <fill>
        <patternFill>
          <bgColor rgb="FFFFFF00"/>
        </patternFill>
      </fill>
    </dxf>
    <dxf>
      <font>
        <b/>
        <i/>
        <strike val="0"/>
        <u val="none"/>
        <color rgb="FFFF0000"/>
      </font>
      <fill>
        <patternFill>
          <bgColor rgb="FFFFFF00"/>
        </patternFill>
      </fill>
    </dxf>
    <dxf>
      <font>
        <b/>
        <i val="0"/>
        <strike val="0"/>
        <u val="none"/>
        <color auto="1"/>
      </font>
      <fill>
        <patternFill patternType="solid">
          <bgColor theme="9" tint="0.59996337778862885"/>
        </patternFill>
      </fill>
    </dxf>
    <dxf>
      <font>
        <b/>
        <i/>
        <strike val="0"/>
        <u val="none"/>
        <color auto="1"/>
      </font>
      <fill>
        <patternFill patternType="solid">
          <bgColor rgb="FF00FF00"/>
        </patternFill>
      </fill>
    </dxf>
    <dxf>
      <font>
        <b/>
        <i/>
        <strike val="0"/>
        <u val="none"/>
        <color auto="1"/>
      </font>
      <fill>
        <patternFill patternType="solid">
          <bgColor rgb="FF00FF00"/>
        </patternFill>
      </fill>
    </dxf>
    <dxf>
      <font>
        <b/>
        <i val="0"/>
        <strike val="0"/>
        <u val="none"/>
        <color rgb="FFFF0000"/>
      </font>
      <fill>
        <patternFill>
          <bgColor rgb="FF00B0F0"/>
        </patternFill>
      </fill>
    </dxf>
    <dxf>
      <font>
        <b/>
        <i val="0"/>
        <strike val="0"/>
        <u val="none"/>
        <color rgb="FFFF0000"/>
      </font>
      <fill>
        <patternFill>
          <bgColor rgb="FF00B0F0"/>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rgb="FFFFC000"/>
      </font>
      <fill>
        <patternFill patternType="solid">
          <bgColor theme="7" tint="0.79998168889431442"/>
        </patternFill>
      </fill>
    </dxf>
    <dxf>
      <font>
        <b/>
        <i/>
        <strike val="0"/>
        <u val="none"/>
        <color rgb="FFFFC000"/>
      </font>
      <fill>
        <patternFill patternType="solid">
          <bgColor theme="7" tint="0.79998168889431442"/>
        </patternFill>
      </fill>
    </dxf>
    <dxf>
      <font>
        <b/>
        <i val="0"/>
        <strike val="0"/>
        <u val="none"/>
        <color rgb="FF00B050"/>
      </font>
      <fill>
        <patternFill>
          <bgColor rgb="FFEAF1AB"/>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9966FF"/>
      </font>
      <fill>
        <patternFill>
          <bgColor rgb="FFB1DDEB"/>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00B0F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CC99FF"/>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7" tint="0.39991454817346722"/>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theme="9" tint="-0.2499465926084170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4" tint="0.3999450666829432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rgb="FF7E1389"/>
      </font>
      <fill>
        <patternFill>
          <bgColor rgb="FFFFAFB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rgb="FFEB2403"/>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1" tint="0.49998474074526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0"/>
      </font>
      <fill>
        <patternFill>
          <bgColor theme="5" tint="-0.2499465926084170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0"/>
      </font>
      <fill>
        <patternFill>
          <bgColor rgb="FFF632C7"/>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rgb="FF99FF33"/>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FF0000"/>
      </font>
      <fill>
        <patternFill patternType="solid">
          <bgColor theme="9" tint="0.59996337778862885"/>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7ED882"/>
        </patternFill>
      </fill>
      <border>
        <left style="thin">
          <color theme="0" tint="-0.14996795556505021"/>
        </left>
        <right style="thin">
          <color theme="0" tint="-0.14996795556505021"/>
        </right>
        <top style="thin">
          <color theme="0" tint="-0.14996795556505021"/>
        </top>
        <bottom style="thin">
          <color theme="0" tint="-0.14996795556505021"/>
        </bottom>
      </border>
    </dxf>
    <dxf>
      <font>
        <strike val="0"/>
        <color rgb="FF9C0006"/>
      </font>
      <fill>
        <patternFill>
          <bgColor theme="7" tint="0.39994506668294322"/>
        </patternFill>
      </fill>
    </dxf>
    <dxf>
      <font>
        <b/>
        <i val="0"/>
        <strike val="0"/>
        <u val="none"/>
        <color theme="0"/>
      </font>
      <fill>
        <patternFill patternType="solid">
          <bgColor theme="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FF99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patternType="solid">
          <bgColor rgb="FFFF99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rgb="FF92E7F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FF66CC"/>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0070C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1"/>
      </font>
      <fill>
        <patternFill>
          <bgColor rgb="FFFFFF00"/>
        </patternFill>
      </fill>
      <border>
        <left style="thin">
          <color theme="0" tint="-0.14996795556505021"/>
        </left>
        <right style="thin">
          <color theme="0" tint="-0.14996795556505021"/>
        </right>
        <top style="thin">
          <color theme="0" tint="-0.14996795556505021"/>
        </top>
        <bottom style="thin">
          <color theme="0" tint="-0.14996795556505021"/>
        </bottom>
      </border>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color auto="1"/>
      </font>
      <fill>
        <patternFill>
          <bgColor theme="9"/>
        </patternFill>
      </fill>
      <border>
        <left style="thin">
          <color theme="0" tint="-0.14996795556505021"/>
        </left>
        <right style="thin">
          <color theme="0" tint="-0.14996795556505021"/>
        </right>
        <top style="thin">
          <color theme="0" tint="-0.14996795556505021"/>
        </top>
        <bottom style="thin">
          <color theme="0" tint="-0.14996795556505021"/>
        </bottom>
      </border>
    </dxf>
    <dxf>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border>
    </dxf>
    <dxf>
      <font>
        <color auto="1"/>
      </font>
      <fill>
        <patternFill>
          <bgColor theme="9" tint="0.59996337778862885"/>
        </patternFill>
      </fill>
      <border>
        <left style="thin">
          <color theme="2"/>
        </left>
        <right style="thin">
          <color theme="2"/>
        </right>
        <top style="thin">
          <color theme="2"/>
        </top>
        <bottom style="thin">
          <color theme="2"/>
        </bottom>
      </border>
    </dxf>
    <dxf>
      <fill>
        <patternFill>
          <bgColor rgb="FF00B050"/>
        </patternFill>
      </fill>
      <border>
        <left style="thin">
          <color theme="0" tint="-0.24994659260841701"/>
        </left>
        <right style="thin">
          <color theme="0" tint="-0.24994659260841701"/>
        </right>
        <top style="thin">
          <color theme="0" tint="-0.24994659260841701"/>
        </top>
        <bottom style="thin">
          <color theme="0" tint="-0.24994659260841701"/>
        </bottom>
      </border>
    </dxf>
    <dxf>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b/>
        <i val="0"/>
        <strike val="0"/>
        <u val="none"/>
        <color theme="5" tint="-0.24994659260841701"/>
      </font>
      <fill>
        <patternFill patternType="solid">
          <bgColor rgb="FFFFFF00"/>
        </patternFill>
      </fill>
    </dxf>
    <dxf>
      <font>
        <b/>
        <i val="0"/>
        <strike val="0"/>
        <u val="none"/>
        <color rgb="FFFF0000"/>
      </font>
      <fill>
        <patternFill patternType="solid">
          <bgColor rgb="FFFFFF00"/>
        </patternFill>
      </fill>
    </dxf>
    <dxf>
      <font>
        <b/>
        <i val="0"/>
        <strike val="0"/>
        <u val="none"/>
        <color rgb="FF00B0F0"/>
      </font>
      <fill>
        <patternFill patternType="solid">
          <bgColor rgb="FFFFFF00"/>
        </patternFill>
      </fill>
    </dxf>
    <dxf>
      <font>
        <b/>
        <i val="0"/>
        <strike val="0"/>
        <u val="none"/>
        <color theme="0"/>
      </font>
      <fill>
        <patternFill>
          <bgColor rgb="FFFF3399"/>
        </patternFill>
      </fill>
    </dxf>
    <dxf>
      <font>
        <b/>
        <i val="0"/>
        <strike val="0"/>
        <u val="none"/>
        <color theme="0"/>
      </font>
      <fill>
        <patternFill>
          <bgColor rgb="FFFF3399"/>
        </patternFill>
      </fill>
    </dxf>
    <dxf>
      <font>
        <b/>
        <i/>
        <strike val="0"/>
        <u val="none"/>
        <color theme="5" tint="-0.24994659260841701"/>
      </font>
      <fill>
        <patternFill>
          <bgColor rgb="FFFFFF00"/>
        </patternFill>
      </fill>
    </dxf>
    <dxf>
      <font>
        <b/>
        <i/>
        <strike val="0"/>
        <u val="none"/>
        <color rgb="FFFF0000"/>
      </font>
      <fill>
        <patternFill>
          <bgColor rgb="FFFFFF00"/>
        </patternFill>
      </fill>
    </dxf>
    <dxf>
      <font>
        <b/>
        <i val="0"/>
        <strike val="0"/>
        <u val="none"/>
        <color auto="1"/>
      </font>
      <fill>
        <patternFill patternType="solid">
          <bgColor theme="9" tint="0.59996337778862885"/>
        </patternFill>
      </fill>
    </dxf>
    <dxf>
      <font>
        <b/>
        <i/>
        <strike val="0"/>
        <u val="none"/>
        <color auto="1"/>
      </font>
      <fill>
        <patternFill patternType="solid">
          <bgColor rgb="FF00FF00"/>
        </patternFill>
      </fill>
    </dxf>
    <dxf>
      <font>
        <b/>
        <i/>
        <strike val="0"/>
        <u val="none"/>
        <color auto="1"/>
      </font>
      <fill>
        <patternFill patternType="solid">
          <bgColor rgb="FF00FF00"/>
        </patternFill>
      </fill>
    </dxf>
    <dxf>
      <font>
        <b/>
        <i val="0"/>
        <strike val="0"/>
        <u val="none"/>
        <color rgb="FFFF0000"/>
      </font>
      <fill>
        <patternFill>
          <bgColor rgb="FF00B0F0"/>
        </patternFill>
      </fill>
    </dxf>
    <dxf>
      <font>
        <b/>
        <i val="0"/>
        <strike val="0"/>
        <u val="none"/>
        <color rgb="FFFF0000"/>
      </font>
      <fill>
        <patternFill>
          <bgColor rgb="FF00B0F0"/>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rgb="FFFFC000"/>
      </font>
      <fill>
        <patternFill patternType="solid">
          <bgColor theme="7" tint="0.79998168889431442"/>
        </patternFill>
      </fill>
    </dxf>
    <dxf>
      <font>
        <b/>
        <i/>
        <strike val="0"/>
        <u val="none"/>
        <color rgb="FFFFC000"/>
      </font>
      <fill>
        <patternFill patternType="solid">
          <bgColor theme="7" tint="0.79998168889431442"/>
        </patternFill>
      </fill>
    </dxf>
    <dxf>
      <font>
        <b/>
        <i val="0"/>
        <strike val="0"/>
        <u val="none"/>
        <color rgb="FF00B050"/>
      </font>
      <fill>
        <patternFill>
          <bgColor rgb="FFEAF1AB"/>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9966FF"/>
      </font>
      <fill>
        <patternFill>
          <bgColor rgb="FFB1DDEB"/>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00B0F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CC99FF"/>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7" tint="0.39991454817346722"/>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theme="9" tint="-0.2499465926084170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4" tint="0.3999450666829432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rgb="FF7E1389"/>
      </font>
      <fill>
        <patternFill>
          <bgColor rgb="FFFFAFB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rgb="FFEB2403"/>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1" tint="0.49998474074526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0"/>
      </font>
      <fill>
        <patternFill>
          <bgColor theme="5" tint="-0.2499465926084170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0"/>
      </font>
      <fill>
        <patternFill>
          <bgColor rgb="FFF632C7"/>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rgb="FF99FF33"/>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FF0000"/>
      </font>
      <fill>
        <patternFill patternType="solid">
          <bgColor theme="9" tint="0.59996337778862885"/>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7ED882"/>
        </patternFill>
      </fill>
      <border>
        <left style="thin">
          <color theme="0" tint="-0.14996795556505021"/>
        </left>
        <right style="thin">
          <color theme="0" tint="-0.14996795556505021"/>
        </right>
        <top style="thin">
          <color theme="0" tint="-0.14996795556505021"/>
        </top>
        <bottom style="thin">
          <color theme="0" tint="-0.14996795556505021"/>
        </bottom>
      </border>
    </dxf>
    <dxf>
      <font>
        <strike val="0"/>
        <color rgb="FF9C0006"/>
      </font>
      <fill>
        <patternFill>
          <bgColor theme="7" tint="0.39994506668294322"/>
        </patternFill>
      </fill>
    </dxf>
    <dxf>
      <font>
        <b/>
        <i val="0"/>
        <strike val="0"/>
        <u val="none"/>
        <color theme="0"/>
      </font>
      <fill>
        <patternFill patternType="solid">
          <bgColor theme="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FF99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patternType="solid">
          <bgColor rgb="FFFF99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rgb="FF92E7F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FF66CC"/>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0070C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1"/>
      </font>
      <fill>
        <patternFill>
          <bgColor rgb="FFFFFF00"/>
        </patternFill>
      </fill>
      <border>
        <left style="thin">
          <color theme="0" tint="-0.14996795556505021"/>
        </left>
        <right style="thin">
          <color theme="0" tint="-0.14996795556505021"/>
        </right>
        <top style="thin">
          <color theme="0" tint="-0.14996795556505021"/>
        </top>
        <bottom style="thin">
          <color theme="0" tint="-0.14996795556505021"/>
        </bottom>
      </border>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color auto="1"/>
      </font>
      <fill>
        <patternFill>
          <bgColor theme="9"/>
        </patternFill>
      </fill>
      <border>
        <left style="thin">
          <color theme="0" tint="-0.14996795556505021"/>
        </left>
        <right style="thin">
          <color theme="0" tint="-0.14996795556505021"/>
        </right>
        <top style="thin">
          <color theme="0" tint="-0.14996795556505021"/>
        </top>
        <bottom style="thin">
          <color theme="0" tint="-0.14996795556505021"/>
        </bottom>
      </border>
    </dxf>
    <dxf>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border>
    </dxf>
    <dxf>
      <font>
        <color auto="1"/>
      </font>
      <fill>
        <patternFill>
          <bgColor theme="9" tint="0.59996337778862885"/>
        </patternFill>
      </fill>
      <border>
        <left style="thin">
          <color theme="2"/>
        </left>
        <right style="thin">
          <color theme="2"/>
        </right>
        <top style="thin">
          <color theme="2"/>
        </top>
        <bottom style="thin">
          <color theme="2"/>
        </bottom>
      </border>
    </dxf>
    <dxf>
      <fill>
        <patternFill>
          <bgColor rgb="FF00B050"/>
        </patternFill>
      </fill>
      <border>
        <left style="thin">
          <color theme="0" tint="-0.24994659260841701"/>
        </left>
        <right style="thin">
          <color theme="0" tint="-0.24994659260841701"/>
        </right>
        <top style="thin">
          <color theme="0" tint="-0.24994659260841701"/>
        </top>
        <bottom style="thin">
          <color theme="0" tint="-0.24994659260841701"/>
        </bottom>
      </border>
    </dxf>
    <dxf>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b/>
        <i val="0"/>
        <strike val="0"/>
        <u val="none"/>
        <color theme="5" tint="-0.24994659260841701"/>
      </font>
      <fill>
        <patternFill patternType="solid">
          <bgColor rgb="FFFFFF00"/>
        </patternFill>
      </fill>
    </dxf>
    <dxf>
      <font>
        <b/>
        <i val="0"/>
        <strike val="0"/>
        <u val="none"/>
        <color rgb="FFFF0000"/>
      </font>
      <fill>
        <patternFill patternType="solid">
          <bgColor rgb="FFFFFF00"/>
        </patternFill>
      </fill>
    </dxf>
    <dxf>
      <font>
        <b/>
        <i val="0"/>
        <strike val="0"/>
        <u val="none"/>
        <color rgb="FF00B0F0"/>
      </font>
      <fill>
        <patternFill patternType="solid">
          <bgColor rgb="FFFFFF00"/>
        </patternFill>
      </fill>
    </dxf>
    <dxf>
      <font>
        <b/>
        <i val="0"/>
        <strike val="0"/>
        <u val="none"/>
        <color theme="0"/>
      </font>
      <fill>
        <patternFill>
          <bgColor rgb="FFFF3399"/>
        </patternFill>
      </fill>
    </dxf>
    <dxf>
      <font>
        <b/>
        <i val="0"/>
        <strike val="0"/>
        <u val="none"/>
        <color theme="0"/>
      </font>
      <fill>
        <patternFill>
          <bgColor rgb="FFFF3399"/>
        </patternFill>
      </fill>
    </dxf>
    <dxf>
      <font>
        <b/>
        <i/>
        <strike val="0"/>
        <u val="none"/>
        <color theme="5" tint="-0.24994659260841701"/>
      </font>
      <fill>
        <patternFill>
          <bgColor rgb="FFFFFF00"/>
        </patternFill>
      </fill>
    </dxf>
    <dxf>
      <font>
        <b/>
        <i/>
        <strike val="0"/>
        <u val="none"/>
        <color rgb="FFFF0000"/>
      </font>
      <fill>
        <patternFill>
          <bgColor rgb="FFFFFF00"/>
        </patternFill>
      </fill>
    </dxf>
    <dxf>
      <font>
        <b/>
        <i val="0"/>
        <strike val="0"/>
        <u val="none"/>
        <color auto="1"/>
      </font>
      <fill>
        <patternFill patternType="solid">
          <bgColor theme="9" tint="0.59996337778862885"/>
        </patternFill>
      </fill>
    </dxf>
    <dxf>
      <font>
        <b/>
        <i/>
        <strike val="0"/>
        <u val="none"/>
        <color auto="1"/>
      </font>
      <fill>
        <patternFill patternType="solid">
          <bgColor rgb="FF00FF00"/>
        </patternFill>
      </fill>
    </dxf>
    <dxf>
      <font>
        <b/>
        <i/>
        <strike val="0"/>
        <u val="none"/>
        <color auto="1"/>
      </font>
      <fill>
        <patternFill patternType="solid">
          <bgColor rgb="FF00FF00"/>
        </patternFill>
      </fill>
    </dxf>
    <dxf>
      <font>
        <b/>
        <i val="0"/>
        <strike val="0"/>
        <u val="none"/>
        <color rgb="FFFF0000"/>
      </font>
      <fill>
        <patternFill>
          <bgColor rgb="FF00B0F0"/>
        </patternFill>
      </fill>
    </dxf>
    <dxf>
      <font>
        <b/>
        <i val="0"/>
        <strike val="0"/>
        <u val="none"/>
        <color rgb="FFFF0000"/>
      </font>
      <fill>
        <patternFill>
          <bgColor rgb="FF00B0F0"/>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rgb="FFFFC000"/>
      </font>
      <fill>
        <patternFill patternType="solid">
          <bgColor theme="7" tint="0.79998168889431442"/>
        </patternFill>
      </fill>
    </dxf>
    <dxf>
      <font>
        <b/>
        <i/>
        <strike val="0"/>
        <u val="none"/>
        <color rgb="FFFFC000"/>
      </font>
      <fill>
        <patternFill patternType="solid">
          <bgColor theme="7" tint="0.79998168889431442"/>
        </patternFill>
      </fill>
    </dxf>
    <dxf>
      <font>
        <b/>
        <i val="0"/>
        <strike val="0"/>
        <u val="none"/>
        <color rgb="FF00B050"/>
      </font>
      <fill>
        <patternFill>
          <bgColor rgb="FFEAF1AB"/>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9966FF"/>
      </font>
      <fill>
        <patternFill>
          <bgColor rgb="FFB1DDEB"/>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00B0F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CC99FF"/>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7" tint="0.39991454817346722"/>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theme="9" tint="-0.2499465926084170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4" tint="0.3999450666829432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rgb="FF7E1389"/>
      </font>
      <fill>
        <patternFill>
          <bgColor rgb="FFFFAFB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rgb="FFEB2403"/>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1" tint="0.49998474074526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0"/>
      </font>
      <fill>
        <patternFill>
          <bgColor theme="5" tint="-0.2499465926084170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0"/>
      </font>
      <fill>
        <patternFill>
          <bgColor rgb="FFF632C7"/>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rgb="FF99FF33"/>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FF0000"/>
      </font>
      <fill>
        <patternFill patternType="solid">
          <bgColor theme="9" tint="0.59996337778862885"/>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7ED882"/>
        </patternFill>
      </fill>
      <border>
        <left style="thin">
          <color theme="0" tint="-0.14996795556505021"/>
        </left>
        <right style="thin">
          <color theme="0" tint="-0.14996795556505021"/>
        </right>
        <top style="thin">
          <color theme="0" tint="-0.14996795556505021"/>
        </top>
        <bottom style="thin">
          <color theme="0" tint="-0.14996795556505021"/>
        </bottom>
      </border>
    </dxf>
    <dxf>
      <font>
        <strike val="0"/>
        <color rgb="FF9C0006"/>
      </font>
      <fill>
        <patternFill>
          <bgColor theme="7" tint="0.39994506668294322"/>
        </patternFill>
      </fill>
    </dxf>
    <dxf>
      <font>
        <b/>
        <i val="0"/>
        <strike val="0"/>
        <u val="none"/>
        <color theme="0"/>
      </font>
      <fill>
        <patternFill patternType="solid">
          <bgColor theme="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FF99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patternType="solid">
          <bgColor rgb="FFFF99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rgb="FF92E7F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FF66CC"/>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0070C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1"/>
      </font>
      <fill>
        <patternFill>
          <bgColor rgb="FFFFFF00"/>
        </patternFill>
      </fill>
      <border>
        <left style="thin">
          <color theme="0" tint="-0.14996795556505021"/>
        </left>
        <right style="thin">
          <color theme="0" tint="-0.14996795556505021"/>
        </right>
        <top style="thin">
          <color theme="0" tint="-0.14996795556505021"/>
        </top>
        <bottom style="thin">
          <color theme="0" tint="-0.14996795556505021"/>
        </bottom>
      </border>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color auto="1"/>
      </font>
      <fill>
        <patternFill>
          <bgColor theme="9"/>
        </patternFill>
      </fill>
      <border>
        <left style="thin">
          <color theme="0" tint="-0.14996795556505021"/>
        </left>
        <right style="thin">
          <color theme="0" tint="-0.14996795556505021"/>
        </right>
        <top style="thin">
          <color theme="0" tint="-0.14996795556505021"/>
        </top>
        <bottom style="thin">
          <color theme="0" tint="-0.14996795556505021"/>
        </bottom>
      </border>
    </dxf>
    <dxf>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border>
    </dxf>
    <dxf>
      <font>
        <color auto="1"/>
      </font>
      <fill>
        <patternFill>
          <bgColor theme="9" tint="0.59996337778862885"/>
        </patternFill>
      </fill>
      <border>
        <left style="thin">
          <color theme="2"/>
        </left>
        <right style="thin">
          <color theme="2"/>
        </right>
        <top style="thin">
          <color theme="2"/>
        </top>
        <bottom style="thin">
          <color theme="2"/>
        </bottom>
      </border>
    </dxf>
    <dxf>
      <fill>
        <patternFill>
          <bgColor rgb="FF00B050"/>
        </patternFill>
      </fill>
      <border>
        <left style="thin">
          <color theme="0" tint="-0.24994659260841701"/>
        </left>
        <right style="thin">
          <color theme="0" tint="-0.24994659260841701"/>
        </right>
        <top style="thin">
          <color theme="0" tint="-0.24994659260841701"/>
        </top>
        <bottom style="thin">
          <color theme="0" tint="-0.24994659260841701"/>
        </bottom>
      </border>
    </dxf>
    <dxf>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b/>
        <i val="0"/>
        <strike val="0"/>
        <u val="none"/>
        <color theme="5" tint="-0.24994659260841701"/>
      </font>
      <fill>
        <patternFill patternType="solid">
          <bgColor rgb="FFFFFF00"/>
        </patternFill>
      </fill>
    </dxf>
    <dxf>
      <font>
        <b/>
        <i val="0"/>
        <strike val="0"/>
        <u val="none"/>
        <color rgb="FFFF0000"/>
      </font>
      <fill>
        <patternFill patternType="solid">
          <bgColor rgb="FFFFFF00"/>
        </patternFill>
      </fill>
    </dxf>
    <dxf>
      <font>
        <b/>
        <i val="0"/>
        <strike val="0"/>
        <u val="none"/>
        <color rgb="FF00B0F0"/>
      </font>
      <fill>
        <patternFill patternType="solid">
          <bgColor rgb="FFFFFF00"/>
        </patternFill>
      </fill>
    </dxf>
    <dxf>
      <font>
        <b/>
        <i val="0"/>
        <strike val="0"/>
        <u val="none"/>
        <color theme="0"/>
      </font>
      <fill>
        <patternFill>
          <bgColor rgb="FFFF3399"/>
        </patternFill>
      </fill>
    </dxf>
    <dxf>
      <font>
        <b/>
        <i val="0"/>
        <strike val="0"/>
        <u val="none"/>
        <color theme="0"/>
      </font>
      <fill>
        <patternFill>
          <bgColor rgb="FFFF3399"/>
        </patternFill>
      </fill>
    </dxf>
    <dxf>
      <font>
        <b/>
        <i/>
        <strike val="0"/>
        <u val="none"/>
        <color theme="5" tint="-0.24994659260841701"/>
      </font>
      <fill>
        <patternFill>
          <bgColor rgb="FFFFFF00"/>
        </patternFill>
      </fill>
    </dxf>
    <dxf>
      <font>
        <b/>
        <i/>
        <strike val="0"/>
        <u val="none"/>
        <color rgb="FFFF0000"/>
      </font>
      <fill>
        <patternFill>
          <bgColor rgb="FFFFFF00"/>
        </patternFill>
      </fill>
    </dxf>
    <dxf>
      <font>
        <b/>
        <i val="0"/>
        <strike val="0"/>
        <u val="none"/>
        <color auto="1"/>
      </font>
      <fill>
        <patternFill patternType="solid">
          <bgColor theme="9" tint="0.59996337778862885"/>
        </patternFill>
      </fill>
    </dxf>
    <dxf>
      <font>
        <b/>
        <i/>
        <strike val="0"/>
        <u val="none"/>
        <color auto="1"/>
      </font>
      <fill>
        <patternFill patternType="solid">
          <bgColor rgb="FF00FF00"/>
        </patternFill>
      </fill>
    </dxf>
    <dxf>
      <font>
        <b/>
        <i/>
        <strike val="0"/>
        <u val="none"/>
        <color auto="1"/>
      </font>
      <fill>
        <patternFill patternType="solid">
          <bgColor rgb="FF00FF00"/>
        </patternFill>
      </fill>
    </dxf>
    <dxf>
      <font>
        <b/>
        <i val="0"/>
        <strike val="0"/>
        <u val="none"/>
        <color rgb="FFFF0000"/>
      </font>
      <fill>
        <patternFill>
          <bgColor rgb="FF00B0F0"/>
        </patternFill>
      </fill>
    </dxf>
    <dxf>
      <font>
        <b/>
        <i val="0"/>
        <strike val="0"/>
        <u val="none"/>
        <color rgb="FFFF0000"/>
      </font>
      <fill>
        <patternFill>
          <bgColor rgb="FF00B0F0"/>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rgb="FFFFC000"/>
      </font>
      <fill>
        <patternFill patternType="solid">
          <bgColor theme="7" tint="0.79998168889431442"/>
        </patternFill>
      </fill>
    </dxf>
    <dxf>
      <font>
        <b/>
        <i/>
        <strike val="0"/>
        <u val="none"/>
        <color rgb="FFFFC000"/>
      </font>
      <fill>
        <patternFill patternType="solid">
          <bgColor theme="7" tint="0.79998168889431442"/>
        </patternFill>
      </fill>
    </dxf>
    <dxf>
      <font>
        <b/>
        <i val="0"/>
        <strike val="0"/>
        <u val="none"/>
        <color rgb="FF00B050"/>
      </font>
      <fill>
        <patternFill>
          <bgColor rgb="FFEAF1AB"/>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9966FF"/>
      </font>
      <fill>
        <patternFill>
          <bgColor rgb="FFB1DDEB"/>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00B0F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CC99FF"/>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7" tint="0.39991454817346722"/>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theme="9" tint="-0.2499465926084170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4" tint="0.3999450666829432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rgb="FF7E1389"/>
      </font>
      <fill>
        <patternFill>
          <bgColor rgb="FFFFAFB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rgb="FFEB2403"/>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1" tint="0.49998474074526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0"/>
      </font>
      <fill>
        <patternFill>
          <bgColor theme="5" tint="-0.2499465926084170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0"/>
      </font>
      <fill>
        <patternFill>
          <bgColor rgb="FFF632C7"/>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rgb="FF99FF33"/>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FF0000"/>
      </font>
      <fill>
        <patternFill patternType="solid">
          <bgColor theme="9" tint="0.59996337778862885"/>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7ED882"/>
        </patternFill>
      </fill>
      <border>
        <left style="thin">
          <color theme="0" tint="-0.14996795556505021"/>
        </left>
        <right style="thin">
          <color theme="0" tint="-0.14996795556505021"/>
        </right>
        <top style="thin">
          <color theme="0" tint="-0.14996795556505021"/>
        </top>
        <bottom style="thin">
          <color theme="0" tint="-0.14996795556505021"/>
        </bottom>
      </border>
    </dxf>
    <dxf>
      <font>
        <strike val="0"/>
        <color rgb="FF9C0006"/>
      </font>
      <fill>
        <patternFill>
          <bgColor theme="7" tint="0.39994506668294322"/>
        </patternFill>
      </fill>
    </dxf>
    <dxf>
      <font>
        <b/>
        <i val="0"/>
        <strike val="0"/>
        <u val="none"/>
        <color theme="0"/>
      </font>
      <fill>
        <patternFill patternType="solid">
          <bgColor theme="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FF99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patternType="solid">
          <bgColor rgb="FFFF99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rgb="FF92E7F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FF66CC"/>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0070C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1"/>
      </font>
      <fill>
        <patternFill>
          <bgColor rgb="FFFFFF00"/>
        </patternFill>
      </fill>
      <border>
        <left style="thin">
          <color theme="0" tint="-0.14996795556505021"/>
        </left>
        <right style="thin">
          <color theme="0" tint="-0.14996795556505021"/>
        </right>
        <top style="thin">
          <color theme="0" tint="-0.14996795556505021"/>
        </top>
        <bottom style="thin">
          <color theme="0" tint="-0.14996795556505021"/>
        </bottom>
      </border>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color auto="1"/>
      </font>
      <fill>
        <patternFill>
          <bgColor theme="9"/>
        </patternFill>
      </fill>
      <border>
        <left style="thin">
          <color theme="0" tint="-0.14996795556505021"/>
        </left>
        <right style="thin">
          <color theme="0" tint="-0.14996795556505021"/>
        </right>
        <top style="thin">
          <color theme="0" tint="-0.14996795556505021"/>
        </top>
        <bottom style="thin">
          <color theme="0" tint="-0.14996795556505021"/>
        </bottom>
      </border>
    </dxf>
    <dxf>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5" tint="-0.24994659260841701"/>
      </font>
      <fill>
        <patternFill patternType="solid">
          <bgColor rgb="FFFFFF00"/>
        </patternFill>
      </fill>
    </dxf>
    <dxf>
      <font>
        <b/>
        <i val="0"/>
        <strike val="0"/>
        <u val="none"/>
        <color rgb="FFFF0000"/>
      </font>
      <fill>
        <patternFill patternType="solid">
          <bgColor rgb="FFFFFF00"/>
        </patternFill>
      </fill>
    </dxf>
    <dxf>
      <font>
        <b/>
        <i val="0"/>
        <strike val="0"/>
        <u val="none"/>
        <color rgb="FF00B0F0"/>
      </font>
      <fill>
        <patternFill patternType="solid">
          <bgColor rgb="FFFFFF00"/>
        </patternFill>
      </fill>
    </dxf>
    <dxf>
      <font>
        <b/>
        <i val="0"/>
        <strike val="0"/>
        <u val="none"/>
        <color theme="0"/>
      </font>
      <fill>
        <patternFill>
          <bgColor rgb="FFFF3399"/>
        </patternFill>
      </fill>
    </dxf>
    <dxf>
      <font>
        <b/>
        <i val="0"/>
        <strike val="0"/>
        <u val="none"/>
        <color theme="0"/>
      </font>
      <fill>
        <patternFill>
          <bgColor rgb="FFFF3399"/>
        </patternFill>
      </fill>
    </dxf>
    <dxf>
      <font>
        <b/>
        <i/>
        <strike val="0"/>
        <u val="none"/>
        <color theme="5" tint="-0.24994659260841701"/>
      </font>
      <fill>
        <patternFill>
          <bgColor rgb="FFFFFF00"/>
        </patternFill>
      </fill>
    </dxf>
    <dxf>
      <font>
        <b/>
        <i/>
        <strike val="0"/>
        <u val="none"/>
        <color rgb="FFFF0000"/>
      </font>
      <fill>
        <patternFill>
          <bgColor rgb="FFFFFF00"/>
        </patternFill>
      </fill>
    </dxf>
    <dxf>
      <font>
        <b/>
        <i val="0"/>
        <strike val="0"/>
        <u val="none"/>
        <color auto="1"/>
      </font>
      <fill>
        <patternFill patternType="solid">
          <bgColor theme="9" tint="0.59996337778862885"/>
        </patternFill>
      </fill>
    </dxf>
    <dxf>
      <font>
        <b/>
        <i/>
        <strike val="0"/>
        <u val="none"/>
        <color auto="1"/>
      </font>
      <fill>
        <patternFill patternType="solid">
          <bgColor rgb="FF00FF00"/>
        </patternFill>
      </fill>
    </dxf>
    <dxf>
      <font>
        <b/>
        <i/>
        <strike val="0"/>
        <u val="none"/>
        <color auto="1"/>
      </font>
      <fill>
        <patternFill patternType="solid">
          <bgColor rgb="FF00FF00"/>
        </patternFill>
      </fill>
    </dxf>
    <dxf>
      <font>
        <b/>
        <i val="0"/>
        <strike val="0"/>
        <u val="none"/>
        <color rgb="FFFF0000"/>
      </font>
      <fill>
        <patternFill>
          <bgColor rgb="FF00B0F0"/>
        </patternFill>
      </fill>
    </dxf>
    <dxf>
      <font>
        <b/>
        <i val="0"/>
        <strike val="0"/>
        <u val="none"/>
        <color rgb="FFFF0000"/>
      </font>
      <fill>
        <patternFill>
          <bgColor rgb="FF00B0F0"/>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rgb="FFFFC000"/>
      </font>
      <fill>
        <patternFill patternType="solid">
          <bgColor theme="7" tint="0.79998168889431442"/>
        </patternFill>
      </fill>
    </dxf>
    <dxf>
      <font>
        <b/>
        <i/>
        <strike val="0"/>
        <u val="none"/>
        <color rgb="FF19010C"/>
      </font>
      <fill>
        <patternFill patternType="solid">
          <bgColor rgb="FFF11343"/>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00B050"/>
      </font>
      <fill>
        <patternFill>
          <bgColor rgb="FFEAF1AB"/>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9966FF"/>
      </font>
      <fill>
        <patternFill>
          <bgColor rgb="FFB1DDEB"/>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00B0F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CC99FF"/>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7" tint="0.39991454817346722"/>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theme="9" tint="-0.2499465926084170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4" tint="0.3999450666829432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rgb="FF7E1389"/>
      </font>
      <fill>
        <patternFill>
          <bgColor rgb="FFFFAFB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rgb="FFEB2403"/>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1" tint="0.49998474074526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0"/>
      </font>
      <fill>
        <patternFill>
          <bgColor theme="5" tint="-0.2499465926084170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0"/>
      </font>
      <fill>
        <patternFill>
          <bgColor rgb="FFF632C7"/>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rgb="FF99FF33"/>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FF0000"/>
      </font>
      <fill>
        <patternFill patternType="solid">
          <bgColor theme="9" tint="0.59996337778862885"/>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7ED882"/>
        </patternFill>
      </fill>
      <border>
        <left style="thin">
          <color theme="0" tint="-0.14996795556505021"/>
        </left>
        <right style="thin">
          <color theme="0" tint="-0.14996795556505021"/>
        </right>
        <top style="thin">
          <color theme="0" tint="-0.14996795556505021"/>
        </top>
        <bottom style="thin">
          <color theme="0" tint="-0.14996795556505021"/>
        </bottom>
      </border>
    </dxf>
    <dxf>
      <font>
        <strike val="0"/>
        <color rgb="FF9C0006"/>
      </font>
      <fill>
        <patternFill>
          <bgColor theme="7" tint="0.39994506668294322"/>
        </patternFill>
      </fill>
    </dxf>
    <dxf>
      <font>
        <b/>
        <i val="0"/>
        <strike val="0"/>
        <u val="none"/>
        <color theme="0"/>
      </font>
      <fill>
        <patternFill patternType="solid">
          <bgColor theme="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FF99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patternType="solid">
          <bgColor rgb="FFFF99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rgb="FF92E7F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FF66CC"/>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0070C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1"/>
      </font>
      <fill>
        <patternFill>
          <bgColor rgb="FFFFFF00"/>
        </patternFill>
      </fill>
      <border>
        <left style="thin">
          <color theme="0" tint="-0.14996795556505021"/>
        </left>
        <right style="thin">
          <color theme="0" tint="-0.14996795556505021"/>
        </right>
        <top style="thin">
          <color theme="0" tint="-0.14996795556505021"/>
        </top>
        <bottom style="thin">
          <color theme="0" tint="-0.14996795556505021"/>
        </bottom>
      </border>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color auto="1"/>
      </font>
      <fill>
        <patternFill>
          <bgColor theme="9"/>
        </patternFill>
      </fill>
      <border>
        <left style="thin">
          <color theme="0" tint="-0.14996795556505021"/>
        </left>
        <right style="thin">
          <color theme="0" tint="-0.14996795556505021"/>
        </right>
        <top style="thin">
          <color theme="0" tint="-0.14996795556505021"/>
        </top>
        <bottom style="thin">
          <color theme="0" tint="-0.14996795556505021"/>
        </bottom>
      </border>
    </dxf>
    <dxf>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5" tint="-0.24994659260841701"/>
      </font>
      <fill>
        <patternFill patternType="solid">
          <bgColor rgb="FFFFFF00"/>
        </patternFill>
      </fill>
    </dxf>
    <dxf>
      <font>
        <b/>
        <i val="0"/>
        <strike val="0"/>
        <u val="none"/>
        <color rgb="FFFF0000"/>
      </font>
      <fill>
        <patternFill patternType="solid">
          <bgColor rgb="FFFFFF00"/>
        </patternFill>
      </fill>
    </dxf>
    <dxf>
      <font>
        <b/>
        <i val="0"/>
        <strike val="0"/>
        <u val="none"/>
        <color rgb="FF00B0F0"/>
      </font>
      <fill>
        <patternFill patternType="solid">
          <bgColor rgb="FFFFFF00"/>
        </patternFill>
      </fill>
    </dxf>
    <dxf>
      <font>
        <b/>
        <i val="0"/>
        <strike val="0"/>
        <u val="none"/>
        <color theme="0"/>
      </font>
      <fill>
        <patternFill>
          <bgColor rgb="FFFF3399"/>
        </patternFill>
      </fill>
    </dxf>
    <dxf>
      <font>
        <b/>
        <i val="0"/>
        <strike val="0"/>
        <u val="none"/>
        <color theme="0"/>
      </font>
      <fill>
        <patternFill>
          <bgColor rgb="FFFF3399"/>
        </patternFill>
      </fill>
    </dxf>
    <dxf>
      <font>
        <b/>
        <i/>
        <strike val="0"/>
        <u val="none"/>
        <color theme="5" tint="-0.24994659260841701"/>
      </font>
      <fill>
        <patternFill>
          <bgColor rgb="FFFFFF00"/>
        </patternFill>
      </fill>
    </dxf>
    <dxf>
      <font>
        <b/>
        <i/>
        <strike val="0"/>
        <u val="none"/>
        <color rgb="FFFF0000"/>
      </font>
      <fill>
        <patternFill>
          <bgColor rgb="FFFFFF00"/>
        </patternFill>
      </fill>
    </dxf>
    <dxf>
      <font>
        <b/>
        <i val="0"/>
        <strike val="0"/>
        <u val="none"/>
        <color auto="1"/>
      </font>
      <fill>
        <patternFill patternType="solid">
          <bgColor theme="9" tint="0.59996337778862885"/>
        </patternFill>
      </fill>
    </dxf>
    <dxf>
      <font>
        <b/>
        <i/>
        <strike val="0"/>
        <u val="none"/>
        <color auto="1"/>
      </font>
      <fill>
        <patternFill patternType="solid">
          <bgColor rgb="FF00FF00"/>
        </patternFill>
      </fill>
    </dxf>
    <dxf>
      <font>
        <b/>
        <i/>
        <strike val="0"/>
        <u val="none"/>
        <color auto="1"/>
      </font>
      <fill>
        <patternFill patternType="solid">
          <bgColor rgb="FF00FF00"/>
        </patternFill>
      </fill>
    </dxf>
    <dxf>
      <font>
        <b/>
        <i val="0"/>
        <strike val="0"/>
        <u val="none"/>
        <color rgb="FFFF0000"/>
      </font>
      <fill>
        <patternFill>
          <bgColor rgb="FF00B0F0"/>
        </patternFill>
      </fill>
    </dxf>
    <dxf>
      <font>
        <b/>
        <i val="0"/>
        <strike val="0"/>
        <u val="none"/>
        <color rgb="FFFF0000"/>
      </font>
      <fill>
        <patternFill>
          <bgColor rgb="FF00B0F0"/>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rgb="FFFFC000"/>
      </font>
      <fill>
        <patternFill patternType="solid">
          <bgColor theme="7" tint="0.79998168889431442"/>
        </patternFill>
      </fill>
    </dxf>
    <dxf>
      <font>
        <b/>
        <i/>
        <strike val="0"/>
        <u val="none"/>
        <color rgb="FF19010C"/>
      </font>
      <fill>
        <patternFill patternType="solid">
          <bgColor rgb="FFF11343"/>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00B050"/>
      </font>
      <fill>
        <patternFill>
          <bgColor rgb="FFEAF1AB"/>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9966FF"/>
      </font>
      <fill>
        <patternFill>
          <bgColor rgb="FFB1DDEB"/>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00B0F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CC99FF"/>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7" tint="0.39991454817346722"/>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theme="9" tint="-0.2499465926084170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4" tint="0.3999450666829432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rgb="FF7E1389"/>
      </font>
      <fill>
        <patternFill>
          <bgColor rgb="FFFFAFB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rgb="FFEB2403"/>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1" tint="0.49998474074526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0"/>
      </font>
      <fill>
        <patternFill>
          <bgColor theme="5" tint="-0.2499465926084170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0"/>
      </font>
      <fill>
        <patternFill>
          <bgColor rgb="FFF632C7"/>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rgb="FF99FF33"/>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FF0000"/>
      </font>
      <fill>
        <patternFill patternType="solid">
          <bgColor theme="9" tint="0.59996337778862885"/>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7ED882"/>
        </patternFill>
      </fill>
      <border>
        <left style="thin">
          <color theme="0" tint="-0.14996795556505021"/>
        </left>
        <right style="thin">
          <color theme="0" tint="-0.14996795556505021"/>
        </right>
        <top style="thin">
          <color theme="0" tint="-0.14996795556505021"/>
        </top>
        <bottom style="thin">
          <color theme="0" tint="-0.14996795556505021"/>
        </bottom>
      </border>
    </dxf>
    <dxf>
      <font>
        <strike val="0"/>
        <color rgb="FF9C0006"/>
      </font>
      <fill>
        <patternFill>
          <bgColor theme="7" tint="0.39994506668294322"/>
        </patternFill>
      </fill>
    </dxf>
    <dxf>
      <font>
        <b/>
        <i val="0"/>
        <strike val="0"/>
        <u val="none"/>
        <color theme="0"/>
      </font>
      <fill>
        <patternFill patternType="solid">
          <bgColor theme="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FF99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patternType="solid">
          <bgColor rgb="FFFF99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rgb="FF92E7F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FF66CC"/>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0070C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1"/>
      </font>
      <fill>
        <patternFill>
          <bgColor rgb="FFFFFF00"/>
        </patternFill>
      </fill>
      <border>
        <left style="thin">
          <color theme="0" tint="-0.14996795556505021"/>
        </left>
        <right style="thin">
          <color theme="0" tint="-0.14996795556505021"/>
        </right>
        <top style="thin">
          <color theme="0" tint="-0.14996795556505021"/>
        </top>
        <bottom style="thin">
          <color theme="0" tint="-0.14996795556505021"/>
        </bottom>
      </border>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color auto="1"/>
      </font>
      <fill>
        <patternFill>
          <bgColor theme="9"/>
        </patternFill>
      </fill>
      <border>
        <left style="thin">
          <color theme="0" tint="-0.14996795556505021"/>
        </left>
        <right style="thin">
          <color theme="0" tint="-0.14996795556505021"/>
        </right>
        <top style="thin">
          <color theme="0" tint="-0.14996795556505021"/>
        </top>
        <bottom style="thin">
          <color theme="0" tint="-0.14996795556505021"/>
        </bottom>
      </border>
    </dxf>
    <dxf>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5" tint="-0.24994659260841701"/>
      </font>
      <fill>
        <patternFill patternType="solid">
          <bgColor rgb="FFFFFF00"/>
        </patternFill>
      </fill>
    </dxf>
    <dxf>
      <font>
        <b/>
        <i val="0"/>
        <strike val="0"/>
        <u val="none"/>
        <color rgb="FFFF0000"/>
      </font>
      <fill>
        <patternFill patternType="solid">
          <bgColor rgb="FFFFFF00"/>
        </patternFill>
      </fill>
    </dxf>
    <dxf>
      <font>
        <b/>
        <i val="0"/>
        <strike val="0"/>
        <u val="none"/>
        <color rgb="FF00B0F0"/>
      </font>
      <fill>
        <patternFill patternType="solid">
          <bgColor rgb="FFFFFF00"/>
        </patternFill>
      </fill>
    </dxf>
    <dxf>
      <font>
        <b/>
        <i val="0"/>
        <strike val="0"/>
        <u val="none"/>
        <color theme="0"/>
      </font>
      <fill>
        <patternFill>
          <bgColor rgb="FFFF3399"/>
        </patternFill>
      </fill>
    </dxf>
    <dxf>
      <font>
        <b/>
        <i val="0"/>
        <strike val="0"/>
        <u val="none"/>
        <color theme="0"/>
      </font>
      <fill>
        <patternFill>
          <bgColor rgb="FFFF3399"/>
        </patternFill>
      </fill>
    </dxf>
    <dxf>
      <font>
        <b/>
        <i/>
        <strike val="0"/>
        <u val="none"/>
        <color theme="5" tint="-0.24994659260841701"/>
      </font>
      <fill>
        <patternFill>
          <bgColor rgb="FFFFFF00"/>
        </patternFill>
      </fill>
    </dxf>
    <dxf>
      <font>
        <b/>
        <i/>
        <strike val="0"/>
        <u val="none"/>
        <color rgb="FFFF0000"/>
      </font>
      <fill>
        <patternFill>
          <bgColor rgb="FFFFFF00"/>
        </patternFill>
      </fill>
    </dxf>
    <dxf>
      <font>
        <b/>
        <i val="0"/>
        <strike val="0"/>
        <u val="none"/>
        <color auto="1"/>
      </font>
      <fill>
        <patternFill patternType="solid">
          <bgColor theme="9" tint="0.59996337778862885"/>
        </patternFill>
      </fill>
    </dxf>
    <dxf>
      <font>
        <b/>
        <i/>
        <strike val="0"/>
        <u val="none"/>
        <color auto="1"/>
      </font>
      <fill>
        <patternFill patternType="solid">
          <bgColor rgb="FF00FF00"/>
        </patternFill>
      </fill>
    </dxf>
    <dxf>
      <font>
        <b/>
        <i/>
        <strike val="0"/>
        <u val="none"/>
        <color auto="1"/>
      </font>
      <fill>
        <patternFill patternType="solid">
          <bgColor rgb="FF00FF00"/>
        </patternFill>
      </fill>
    </dxf>
    <dxf>
      <font>
        <b/>
        <i val="0"/>
        <strike val="0"/>
        <u val="none"/>
        <color rgb="FFFF0000"/>
      </font>
      <fill>
        <patternFill>
          <bgColor rgb="FF00B0F0"/>
        </patternFill>
      </fill>
    </dxf>
    <dxf>
      <font>
        <b/>
        <i val="0"/>
        <strike val="0"/>
        <u val="none"/>
        <color rgb="FFFF0000"/>
      </font>
      <fill>
        <patternFill>
          <bgColor rgb="FF00B0F0"/>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rgb="FFFFC000"/>
      </font>
      <fill>
        <patternFill patternType="solid">
          <bgColor theme="7" tint="0.79998168889431442"/>
        </patternFill>
      </fill>
    </dxf>
    <dxf>
      <font>
        <b/>
        <i/>
        <strike val="0"/>
        <u val="none"/>
        <color rgb="FFFFC000"/>
      </font>
      <fill>
        <patternFill patternType="solid">
          <bgColor theme="7" tint="0.79998168889431442"/>
        </patternFill>
      </fill>
    </dxf>
    <dxf>
      <font>
        <b/>
        <i val="0"/>
        <strike val="0"/>
        <u val="none"/>
        <color rgb="FF00B050"/>
      </font>
      <fill>
        <patternFill>
          <bgColor rgb="FFEAF1AB"/>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9966FF"/>
      </font>
      <fill>
        <patternFill>
          <bgColor rgb="FFB1DDEB"/>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00B0F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CC99FF"/>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7" tint="0.39991454817346722"/>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theme="9" tint="-0.2499465926084170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4" tint="0.3999450666829432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rgb="FF7E1389"/>
      </font>
      <fill>
        <patternFill>
          <bgColor rgb="FFFFAFB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rgb="FFEB2403"/>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1" tint="0.49998474074526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0"/>
      </font>
      <fill>
        <patternFill>
          <bgColor theme="5" tint="-0.2499465926084170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0"/>
      </font>
      <fill>
        <patternFill>
          <bgColor rgb="FFF632C7"/>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rgb="FF99FF33"/>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FF0000"/>
      </font>
      <fill>
        <patternFill patternType="solid">
          <bgColor theme="9" tint="0.59996337778862885"/>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7ED882"/>
        </patternFill>
      </fill>
      <border>
        <left style="thin">
          <color theme="0" tint="-0.14996795556505021"/>
        </left>
        <right style="thin">
          <color theme="0" tint="-0.14996795556505021"/>
        </right>
        <top style="thin">
          <color theme="0" tint="-0.14996795556505021"/>
        </top>
        <bottom style="thin">
          <color theme="0" tint="-0.14996795556505021"/>
        </bottom>
      </border>
    </dxf>
    <dxf>
      <font>
        <strike val="0"/>
        <color rgb="FF9C0006"/>
      </font>
      <fill>
        <patternFill>
          <bgColor theme="7" tint="0.39994506668294322"/>
        </patternFill>
      </fill>
    </dxf>
    <dxf>
      <font>
        <b/>
        <i val="0"/>
        <strike val="0"/>
        <u val="none"/>
        <color theme="0"/>
      </font>
      <fill>
        <patternFill patternType="solid">
          <bgColor theme="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FF99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patternType="solid">
          <bgColor rgb="FFFF99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rgb="FF92E7F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FF66CC"/>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0070C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1"/>
      </font>
      <fill>
        <patternFill>
          <bgColor rgb="FFFFFF00"/>
        </patternFill>
      </fill>
      <border>
        <left style="thin">
          <color theme="0" tint="-0.14996795556505021"/>
        </left>
        <right style="thin">
          <color theme="0" tint="-0.14996795556505021"/>
        </right>
        <top style="thin">
          <color theme="0" tint="-0.14996795556505021"/>
        </top>
        <bottom style="thin">
          <color theme="0" tint="-0.14996795556505021"/>
        </bottom>
      </border>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color auto="1"/>
      </font>
      <fill>
        <patternFill>
          <bgColor theme="9"/>
        </patternFill>
      </fill>
      <border>
        <left style="thin">
          <color theme="0" tint="-0.14996795556505021"/>
        </left>
        <right style="thin">
          <color theme="0" tint="-0.14996795556505021"/>
        </right>
        <top style="thin">
          <color theme="0" tint="-0.14996795556505021"/>
        </top>
        <bottom style="thin">
          <color theme="0" tint="-0.14996795556505021"/>
        </bottom>
      </border>
    </dxf>
    <dxf>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5" tint="-0.24994659260841701"/>
      </font>
      <fill>
        <patternFill patternType="solid">
          <bgColor rgb="FFFFFF00"/>
        </patternFill>
      </fill>
    </dxf>
    <dxf>
      <font>
        <b/>
        <i val="0"/>
        <strike val="0"/>
        <u val="none"/>
        <color rgb="FFFF0000"/>
      </font>
      <fill>
        <patternFill patternType="solid">
          <bgColor rgb="FFFFFF00"/>
        </patternFill>
      </fill>
    </dxf>
    <dxf>
      <font>
        <b/>
        <i val="0"/>
        <strike val="0"/>
        <u val="none"/>
        <color rgb="FF00B0F0"/>
      </font>
      <fill>
        <patternFill patternType="solid">
          <bgColor rgb="FFFFFF00"/>
        </patternFill>
      </fill>
    </dxf>
    <dxf>
      <font>
        <b/>
        <i val="0"/>
        <strike val="0"/>
        <u val="none"/>
        <color theme="0"/>
      </font>
      <fill>
        <patternFill>
          <bgColor rgb="FFFF3399"/>
        </patternFill>
      </fill>
    </dxf>
    <dxf>
      <font>
        <b/>
        <i val="0"/>
        <strike val="0"/>
        <u val="none"/>
        <color theme="0"/>
      </font>
      <fill>
        <patternFill>
          <bgColor rgb="FFFF3399"/>
        </patternFill>
      </fill>
    </dxf>
    <dxf>
      <font>
        <b/>
        <i/>
        <strike val="0"/>
        <u val="none"/>
        <color theme="5" tint="-0.24994659260841701"/>
      </font>
      <fill>
        <patternFill>
          <bgColor rgb="FFFFFF00"/>
        </patternFill>
      </fill>
    </dxf>
    <dxf>
      <font>
        <b/>
        <i/>
        <strike val="0"/>
        <u val="none"/>
        <color rgb="FFFF0000"/>
      </font>
      <fill>
        <patternFill>
          <bgColor rgb="FFFFFF00"/>
        </patternFill>
      </fill>
    </dxf>
    <dxf>
      <font>
        <b/>
        <i val="0"/>
        <strike val="0"/>
        <u val="none"/>
        <color auto="1"/>
      </font>
      <fill>
        <patternFill patternType="solid">
          <bgColor theme="9" tint="0.59996337778862885"/>
        </patternFill>
      </fill>
    </dxf>
    <dxf>
      <font>
        <b/>
        <i/>
        <strike val="0"/>
        <u val="none"/>
        <color auto="1"/>
      </font>
      <fill>
        <patternFill patternType="solid">
          <bgColor rgb="FF00FF00"/>
        </patternFill>
      </fill>
    </dxf>
    <dxf>
      <font>
        <b/>
        <i/>
        <strike val="0"/>
        <u val="none"/>
        <color auto="1"/>
      </font>
      <fill>
        <patternFill patternType="solid">
          <bgColor rgb="FF00FF00"/>
        </patternFill>
      </fill>
    </dxf>
    <dxf>
      <font>
        <b/>
        <i val="0"/>
        <strike val="0"/>
        <u val="none"/>
        <color rgb="FFFF0000"/>
      </font>
      <fill>
        <patternFill>
          <bgColor rgb="FF00B0F0"/>
        </patternFill>
      </fill>
    </dxf>
    <dxf>
      <font>
        <b/>
        <i val="0"/>
        <strike val="0"/>
        <u val="none"/>
        <color rgb="FFFF0000"/>
      </font>
      <fill>
        <patternFill>
          <bgColor rgb="FF00B0F0"/>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rgb="FFFFC000"/>
      </font>
      <fill>
        <patternFill patternType="solid">
          <bgColor theme="7" tint="0.79998168889431442"/>
        </patternFill>
      </fill>
    </dxf>
    <dxf>
      <font>
        <b/>
        <i/>
        <strike val="0"/>
        <u val="none"/>
        <color rgb="FFFFC000"/>
      </font>
      <fill>
        <patternFill patternType="solid">
          <bgColor theme="7" tint="0.79998168889431442"/>
        </patternFill>
      </fill>
    </dxf>
    <dxf>
      <font>
        <b/>
        <i val="0"/>
        <strike val="0"/>
        <u val="none"/>
        <color rgb="FF00B050"/>
      </font>
      <fill>
        <patternFill>
          <bgColor rgb="FFEAF1AB"/>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9966FF"/>
      </font>
      <fill>
        <patternFill>
          <bgColor rgb="FFB1DDEB"/>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00B0F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CC99FF"/>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7" tint="0.39991454817346722"/>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theme="9" tint="-0.2499465926084170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4" tint="0.3999450666829432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rgb="FF7E1389"/>
      </font>
      <fill>
        <patternFill>
          <bgColor rgb="FFFFAFB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rgb="FFEB2403"/>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1" tint="0.49998474074526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0"/>
      </font>
      <fill>
        <patternFill>
          <bgColor theme="5" tint="-0.2499465926084170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0"/>
      </font>
      <fill>
        <patternFill>
          <bgColor rgb="FFF632C7"/>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rgb="FF99FF33"/>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FF0000"/>
      </font>
      <fill>
        <patternFill patternType="solid">
          <bgColor theme="9" tint="0.59996337778862885"/>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7ED882"/>
        </patternFill>
      </fill>
      <border>
        <left style="thin">
          <color theme="0" tint="-0.14996795556505021"/>
        </left>
        <right style="thin">
          <color theme="0" tint="-0.14996795556505021"/>
        </right>
        <top style="thin">
          <color theme="0" tint="-0.14996795556505021"/>
        </top>
        <bottom style="thin">
          <color theme="0" tint="-0.14996795556505021"/>
        </bottom>
      </border>
    </dxf>
    <dxf>
      <font>
        <strike val="0"/>
        <color rgb="FF9C0006"/>
      </font>
      <fill>
        <patternFill>
          <bgColor theme="7" tint="0.39994506668294322"/>
        </patternFill>
      </fill>
    </dxf>
    <dxf>
      <font>
        <b/>
        <i val="0"/>
        <strike val="0"/>
        <u val="none"/>
        <color theme="0"/>
      </font>
      <fill>
        <patternFill patternType="solid">
          <bgColor theme="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FF99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patternType="solid">
          <bgColor rgb="FFFF99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rgb="FF92E7F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FF66CC"/>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0070C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1"/>
      </font>
      <fill>
        <patternFill>
          <bgColor rgb="FFFFFF00"/>
        </patternFill>
      </fill>
      <border>
        <left style="thin">
          <color theme="0" tint="-0.14996795556505021"/>
        </left>
        <right style="thin">
          <color theme="0" tint="-0.14996795556505021"/>
        </right>
        <top style="thin">
          <color theme="0" tint="-0.14996795556505021"/>
        </top>
        <bottom style="thin">
          <color theme="0" tint="-0.14996795556505021"/>
        </bottom>
      </border>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color auto="1"/>
      </font>
      <fill>
        <patternFill>
          <bgColor theme="9"/>
        </patternFill>
      </fill>
      <border>
        <left style="thin">
          <color theme="0" tint="-0.14996795556505021"/>
        </left>
        <right style="thin">
          <color theme="0" tint="-0.14996795556505021"/>
        </right>
        <top style="thin">
          <color theme="0" tint="-0.14996795556505021"/>
        </top>
        <bottom style="thin">
          <color theme="0" tint="-0.14996795556505021"/>
        </bottom>
      </border>
    </dxf>
    <dxf>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5" tint="-0.24994659260841701"/>
      </font>
      <fill>
        <patternFill patternType="solid">
          <bgColor rgb="FFFFFF00"/>
        </patternFill>
      </fill>
    </dxf>
    <dxf>
      <font>
        <b/>
        <i val="0"/>
        <strike val="0"/>
        <u val="none"/>
        <color rgb="FFFF0000"/>
      </font>
      <fill>
        <patternFill patternType="solid">
          <bgColor rgb="FFFFFF00"/>
        </patternFill>
      </fill>
    </dxf>
    <dxf>
      <font>
        <b/>
        <i val="0"/>
        <strike val="0"/>
        <u val="none"/>
        <color rgb="FF00B0F0"/>
      </font>
      <fill>
        <patternFill patternType="solid">
          <bgColor rgb="FFFFFF00"/>
        </patternFill>
      </fill>
    </dxf>
    <dxf>
      <font>
        <b/>
        <i val="0"/>
        <strike val="0"/>
        <u val="none"/>
        <color theme="0"/>
      </font>
      <fill>
        <patternFill>
          <bgColor rgb="FFFF3399"/>
        </patternFill>
      </fill>
    </dxf>
    <dxf>
      <font>
        <b/>
        <i val="0"/>
        <strike val="0"/>
        <u val="none"/>
        <color theme="0"/>
      </font>
      <fill>
        <patternFill>
          <bgColor rgb="FFFF3399"/>
        </patternFill>
      </fill>
    </dxf>
    <dxf>
      <font>
        <b/>
        <i/>
        <strike val="0"/>
        <u val="none"/>
        <color theme="5" tint="-0.24994659260841701"/>
      </font>
      <fill>
        <patternFill>
          <bgColor rgb="FFFFFF00"/>
        </patternFill>
      </fill>
    </dxf>
    <dxf>
      <font>
        <b/>
        <i/>
        <strike val="0"/>
        <u val="none"/>
        <color rgb="FFFF0000"/>
      </font>
      <fill>
        <patternFill>
          <bgColor rgb="FFFFFF00"/>
        </patternFill>
      </fill>
    </dxf>
    <dxf>
      <font>
        <b/>
        <i val="0"/>
        <strike val="0"/>
        <u val="none"/>
        <color auto="1"/>
      </font>
      <fill>
        <patternFill patternType="solid">
          <bgColor theme="9" tint="0.59996337778862885"/>
        </patternFill>
      </fill>
    </dxf>
    <dxf>
      <font>
        <b/>
        <i/>
        <strike val="0"/>
        <u val="none"/>
        <color auto="1"/>
      </font>
      <fill>
        <patternFill patternType="solid">
          <bgColor rgb="FF00FF00"/>
        </patternFill>
      </fill>
    </dxf>
    <dxf>
      <font>
        <b/>
        <i/>
        <strike val="0"/>
        <u val="none"/>
        <color auto="1"/>
      </font>
      <fill>
        <patternFill patternType="solid">
          <bgColor rgb="FF00FF00"/>
        </patternFill>
      </fill>
    </dxf>
    <dxf>
      <font>
        <b/>
        <i val="0"/>
        <strike val="0"/>
        <u val="none"/>
        <color rgb="FFFF0000"/>
      </font>
      <fill>
        <patternFill>
          <bgColor rgb="FF00B0F0"/>
        </patternFill>
      </fill>
    </dxf>
    <dxf>
      <font>
        <b/>
        <i val="0"/>
        <strike val="0"/>
        <u val="none"/>
        <color rgb="FFFF0000"/>
      </font>
      <fill>
        <patternFill>
          <bgColor rgb="FF00B0F0"/>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rgb="FFFFC000"/>
      </font>
      <fill>
        <patternFill patternType="solid">
          <bgColor theme="7" tint="0.79998168889431442"/>
        </patternFill>
      </fill>
    </dxf>
    <dxf>
      <font>
        <b/>
        <i/>
        <strike val="0"/>
        <u val="none"/>
        <color rgb="FFFFC000"/>
      </font>
      <fill>
        <patternFill patternType="solid">
          <bgColor theme="7" tint="0.79998168889431442"/>
        </patternFill>
      </fill>
    </dxf>
    <dxf>
      <font>
        <b val="0"/>
        <i/>
        <strike val="0"/>
        <u val="none"/>
        <color rgb="FFFF0000"/>
      </font>
      <fill>
        <patternFill>
          <bgColor theme="8" tint="0.59996337778862885"/>
        </patternFill>
      </fill>
    </dxf>
    <dxf>
      <font>
        <b val="0"/>
        <i/>
        <strike val="0"/>
        <u val="none"/>
        <color rgb="FFFF0000"/>
      </font>
      <fill>
        <patternFill>
          <bgColor theme="8" tint="0.59996337778862885"/>
        </patternFill>
      </fill>
    </dxf>
    <dxf>
      <font>
        <b/>
        <i val="0"/>
        <strike val="0"/>
        <u val="none"/>
        <color theme="0"/>
      </font>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00B0F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CC99FF"/>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7" tint="0.39991454817346722"/>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theme="9" tint="-0.2499465926084170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4" tint="0.3999450666829432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rgb="FF7E1389"/>
      </font>
      <fill>
        <patternFill>
          <bgColor rgb="FFFFAFB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rgb="FFEB2403"/>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1" tint="0.49998474074526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0"/>
      </font>
      <fill>
        <patternFill>
          <bgColor theme="5" tint="-0.2499465926084170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0"/>
      </font>
      <fill>
        <patternFill>
          <bgColor rgb="FFF632C7"/>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rgb="FF99FF33"/>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FF0000"/>
      </font>
      <fill>
        <patternFill patternType="solid">
          <bgColor theme="9" tint="0.59996337778862885"/>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7ED882"/>
        </patternFill>
      </fill>
      <border>
        <left style="thin">
          <color theme="0" tint="-0.14996795556505021"/>
        </left>
        <right style="thin">
          <color theme="0" tint="-0.14996795556505021"/>
        </right>
        <top style="thin">
          <color theme="0" tint="-0.14996795556505021"/>
        </top>
        <bottom style="thin">
          <color theme="0" tint="-0.14996795556505021"/>
        </bottom>
      </border>
    </dxf>
    <dxf>
      <font>
        <strike val="0"/>
        <color rgb="FF9C0006"/>
      </font>
      <fill>
        <patternFill>
          <bgColor theme="7" tint="0.39994506668294322"/>
        </patternFill>
      </fill>
    </dxf>
    <dxf>
      <font>
        <b/>
        <i val="0"/>
        <strike val="0"/>
        <u val="none"/>
        <color theme="0"/>
      </font>
      <fill>
        <patternFill patternType="solid">
          <bgColor theme="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FF99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patternType="solid">
          <bgColor rgb="FFFF99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rgb="FF92E7F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FF66CC"/>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0070C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1"/>
      </font>
      <fill>
        <patternFill>
          <bgColor rgb="FFFFFF00"/>
        </patternFill>
      </fill>
      <border>
        <left style="thin">
          <color theme="0" tint="-0.14996795556505021"/>
        </left>
        <right style="thin">
          <color theme="0" tint="-0.14996795556505021"/>
        </right>
        <top style="thin">
          <color theme="0" tint="-0.14996795556505021"/>
        </top>
        <bottom style="thin">
          <color theme="0" tint="-0.14996795556505021"/>
        </bottom>
      </border>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color auto="1"/>
      </font>
      <fill>
        <patternFill>
          <bgColor theme="9"/>
        </patternFill>
      </fill>
      <border>
        <left style="thin">
          <color theme="0" tint="-0.14996795556505021"/>
        </left>
        <right style="thin">
          <color theme="0" tint="-0.14996795556505021"/>
        </right>
        <top style="thin">
          <color theme="0" tint="-0.14996795556505021"/>
        </top>
        <bottom style="thin">
          <color theme="0" tint="-0.14996795556505021"/>
        </bottom>
      </border>
    </dxf>
    <dxf>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FF0000"/>
      </font>
      <fill>
        <patternFill patternType="solid">
          <bgColor theme="9" tint="0.59996337778862885"/>
        </patternFill>
      </fill>
      <border>
        <left style="thin">
          <color theme="0" tint="-0.14996795556505021"/>
        </left>
        <right style="thin">
          <color theme="0" tint="-0.14996795556505021"/>
        </right>
        <top style="thin">
          <color theme="0" tint="-0.14996795556505021"/>
        </top>
        <bottom style="thin">
          <color theme="0" tint="-0.14996795556505021"/>
        </bottom>
      </border>
    </dxf>
    <dxf>
      <font>
        <color auto="1"/>
      </font>
      <fill>
        <patternFill>
          <bgColor theme="9"/>
        </patternFill>
      </fill>
    </dxf>
    <dxf>
      <fill>
        <patternFill>
          <bgColor rgb="FFFF0000"/>
        </patternFill>
      </fill>
    </dxf>
    <dxf>
      <font>
        <b/>
        <i val="0"/>
        <strike val="0"/>
        <u val="none"/>
        <color theme="5" tint="-0.24994659260841701"/>
      </font>
      <fill>
        <patternFill patternType="solid">
          <bgColor rgb="FFFFFF00"/>
        </patternFill>
      </fill>
    </dxf>
    <dxf>
      <font>
        <b/>
        <i val="0"/>
        <strike val="0"/>
        <u val="none"/>
        <color rgb="FFFF0000"/>
      </font>
      <fill>
        <patternFill patternType="solid">
          <bgColor rgb="FFFFFF00"/>
        </patternFill>
      </fill>
    </dxf>
    <dxf>
      <font>
        <b/>
        <i val="0"/>
        <strike val="0"/>
        <u val="none"/>
        <color rgb="FF00B0F0"/>
      </font>
      <fill>
        <patternFill patternType="solid">
          <bgColor rgb="FFFFFF00"/>
        </patternFill>
      </fill>
    </dxf>
    <dxf>
      <font>
        <b/>
        <i val="0"/>
        <strike val="0"/>
        <u val="none"/>
        <color theme="0"/>
      </font>
      <fill>
        <patternFill>
          <bgColor rgb="FFFF3399"/>
        </patternFill>
      </fill>
    </dxf>
    <dxf>
      <font>
        <b/>
        <i val="0"/>
        <strike val="0"/>
        <u val="none"/>
        <color theme="0"/>
      </font>
      <fill>
        <patternFill>
          <bgColor rgb="FFFF3399"/>
        </patternFill>
      </fill>
    </dxf>
    <dxf>
      <font>
        <b/>
        <i/>
        <strike val="0"/>
        <u val="none"/>
        <color theme="5" tint="-0.24994659260841701"/>
      </font>
      <fill>
        <patternFill>
          <bgColor rgb="FFFFFF00"/>
        </patternFill>
      </fill>
    </dxf>
    <dxf>
      <font>
        <b/>
        <i/>
        <strike val="0"/>
        <u val="none"/>
        <color rgb="FFFF0000"/>
      </font>
      <fill>
        <patternFill>
          <bgColor rgb="FFFFFF00"/>
        </patternFill>
      </fill>
    </dxf>
    <dxf>
      <font>
        <b/>
        <i val="0"/>
        <strike val="0"/>
        <u val="none"/>
        <color auto="1"/>
      </font>
      <fill>
        <patternFill patternType="solid">
          <bgColor theme="9" tint="0.59996337778862885"/>
        </patternFill>
      </fill>
    </dxf>
    <dxf>
      <font>
        <b/>
        <i/>
        <strike val="0"/>
        <u val="none"/>
        <color auto="1"/>
      </font>
      <fill>
        <patternFill patternType="solid">
          <bgColor rgb="FF00FF00"/>
        </patternFill>
      </fill>
    </dxf>
    <dxf>
      <font>
        <b/>
        <i/>
        <strike val="0"/>
        <u val="none"/>
        <color auto="1"/>
      </font>
      <fill>
        <patternFill patternType="solid">
          <bgColor rgb="FF00FF00"/>
        </patternFill>
      </fill>
    </dxf>
    <dxf>
      <font>
        <b/>
        <i val="0"/>
        <strike val="0"/>
        <u val="none"/>
        <color rgb="FFFF0000"/>
      </font>
      <fill>
        <patternFill>
          <bgColor rgb="FF00B0F0"/>
        </patternFill>
      </fill>
    </dxf>
    <dxf>
      <font>
        <b/>
        <i val="0"/>
        <strike val="0"/>
        <u val="none"/>
        <color rgb="FFFF0000"/>
      </font>
      <fill>
        <patternFill>
          <bgColor rgb="FF00B0F0"/>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rgb="FFFFC000"/>
      </font>
      <fill>
        <patternFill patternType="solid">
          <bgColor theme="7" tint="0.79998168889431442"/>
        </patternFill>
      </fill>
    </dxf>
    <dxf>
      <font>
        <b/>
        <i/>
        <strike val="0"/>
        <u val="none"/>
        <color rgb="FFFFC000"/>
      </font>
      <fill>
        <patternFill patternType="solid">
          <bgColor theme="7" tint="0.79998168889431442"/>
        </patternFill>
      </fill>
    </dxf>
    <dxf>
      <font>
        <b val="0"/>
        <i/>
        <strike val="0"/>
        <u val="none"/>
        <color rgb="FFFF0000"/>
      </font>
      <fill>
        <patternFill>
          <bgColor theme="8" tint="0.59996337778862885"/>
        </patternFill>
      </fill>
    </dxf>
    <dxf>
      <font>
        <b val="0"/>
        <i/>
        <strike val="0"/>
        <u val="none"/>
        <color rgb="FFFF0000"/>
      </font>
      <fill>
        <patternFill>
          <bgColor theme="8" tint="0.59996337778862885"/>
        </patternFill>
      </fill>
    </dxf>
    <dxf>
      <font>
        <b/>
        <i val="0"/>
        <strike val="0"/>
        <u val="none"/>
        <color theme="0"/>
      </font>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00B0F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CC99FF"/>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7" tint="0.39991454817346722"/>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theme="9" tint="-0.2499465926084170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4" tint="0.3999450666829432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rgb="FF7E1389"/>
      </font>
      <fill>
        <patternFill>
          <bgColor rgb="FFFFAFB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rgb="FFEB2403"/>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1" tint="0.49998474074526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0"/>
      </font>
      <fill>
        <patternFill>
          <bgColor theme="5" tint="-0.2499465926084170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0"/>
      </font>
      <fill>
        <patternFill>
          <bgColor rgb="FFF632C7"/>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rgb="FF99FF33"/>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FF0000"/>
      </font>
      <fill>
        <patternFill patternType="none">
          <bgColor auto="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7ED882"/>
        </patternFill>
      </fill>
      <border>
        <left style="thin">
          <color theme="0" tint="-0.14996795556505021"/>
        </left>
        <right style="thin">
          <color theme="0" tint="-0.14996795556505021"/>
        </right>
        <top style="thin">
          <color theme="0" tint="-0.14996795556505021"/>
        </top>
        <bottom style="thin">
          <color theme="0" tint="-0.14996795556505021"/>
        </bottom>
      </border>
    </dxf>
    <dxf>
      <font>
        <strike val="0"/>
        <color rgb="FF9C0006"/>
      </font>
      <fill>
        <patternFill>
          <bgColor theme="7" tint="0.39994506668294322"/>
        </patternFill>
      </fill>
    </dxf>
    <dxf>
      <font>
        <b/>
        <i val="0"/>
        <strike val="0"/>
        <u val="none"/>
        <color theme="0"/>
      </font>
      <fill>
        <patternFill patternType="solid">
          <bgColor theme="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FF99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patternType="solid">
          <bgColor rgb="FFFF99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rgb="FF92E7F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FF66CC"/>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0070C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1"/>
      </font>
      <fill>
        <patternFill>
          <bgColor rgb="FFFFFF00"/>
        </patternFill>
      </fill>
      <border>
        <left style="thin">
          <color theme="0" tint="-0.14996795556505021"/>
        </left>
        <right style="thin">
          <color theme="0" tint="-0.14996795556505021"/>
        </right>
        <top style="thin">
          <color theme="0" tint="-0.14996795556505021"/>
        </top>
        <bottom style="thin">
          <color theme="0" tint="-0.14996795556505021"/>
        </bottom>
      </border>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val="0"/>
        <strike val="0"/>
        <u val="none"/>
        <color theme="0"/>
      </font>
      <fill>
        <patternFill>
          <bgColor rgb="FFFF3399"/>
        </patternFill>
      </fill>
    </dxf>
    <dxf>
      <font>
        <b/>
        <i val="0"/>
        <strike val="0"/>
        <u val="none"/>
        <color theme="0"/>
      </font>
      <fill>
        <patternFill>
          <bgColor rgb="FFFF3399"/>
        </patternFill>
      </fill>
    </dxf>
    <dxf>
      <font>
        <b/>
        <i/>
        <strike val="0"/>
        <u val="none"/>
        <color auto="1"/>
      </font>
      <fill>
        <patternFill patternType="solid">
          <bgColor rgb="FF00FF00"/>
        </patternFill>
      </fill>
    </dxf>
    <dxf>
      <font>
        <b/>
        <i val="0"/>
        <strike val="0"/>
        <u val="none"/>
        <color rgb="FFFF0000"/>
      </font>
      <fill>
        <patternFill>
          <bgColor rgb="FF00B0F0"/>
        </patternFill>
      </fill>
    </dxf>
    <dxf>
      <font>
        <b/>
        <i val="0"/>
        <strike val="0"/>
        <u val="none"/>
        <color rgb="FF00B050"/>
      </font>
      <fill>
        <patternFill>
          <bgColor rgb="FFEAF1AB"/>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9966FF"/>
      </font>
      <fill>
        <patternFill>
          <bgColor rgb="FFB1DDEB"/>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00B0F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CC99FF"/>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7" tint="0.39991454817346722"/>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theme="9" tint="-0.2499465926084170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4" tint="0.3999450666829432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rgb="FF7E1389"/>
      </font>
      <fill>
        <patternFill>
          <bgColor rgb="FFFFAFB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rgb="FFEB2403"/>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1" tint="0.49998474074526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0"/>
      </font>
      <fill>
        <patternFill>
          <bgColor theme="5" tint="-0.2499465926084170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0"/>
      </font>
      <fill>
        <patternFill>
          <bgColor rgb="FFF632C7"/>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rgb="FF99FF33"/>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FF0000"/>
      </font>
      <fill>
        <patternFill patternType="solid">
          <bgColor theme="9" tint="0.59996337778862885"/>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7ED882"/>
        </patternFill>
      </fill>
      <border>
        <left style="thin">
          <color theme="0" tint="-0.14996795556505021"/>
        </left>
        <right style="thin">
          <color theme="0" tint="-0.14996795556505021"/>
        </right>
        <top style="thin">
          <color theme="0" tint="-0.14996795556505021"/>
        </top>
        <bottom style="thin">
          <color theme="0" tint="-0.14996795556505021"/>
        </bottom>
      </border>
    </dxf>
    <dxf>
      <font>
        <strike val="0"/>
        <color rgb="FF9C0006"/>
      </font>
      <fill>
        <patternFill>
          <bgColor theme="7" tint="0.39994506668294322"/>
        </patternFill>
      </fill>
    </dxf>
    <dxf>
      <font>
        <b/>
        <i val="0"/>
        <strike val="0"/>
        <u val="none"/>
        <color theme="0"/>
      </font>
      <fill>
        <patternFill patternType="solid">
          <bgColor theme="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FF99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patternType="solid">
          <bgColor rgb="FFFF99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rgb="FF92E7F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FF66CC"/>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0070C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1"/>
      </font>
      <fill>
        <patternFill>
          <bgColor rgb="FFFFFF00"/>
        </patternFill>
      </fill>
      <border>
        <left style="thin">
          <color theme="0" tint="-0.14996795556505021"/>
        </left>
        <right style="thin">
          <color theme="0" tint="-0.14996795556505021"/>
        </right>
        <top style="thin">
          <color theme="0" tint="-0.14996795556505021"/>
        </top>
        <bottom style="thin">
          <color theme="0" tint="-0.14996795556505021"/>
        </bottom>
      </border>
    </dxf>
    <dxf>
      <font>
        <color auto="1"/>
      </font>
      <fill>
        <patternFill>
          <bgColor theme="9" tint="0.59996337778862885"/>
        </patternFill>
      </fill>
      <border>
        <left style="thin">
          <color theme="2"/>
        </left>
        <right style="thin">
          <color theme="2"/>
        </right>
        <top style="thin">
          <color theme="2"/>
        </top>
        <bottom style="thin">
          <color theme="2"/>
        </bottom>
      </border>
    </dxf>
    <dxf>
      <fill>
        <patternFill>
          <bgColor rgb="FF00B050"/>
        </patternFill>
      </fill>
      <border>
        <left style="thin">
          <color theme="0" tint="-0.24994659260841701"/>
        </left>
        <right style="thin">
          <color theme="0" tint="-0.24994659260841701"/>
        </right>
        <top style="thin">
          <color theme="0" tint="-0.24994659260841701"/>
        </top>
        <bottom style="thin">
          <color theme="0" tint="-0.24994659260841701"/>
        </bottom>
      </border>
    </dxf>
    <dxf>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rgb="FFFFFF0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b/>
        <i val="0"/>
        <color rgb="FF00B050"/>
      </font>
    </dxf>
    <dxf>
      <font>
        <b/>
        <i val="0"/>
      </font>
      <fill>
        <patternFill>
          <bgColor theme="5" tint="0.7999816888943144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00B050"/>
        </patternFill>
      </fill>
    </dxf>
    <dxf>
      <font>
        <b/>
        <i val="0"/>
        <u val="double"/>
        <color auto="1"/>
      </font>
      <fill>
        <patternFill patternType="darkTrellis">
          <fgColor theme="5" tint="0.39994506668294322"/>
        </patternFill>
      </fill>
      <border>
        <left style="thin">
          <color auto="1"/>
        </left>
        <right style="thin">
          <color auto="1"/>
        </right>
        <top style="thin">
          <color auto="1"/>
        </top>
        <bottom style="thin">
          <color auto="1"/>
        </bottom>
      </border>
    </dxf>
    <dxf>
      <font>
        <b/>
        <i val="0"/>
        <strike val="0"/>
        <u/>
      </font>
      <fill>
        <patternFill patternType="darkTrellis">
          <fgColor theme="9" tint="0.59996337778862885"/>
          <bgColor auto="1"/>
        </patternFill>
      </fill>
      <border>
        <left style="thin">
          <color auto="1"/>
        </left>
        <right style="thin">
          <color auto="1"/>
        </right>
        <top style="thin">
          <color auto="1"/>
        </top>
        <bottom style="thin">
          <color auto="1"/>
        </bottom>
      </border>
    </dxf>
    <dxf>
      <font>
        <b/>
        <i val="0"/>
        <u val="double"/>
        <color auto="1"/>
      </font>
      <fill>
        <patternFill patternType="darkTrellis">
          <fgColor theme="5" tint="0.39994506668294322"/>
        </patternFill>
      </fill>
      <border>
        <left style="thin">
          <color auto="1"/>
        </left>
        <right style="thin">
          <color auto="1"/>
        </right>
        <top style="thin">
          <color auto="1"/>
        </top>
        <bottom style="thin">
          <color auto="1"/>
        </bottom>
      </border>
    </dxf>
    <dxf>
      <font>
        <b/>
        <i val="0"/>
        <strike val="0"/>
        <u/>
      </font>
      <fill>
        <patternFill patternType="darkTrellis">
          <fgColor theme="9" tint="0.59996337778862885"/>
          <bgColor auto="1"/>
        </patternFill>
      </fill>
      <border>
        <left style="thin">
          <color auto="1"/>
        </left>
        <right style="thin">
          <color auto="1"/>
        </right>
        <top style="thin">
          <color auto="1"/>
        </top>
        <bottom style="thin">
          <color auto="1"/>
        </bottom>
      </border>
    </dxf>
    <dxf>
      <font>
        <b/>
        <i val="0"/>
        <u val="double"/>
        <color auto="1"/>
      </font>
      <fill>
        <patternFill patternType="darkTrellis">
          <fgColor theme="5" tint="0.39994506668294322"/>
        </patternFill>
      </fill>
      <border>
        <left style="thin">
          <color auto="1"/>
        </left>
        <right style="thin">
          <color auto="1"/>
        </right>
        <top style="thin">
          <color auto="1"/>
        </top>
        <bottom style="thin">
          <color auto="1"/>
        </bottom>
      </border>
    </dxf>
    <dxf>
      <font>
        <b/>
        <i val="0"/>
        <strike val="0"/>
        <u/>
      </font>
      <fill>
        <patternFill patternType="darkTrellis">
          <fgColor theme="9" tint="0.59996337778862885"/>
          <bgColor auto="1"/>
        </patternFill>
      </fill>
      <border>
        <left style="thin">
          <color auto="1"/>
        </left>
        <right style="thin">
          <color auto="1"/>
        </right>
        <top style="thin">
          <color auto="1"/>
        </top>
        <bottom style="thin">
          <color auto="1"/>
        </bottom>
      </border>
    </dxf>
    <dxf>
      <font>
        <b/>
        <i val="0"/>
        <u val="double"/>
        <color auto="1"/>
      </font>
      <fill>
        <patternFill patternType="darkTrellis">
          <fgColor theme="5" tint="0.39994506668294322"/>
        </patternFill>
      </fill>
      <border>
        <left style="thin">
          <color auto="1"/>
        </left>
        <right style="thin">
          <color auto="1"/>
        </right>
        <top style="thin">
          <color auto="1"/>
        </top>
        <bottom style="thin">
          <color auto="1"/>
        </bottom>
      </border>
    </dxf>
    <dxf>
      <font>
        <b/>
        <i val="0"/>
        <strike val="0"/>
        <u/>
      </font>
      <fill>
        <patternFill patternType="darkTrellis">
          <fgColor theme="9" tint="0.59996337778862885"/>
          <bgColor auto="1"/>
        </patternFill>
      </fill>
      <border>
        <left style="thin">
          <color auto="1"/>
        </left>
        <right style="thin">
          <color auto="1"/>
        </right>
        <top style="thin">
          <color auto="1"/>
        </top>
        <bottom style="thin">
          <color auto="1"/>
        </bottom>
      </border>
    </dxf>
    <dxf>
      <font>
        <b/>
        <i val="0"/>
        <u val="double"/>
        <color auto="1"/>
      </font>
      <fill>
        <patternFill patternType="darkTrellis">
          <fgColor theme="5" tint="0.39994506668294322"/>
        </patternFill>
      </fill>
      <border>
        <left style="thin">
          <color auto="1"/>
        </left>
        <right style="thin">
          <color auto="1"/>
        </right>
        <top style="thin">
          <color auto="1"/>
        </top>
        <bottom style="thin">
          <color auto="1"/>
        </bottom>
      </border>
    </dxf>
    <dxf>
      <font>
        <b/>
        <i val="0"/>
        <strike val="0"/>
        <u/>
      </font>
      <fill>
        <patternFill patternType="darkTrellis">
          <fgColor theme="9" tint="0.59996337778862885"/>
          <bgColor auto="1"/>
        </patternFill>
      </fill>
      <border>
        <left style="thin">
          <color auto="1"/>
        </left>
        <right style="thin">
          <color auto="1"/>
        </right>
        <top style="thin">
          <color auto="1"/>
        </top>
        <bottom style="thin">
          <color auto="1"/>
        </bottom>
      </border>
    </dxf>
    <dxf>
      <font>
        <b/>
        <i val="0"/>
        <u val="double"/>
        <color auto="1"/>
      </font>
      <fill>
        <patternFill patternType="darkTrellis">
          <fgColor theme="5" tint="0.39994506668294322"/>
        </patternFill>
      </fill>
      <border>
        <left style="thin">
          <color auto="1"/>
        </left>
        <right style="thin">
          <color auto="1"/>
        </right>
        <top style="thin">
          <color auto="1"/>
        </top>
        <bottom style="thin">
          <color auto="1"/>
        </bottom>
      </border>
    </dxf>
    <dxf>
      <font>
        <b/>
        <i val="0"/>
        <strike val="0"/>
        <u/>
      </font>
      <fill>
        <patternFill patternType="darkTrellis">
          <fgColor theme="9" tint="0.59996337778862885"/>
          <bgColor auto="1"/>
        </patternFill>
      </fill>
      <border>
        <left style="thin">
          <color auto="1"/>
        </left>
        <right style="thin">
          <color auto="1"/>
        </right>
        <top style="thin">
          <color auto="1"/>
        </top>
        <bottom style="thin">
          <color auto="1"/>
        </bottom>
      </border>
    </dxf>
    <dxf>
      <font>
        <b/>
        <i val="0"/>
        <u val="double"/>
        <color auto="1"/>
      </font>
      <fill>
        <patternFill patternType="darkTrellis">
          <fgColor theme="5" tint="0.39994506668294322"/>
        </patternFill>
      </fill>
      <border>
        <left style="thin">
          <color auto="1"/>
        </left>
        <right style="thin">
          <color auto="1"/>
        </right>
        <top style="thin">
          <color auto="1"/>
        </top>
        <bottom style="thin">
          <color auto="1"/>
        </bottom>
      </border>
    </dxf>
    <dxf>
      <font>
        <b/>
        <i val="0"/>
        <strike val="0"/>
        <u/>
      </font>
      <fill>
        <patternFill patternType="darkTrellis">
          <fgColor theme="9" tint="0.59996337778862885"/>
          <bgColor auto="1"/>
        </patternFill>
      </fill>
      <border>
        <left style="thin">
          <color auto="1"/>
        </left>
        <right style="thin">
          <color auto="1"/>
        </right>
        <top style="thin">
          <color auto="1"/>
        </top>
        <bottom style="thin">
          <color auto="1"/>
        </bottom>
      </border>
    </dxf>
    <dxf>
      <font>
        <b/>
        <i val="0"/>
        <u val="double"/>
        <color auto="1"/>
      </font>
      <fill>
        <patternFill patternType="darkTrellis">
          <fgColor theme="5" tint="0.39994506668294322"/>
        </patternFill>
      </fill>
      <border>
        <left style="thin">
          <color auto="1"/>
        </left>
        <right style="thin">
          <color auto="1"/>
        </right>
        <top style="thin">
          <color auto="1"/>
        </top>
        <bottom style="thin">
          <color auto="1"/>
        </bottom>
      </border>
    </dxf>
    <dxf>
      <font>
        <b/>
        <i val="0"/>
        <strike val="0"/>
        <u/>
      </font>
      <fill>
        <patternFill patternType="darkTrellis">
          <fgColor theme="9" tint="0.59996337778862885"/>
          <bgColor auto="1"/>
        </patternFill>
      </fill>
      <border>
        <left style="thin">
          <color auto="1"/>
        </left>
        <right style="thin">
          <color auto="1"/>
        </right>
        <top style="thin">
          <color auto="1"/>
        </top>
        <bottom style="thin">
          <color auto="1"/>
        </bottom>
      </border>
    </dxf>
    <dxf>
      <font>
        <b/>
        <i val="0"/>
        <u val="double"/>
        <color auto="1"/>
      </font>
      <fill>
        <patternFill patternType="darkTrellis">
          <fgColor theme="5" tint="0.39994506668294322"/>
        </patternFill>
      </fill>
      <border>
        <left style="thin">
          <color auto="1"/>
        </left>
        <right style="thin">
          <color auto="1"/>
        </right>
        <top style="thin">
          <color auto="1"/>
        </top>
        <bottom style="thin">
          <color auto="1"/>
        </bottom>
      </border>
    </dxf>
    <dxf>
      <font>
        <b/>
        <i val="0"/>
        <strike val="0"/>
        <u/>
      </font>
      <fill>
        <patternFill patternType="darkTrellis">
          <fgColor theme="9" tint="0.59996337778862885"/>
          <bgColor auto="1"/>
        </patternFill>
      </fill>
      <border>
        <left style="thin">
          <color auto="1"/>
        </left>
        <right style="thin">
          <color auto="1"/>
        </right>
        <top style="thin">
          <color auto="1"/>
        </top>
        <bottom style="thin">
          <color auto="1"/>
        </bottom>
      </border>
    </dxf>
    <dxf>
      <fill>
        <patternFill>
          <bgColor rgb="FFF5F274"/>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1"/>
      </font>
      <fill>
        <patternFill>
          <bgColor rgb="FFBEBADA"/>
        </patternFill>
      </fill>
      <border>
        <left style="thin">
          <color theme="2"/>
        </left>
        <right style="thin">
          <color theme="2"/>
        </right>
        <top style="thin">
          <color theme="2"/>
        </top>
        <bottom style="thin">
          <color theme="2"/>
        </bottom>
      </border>
    </dxf>
    <dxf>
      <font>
        <b/>
        <i val="0"/>
      </font>
      <fill>
        <patternFill>
          <bgColor rgb="FF62A0D8"/>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00B050"/>
        </patternFill>
      </fill>
      <border>
        <left style="thin">
          <color theme="0" tint="-0.24994659260841701"/>
        </left>
        <right style="thin">
          <color theme="0" tint="-0.24994659260841701"/>
        </right>
        <top style="thin">
          <color theme="0" tint="-0.24994659260841701"/>
        </top>
        <bottom style="thin">
          <color theme="0" tint="-0.24994659260841701"/>
        </bottom>
      </border>
    </dxf>
    <dxf>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b/>
        <i val="0"/>
        <strike val="0"/>
        <u val="none"/>
        <color theme="5" tint="-0.24994659260841701"/>
      </font>
      <fill>
        <patternFill patternType="solid">
          <bgColor rgb="FFFFFF00"/>
        </patternFill>
      </fill>
    </dxf>
    <dxf>
      <font>
        <b/>
        <i val="0"/>
        <strike val="0"/>
        <u val="none"/>
        <color rgb="FFFF0000"/>
      </font>
      <fill>
        <patternFill patternType="solid">
          <bgColor rgb="FFFFFF00"/>
        </patternFill>
      </fill>
    </dxf>
    <dxf>
      <font>
        <b/>
        <i val="0"/>
        <strike val="0"/>
        <u val="none"/>
        <color rgb="FF00B0F0"/>
      </font>
      <fill>
        <patternFill patternType="solid">
          <bgColor rgb="FFFFFF00"/>
        </patternFill>
      </fill>
    </dxf>
    <dxf>
      <font>
        <b/>
        <i val="0"/>
        <strike val="0"/>
        <u val="none"/>
        <color theme="0"/>
      </font>
      <fill>
        <patternFill>
          <bgColor rgb="FFFF3399"/>
        </patternFill>
      </fill>
    </dxf>
    <dxf>
      <font>
        <b/>
        <i val="0"/>
        <strike val="0"/>
        <u val="none"/>
        <color theme="0"/>
      </font>
      <fill>
        <patternFill>
          <bgColor rgb="FFFF3399"/>
        </patternFill>
      </fill>
    </dxf>
    <dxf>
      <font>
        <b/>
        <i/>
        <strike val="0"/>
        <u val="none"/>
        <color theme="5" tint="-0.24994659260841701"/>
      </font>
      <fill>
        <patternFill>
          <bgColor rgb="FFFFFF00"/>
        </patternFill>
      </fill>
    </dxf>
    <dxf>
      <font>
        <b/>
        <i/>
        <strike val="0"/>
        <u val="none"/>
        <color rgb="FFFF0000"/>
      </font>
      <fill>
        <patternFill>
          <bgColor rgb="FFFFFF00"/>
        </patternFill>
      </fill>
    </dxf>
    <dxf>
      <font>
        <b/>
        <i val="0"/>
        <strike val="0"/>
        <u val="none"/>
        <color auto="1"/>
      </font>
      <fill>
        <patternFill patternType="solid">
          <bgColor theme="9" tint="0.59996337778862885"/>
        </patternFill>
      </fill>
    </dxf>
    <dxf>
      <font>
        <b/>
        <i/>
        <strike val="0"/>
        <u val="none"/>
        <color auto="1"/>
      </font>
      <fill>
        <patternFill patternType="solid">
          <bgColor rgb="FF00FF00"/>
        </patternFill>
      </fill>
    </dxf>
    <dxf>
      <font>
        <b/>
        <i/>
        <strike val="0"/>
        <u val="none"/>
        <color auto="1"/>
      </font>
      <fill>
        <patternFill patternType="solid">
          <bgColor rgb="FF00FF00"/>
        </patternFill>
      </fill>
    </dxf>
    <dxf>
      <font>
        <b/>
        <i val="0"/>
        <strike val="0"/>
        <u val="none"/>
        <color rgb="FFFF0000"/>
      </font>
      <fill>
        <patternFill>
          <bgColor rgb="FF00B0F0"/>
        </patternFill>
      </fill>
    </dxf>
    <dxf>
      <font>
        <b/>
        <i val="0"/>
        <strike val="0"/>
        <u val="none"/>
        <color rgb="FFFF0000"/>
      </font>
      <fill>
        <patternFill>
          <bgColor rgb="FF00B0F0"/>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rgb="FFFFC000"/>
      </font>
      <fill>
        <patternFill patternType="solid">
          <bgColor theme="7" tint="0.79998168889431442"/>
        </patternFill>
      </fill>
    </dxf>
    <dxf>
      <font>
        <b/>
        <i/>
        <strike val="0"/>
        <u val="none"/>
        <color rgb="FFFFC000"/>
      </font>
      <fill>
        <patternFill patternType="solid">
          <bgColor theme="7" tint="0.79998168889431442"/>
        </patternFill>
      </fill>
    </dxf>
    <dxf>
      <font>
        <b/>
        <i val="0"/>
        <strike val="0"/>
        <u val="none"/>
        <color rgb="FF00B050"/>
      </font>
      <fill>
        <patternFill>
          <bgColor rgb="FFEAF1AB"/>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9966FF"/>
      </font>
      <fill>
        <patternFill>
          <bgColor rgb="FFB1DDEB"/>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00B0F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CC99FF"/>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7" tint="0.39991454817346722"/>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theme="9" tint="-0.2499465926084170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4" tint="0.3999450666829432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rgb="FF7E1389"/>
      </font>
      <fill>
        <patternFill>
          <bgColor rgb="FFFFAFB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rgb="FFEB2403"/>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1" tint="0.49998474074526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0"/>
      </font>
      <fill>
        <patternFill>
          <bgColor theme="5" tint="-0.2499465926084170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0"/>
      </font>
      <fill>
        <patternFill>
          <bgColor rgb="FFF632C7"/>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rgb="FF99FF33"/>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FF0000"/>
      </font>
      <fill>
        <patternFill patternType="solid">
          <bgColor theme="9" tint="0.59996337778862885"/>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7ED882"/>
        </patternFill>
      </fill>
      <border>
        <left style="thin">
          <color theme="0" tint="-0.14996795556505021"/>
        </left>
        <right style="thin">
          <color theme="0" tint="-0.14996795556505021"/>
        </right>
        <top style="thin">
          <color theme="0" tint="-0.14996795556505021"/>
        </top>
        <bottom style="thin">
          <color theme="0" tint="-0.14996795556505021"/>
        </bottom>
      </border>
    </dxf>
    <dxf>
      <font>
        <strike val="0"/>
        <color rgb="FF9C0006"/>
      </font>
      <fill>
        <patternFill>
          <bgColor theme="7" tint="0.39994506668294322"/>
        </patternFill>
      </fill>
    </dxf>
    <dxf>
      <font>
        <b/>
        <i val="0"/>
        <strike val="0"/>
        <u val="none"/>
        <color theme="0"/>
      </font>
      <fill>
        <patternFill patternType="solid">
          <bgColor theme="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FF99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patternType="solid">
          <bgColor rgb="FFFF99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rgb="FF92E7F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FF66CC"/>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0070C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1"/>
      </font>
      <fill>
        <patternFill>
          <bgColor rgb="FFFFFF00"/>
        </patternFill>
      </fill>
      <border>
        <left style="thin">
          <color theme="0" tint="-0.14996795556505021"/>
        </left>
        <right style="thin">
          <color theme="0" tint="-0.14996795556505021"/>
        </right>
        <top style="thin">
          <color theme="0" tint="-0.14996795556505021"/>
        </top>
        <bottom style="thin">
          <color theme="0" tint="-0.14996795556505021"/>
        </bottom>
      </border>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color auto="1"/>
      </font>
      <fill>
        <patternFill>
          <bgColor theme="9"/>
        </patternFill>
      </fill>
      <border>
        <left style="thin">
          <color theme="0" tint="-0.14996795556505021"/>
        </left>
        <right style="thin">
          <color theme="0" tint="-0.14996795556505021"/>
        </right>
        <top style="thin">
          <color theme="0" tint="-0.14996795556505021"/>
        </top>
        <bottom style="thin">
          <color theme="0" tint="-0.14996795556505021"/>
        </bottom>
      </border>
    </dxf>
    <dxf>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border>
    </dxf>
    <dxf>
      <font>
        <color auto="1"/>
      </font>
      <fill>
        <patternFill>
          <bgColor theme="9" tint="0.59996337778862885"/>
        </patternFill>
      </fill>
      <border>
        <left style="thin">
          <color theme="2"/>
        </left>
        <right style="thin">
          <color theme="2"/>
        </right>
        <top style="thin">
          <color theme="2"/>
        </top>
        <bottom style="thin">
          <color theme="2"/>
        </bottom>
      </border>
    </dxf>
    <dxf>
      <fill>
        <patternFill>
          <bgColor rgb="FF00B050"/>
        </patternFill>
      </fill>
      <border>
        <left style="thin">
          <color theme="0" tint="-0.24994659260841701"/>
        </left>
        <right style="thin">
          <color theme="0" tint="-0.24994659260841701"/>
        </right>
        <top style="thin">
          <color theme="0" tint="-0.24994659260841701"/>
        </top>
        <bottom style="thin">
          <color theme="0" tint="-0.24994659260841701"/>
        </bottom>
      </border>
    </dxf>
    <dxf>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b/>
        <i val="0"/>
        <strike val="0"/>
        <u val="none"/>
        <color theme="5" tint="-0.24994659260841701"/>
      </font>
      <fill>
        <patternFill patternType="solid">
          <bgColor rgb="FFFFFF00"/>
        </patternFill>
      </fill>
    </dxf>
    <dxf>
      <font>
        <b/>
        <i val="0"/>
        <strike val="0"/>
        <u val="none"/>
        <color rgb="FFFF0000"/>
      </font>
      <fill>
        <patternFill patternType="solid">
          <bgColor rgb="FFFFFF00"/>
        </patternFill>
      </fill>
    </dxf>
    <dxf>
      <font>
        <b/>
        <i val="0"/>
        <strike val="0"/>
        <u val="none"/>
        <color rgb="FF00B0F0"/>
      </font>
      <fill>
        <patternFill patternType="solid">
          <bgColor rgb="FFFFFF00"/>
        </patternFill>
      </fill>
    </dxf>
    <dxf>
      <font>
        <b/>
        <i val="0"/>
        <strike val="0"/>
        <u val="none"/>
        <color theme="0"/>
      </font>
      <fill>
        <patternFill>
          <bgColor rgb="FFFF3399"/>
        </patternFill>
      </fill>
    </dxf>
    <dxf>
      <font>
        <b/>
        <i val="0"/>
        <strike val="0"/>
        <u val="none"/>
        <color theme="0"/>
      </font>
      <fill>
        <patternFill>
          <bgColor rgb="FFFF3399"/>
        </patternFill>
      </fill>
    </dxf>
    <dxf>
      <font>
        <b/>
        <i/>
        <strike val="0"/>
        <u val="none"/>
        <color theme="5" tint="-0.24994659260841701"/>
      </font>
      <fill>
        <patternFill>
          <bgColor rgb="FFFFFF00"/>
        </patternFill>
      </fill>
    </dxf>
    <dxf>
      <font>
        <b/>
        <i/>
        <strike val="0"/>
        <u val="none"/>
        <color rgb="FFFF0000"/>
      </font>
      <fill>
        <patternFill>
          <bgColor rgb="FFFFFF00"/>
        </patternFill>
      </fill>
    </dxf>
    <dxf>
      <font>
        <b/>
        <i val="0"/>
        <strike val="0"/>
        <u val="none"/>
        <color auto="1"/>
      </font>
      <fill>
        <patternFill patternType="solid">
          <bgColor theme="9" tint="0.59996337778862885"/>
        </patternFill>
      </fill>
    </dxf>
    <dxf>
      <font>
        <b/>
        <i/>
        <strike val="0"/>
        <u val="none"/>
        <color auto="1"/>
      </font>
      <fill>
        <patternFill patternType="solid">
          <bgColor rgb="FF00FF00"/>
        </patternFill>
      </fill>
    </dxf>
    <dxf>
      <font>
        <b/>
        <i/>
        <strike val="0"/>
        <u val="none"/>
        <color auto="1"/>
      </font>
      <fill>
        <patternFill patternType="solid">
          <bgColor rgb="FF00FF00"/>
        </patternFill>
      </fill>
    </dxf>
    <dxf>
      <font>
        <b/>
        <i val="0"/>
        <strike val="0"/>
        <u val="none"/>
        <color rgb="FFFF0000"/>
      </font>
      <fill>
        <patternFill>
          <bgColor rgb="FF00B0F0"/>
        </patternFill>
      </fill>
    </dxf>
    <dxf>
      <font>
        <b/>
        <i val="0"/>
        <strike val="0"/>
        <u val="none"/>
        <color rgb="FFFF0000"/>
      </font>
      <fill>
        <patternFill>
          <bgColor rgb="FF00B0F0"/>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rgb="FFFFC000"/>
      </font>
      <fill>
        <patternFill patternType="solid">
          <bgColor theme="7" tint="0.79998168889431442"/>
        </patternFill>
      </fill>
    </dxf>
    <dxf>
      <font>
        <b/>
        <i/>
        <strike val="0"/>
        <u val="none"/>
        <color rgb="FFFFC000"/>
      </font>
      <fill>
        <patternFill patternType="solid">
          <bgColor theme="7" tint="0.79998168889431442"/>
        </patternFill>
      </fill>
    </dxf>
    <dxf>
      <font>
        <b/>
        <i val="0"/>
        <strike val="0"/>
        <u val="none"/>
        <color rgb="FF00B050"/>
      </font>
      <fill>
        <patternFill>
          <bgColor rgb="FFEAF1AB"/>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9966FF"/>
      </font>
      <fill>
        <patternFill>
          <bgColor rgb="FFB1DDEB"/>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00B0F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CC99FF"/>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7" tint="0.39991454817346722"/>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theme="9" tint="-0.2499465926084170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4" tint="0.3999450666829432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rgb="FF7E1389"/>
      </font>
      <fill>
        <patternFill>
          <bgColor rgb="FFFFAFB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rgb="FFEB2403"/>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1" tint="0.49998474074526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0"/>
      </font>
      <fill>
        <patternFill>
          <bgColor theme="5" tint="-0.2499465926084170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0"/>
      </font>
      <fill>
        <patternFill>
          <bgColor rgb="FFF632C7"/>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rgb="FF99FF33"/>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FF0000"/>
      </font>
      <fill>
        <patternFill patternType="solid">
          <bgColor theme="9" tint="0.59996337778862885"/>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7ED882"/>
        </patternFill>
      </fill>
      <border>
        <left style="thin">
          <color theme="0" tint="-0.14996795556505021"/>
        </left>
        <right style="thin">
          <color theme="0" tint="-0.14996795556505021"/>
        </right>
        <top style="thin">
          <color theme="0" tint="-0.14996795556505021"/>
        </top>
        <bottom style="thin">
          <color theme="0" tint="-0.14996795556505021"/>
        </bottom>
      </border>
    </dxf>
    <dxf>
      <font>
        <strike val="0"/>
        <color rgb="FF9C0006"/>
      </font>
      <fill>
        <patternFill>
          <bgColor theme="7" tint="0.39994506668294322"/>
        </patternFill>
      </fill>
    </dxf>
    <dxf>
      <font>
        <b/>
        <i val="0"/>
        <strike val="0"/>
        <u val="none"/>
        <color theme="0"/>
      </font>
      <fill>
        <patternFill patternType="solid">
          <bgColor theme="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FF99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patternType="solid">
          <bgColor rgb="FFFF99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rgb="FF92E7F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FF66CC"/>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0070C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1"/>
      </font>
      <fill>
        <patternFill>
          <bgColor rgb="FFFFFF00"/>
        </patternFill>
      </fill>
      <border>
        <left style="thin">
          <color theme="0" tint="-0.14996795556505021"/>
        </left>
        <right style="thin">
          <color theme="0" tint="-0.14996795556505021"/>
        </right>
        <top style="thin">
          <color theme="0" tint="-0.14996795556505021"/>
        </top>
        <bottom style="thin">
          <color theme="0" tint="-0.14996795556505021"/>
        </bottom>
      </border>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color auto="1"/>
      </font>
      <fill>
        <patternFill>
          <bgColor theme="9"/>
        </patternFill>
      </fill>
      <border>
        <left style="thin">
          <color theme="0" tint="-0.14996795556505021"/>
        </left>
        <right style="thin">
          <color theme="0" tint="-0.14996795556505021"/>
        </right>
        <top style="thin">
          <color theme="0" tint="-0.14996795556505021"/>
        </top>
        <bottom style="thin">
          <color theme="0" tint="-0.14996795556505021"/>
        </bottom>
      </border>
    </dxf>
    <dxf>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border>
    </dxf>
    <dxf>
      <fill>
        <patternFill>
          <bgColor rgb="FF00B050"/>
        </patternFill>
      </fill>
      <border>
        <left style="thin">
          <color theme="0" tint="-0.24994659260841701"/>
        </left>
        <right style="thin">
          <color theme="0" tint="-0.24994659260841701"/>
        </right>
        <top style="thin">
          <color theme="0" tint="-0.24994659260841701"/>
        </top>
        <bottom style="thin">
          <color theme="0" tint="-0.24994659260841701"/>
        </bottom>
      </border>
    </dxf>
    <dxf>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b/>
        <i val="0"/>
        <strike val="0"/>
        <u val="none"/>
        <color theme="5" tint="-0.24994659260841701"/>
      </font>
      <fill>
        <patternFill patternType="solid">
          <bgColor rgb="FFFFFF00"/>
        </patternFill>
      </fill>
    </dxf>
    <dxf>
      <font>
        <b/>
        <i val="0"/>
        <strike val="0"/>
        <u val="none"/>
        <color rgb="FFFF0000"/>
      </font>
      <fill>
        <patternFill patternType="solid">
          <bgColor rgb="FFFFFF00"/>
        </patternFill>
      </fill>
    </dxf>
    <dxf>
      <font>
        <b/>
        <i val="0"/>
        <strike val="0"/>
        <u val="none"/>
        <color rgb="FF00B0F0"/>
      </font>
      <fill>
        <patternFill patternType="solid">
          <bgColor rgb="FFFFFF00"/>
        </patternFill>
      </fill>
    </dxf>
    <dxf>
      <font>
        <b/>
        <i val="0"/>
        <strike val="0"/>
        <u val="none"/>
        <color theme="0"/>
      </font>
      <fill>
        <patternFill>
          <bgColor rgb="FFFF3399"/>
        </patternFill>
      </fill>
    </dxf>
    <dxf>
      <font>
        <b/>
        <i val="0"/>
        <strike val="0"/>
        <u val="none"/>
        <color theme="0"/>
      </font>
      <fill>
        <patternFill>
          <bgColor rgb="FFFF3399"/>
        </patternFill>
      </fill>
    </dxf>
    <dxf>
      <font>
        <b/>
        <i/>
        <strike val="0"/>
        <u val="none"/>
        <color theme="5" tint="-0.24994659260841701"/>
      </font>
      <fill>
        <patternFill>
          <bgColor rgb="FFFFFF00"/>
        </patternFill>
      </fill>
    </dxf>
    <dxf>
      <font>
        <b/>
        <i/>
        <strike val="0"/>
        <u val="none"/>
        <color rgb="FFFF0000"/>
      </font>
      <fill>
        <patternFill>
          <bgColor rgb="FFFFFF00"/>
        </patternFill>
      </fill>
    </dxf>
    <dxf>
      <font>
        <b/>
        <i val="0"/>
        <strike val="0"/>
        <u val="none"/>
        <color auto="1"/>
      </font>
      <fill>
        <patternFill patternType="solid">
          <bgColor theme="9" tint="0.59996337778862885"/>
        </patternFill>
      </fill>
    </dxf>
    <dxf>
      <font>
        <b/>
        <i/>
        <strike val="0"/>
        <u val="none"/>
        <color auto="1"/>
      </font>
      <fill>
        <patternFill patternType="solid">
          <bgColor rgb="FF00FF00"/>
        </patternFill>
      </fill>
    </dxf>
    <dxf>
      <font>
        <b/>
        <i/>
        <strike val="0"/>
        <u val="none"/>
        <color auto="1"/>
      </font>
      <fill>
        <patternFill patternType="solid">
          <bgColor rgb="FF00FF00"/>
        </patternFill>
      </fill>
    </dxf>
    <dxf>
      <font>
        <b/>
        <i val="0"/>
        <strike val="0"/>
        <u val="none"/>
        <color rgb="FFFF0000"/>
      </font>
      <fill>
        <patternFill>
          <bgColor rgb="FF00B0F0"/>
        </patternFill>
      </fill>
    </dxf>
    <dxf>
      <font>
        <b/>
        <i val="0"/>
        <strike val="0"/>
        <u val="none"/>
        <color rgb="FFFF0000"/>
      </font>
      <fill>
        <patternFill>
          <bgColor rgb="FF00B0F0"/>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rgb="FFFFC000"/>
      </font>
      <fill>
        <patternFill patternType="solid">
          <bgColor theme="7" tint="0.79998168889431442"/>
        </patternFill>
      </fill>
    </dxf>
    <dxf>
      <font>
        <b/>
        <i/>
        <strike val="0"/>
        <u val="none"/>
        <color rgb="FFFFC000"/>
      </font>
      <fill>
        <patternFill patternType="solid">
          <bgColor theme="7" tint="0.79998168889431442"/>
        </patternFill>
      </fill>
    </dxf>
    <dxf>
      <font>
        <b/>
        <i val="0"/>
        <strike val="0"/>
        <u val="none"/>
        <color rgb="FF00B050"/>
      </font>
      <fill>
        <patternFill>
          <bgColor rgb="FFEAF1AB"/>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9966FF"/>
      </font>
      <fill>
        <patternFill>
          <bgColor rgb="FFB1DDEB"/>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00B0F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CC99FF"/>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7" tint="0.39991454817346722"/>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theme="9" tint="-0.2499465926084170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4" tint="0.3999450666829432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rgb="FF7E1389"/>
      </font>
      <fill>
        <patternFill>
          <bgColor rgb="FFFFAFB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rgb="FFEB2403"/>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1" tint="0.49998474074526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0"/>
      </font>
      <fill>
        <patternFill>
          <bgColor theme="5" tint="-0.2499465926084170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0"/>
      </font>
      <fill>
        <patternFill>
          <bgColor rgb="FFF632C7"/>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rgb="FF99FF33"/>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FF0000"/>
      </font>
      <fill>
        <patternFill patternType="solid">
          <bgColor theme="9" tint="0.59996337778862885"/>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7ED882"/>
        </patternFill>
      </fill>
      <border>
        <left style="thin">
          <color theme="0" tint="-0.14996795556505021"/>
        </left>
        <right style="thin">
          <color theme="0" tint="-0.14996795556505021"/>
        </right>
        <top style="thin">
          <color theme="0" tint="-0.14996795556505021"/>
        </top>
        <bottom style="thin">
          <color theme="0" tint="-0.14996795556505021"/>
        </bottom>
      </border>
    </dxf>
    <dxf>
      <font>
        <strike val="0"/>
        <color rgb="FF9C0006"/>
      </font>
      <fill>
        <patternFill>
          <bgColor theme="7" tint="0.39994506668294322"/>
        </patternFill>
      </fill>
    </dxf>
    <dxf>
      <font>
        <b/>
        <i val="0"/>
        <strike val="0"/>
        <u val="none"/>
        <color theme="0"/>
      </font>
      <fill>
        <patternFill patternType="solid">
          <bgColor theme="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FF99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patternType="solid">
          <bgColor rgb="FFFF99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rgb="FF92E7F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FF66CC"/>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0070C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1"/>
      </font>
      <fill>
        <patternFill>
          <bgColor rgb="FFFFFF00"/>
        </patternFill>
      </fill>
      <border>
        <left style="thin">
          <color theme="0" tint="-0.14996795556505021"/>
        </left>
        <right style="thin">
          <color theme="0" tint="-0.14996795556505021"/>
        </right>
        <top style="thin">
          <color theme="0" tint="-0.14996795556505021"/>
        </top>
        <bottom style="thin">
          <color theme="0" tint="-0.14996795556505021"/>
        </bottom>
      </border>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color auto="1"/>
      </font>
      <fill>
        <patternFill>
          <bgColor theme="9"/>
        </patternFill>
      </fill>
      <border>
        <left style="thin">
          <color theme="0" tint="-0.14996795556505021"/>
        </left>
        <right style="thin">
          <color theme="0" tint="-0.14996795556505021"/>
        </right>
        <top style="thin">
          <color theme="0" tint="-0.14996795556505021"/>
        </top>
        <bottom style="thin">
          <color theme="0" tint="-0.14996795556505021"/>
        </bottom>
      </border>
    </dxf>
    <dxf>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border>
    </dxf>
    <dxf>
      <fill>
        <patternFill>
          <bgColor rgb="FF00B050"/>
        </patternFill>
      </fill>
      <border>
        <left style="thin">
          <color theme="0" tint="-0.24994659260841701"/>
        </left>
        <right style="thin">
          <color theme="0" tint="-0.24994659260841701"/>
        </right>
        <top style="thin">
          <color theme="0" tint="-0.24994659260841701"/>
        </top>
        <bottom style="thin">
          <color theme="0" tint="-0.24994659260841701"/>
        </bottom>
      </border>
    </dxf>
    <dxf>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b/>
        <i val="0"/>
        <strike val="0"/>
        <u val="none"/>
        <color theme="5" tint="-0.24994659260841701"/>
      </font>
      <fill>
        <patternFill patternType="solid">
          <bgColor rgb="FFFFFF00"/>
        </patternFill>
      </fill>
    </dxf>
    <dxf>
      <font>
        <b/>
        <i val="0"/>
        <strike val="0"/>
        <u val="none"/>
        <color rgb="FFFF0000"/>
      </font>
      <fill>
        <patternFill patternType="solid">
          <bgColor rgb="FFFFFF00"/>
        </patternFill>
      </fill>
    </dxf>
    <dxf>
      <font>
        <b/>
        <i val="0"/>
        <strike val="0"/>
        <u val="none"/>
        <color rgb="FF00B0F0"/>
      </font>
      <fill>
        <patternFill patternType="solid">
          <bgColor rgb="FFFFFF00"/>
        </patternFill>
      </fill>
    </dxf>
    <dxf>
      <font>
        <b/>
        <i val="0"/>
        <strike val="0"/>
        <u val="none"/>
        <color theme="0"/>
      </font>
      <fill>
        <patternFill>
          <bgColor rgb="FFFF3399"/>
        </patternFill>
      </fill>
    </dxf>
    <dxf>
      <font>
        <b/>
        <i val="0"/>
        <strike val="0"/>
        <u val="none"/>
        <color theme="0"/>
      </font>
      <fill>
        <patternFill>
          <bgColor rgb="FFFF3399"/>
        </patternFill>
      </fill>
    </dxf>
    <dxf>
      <font>
        <b/>
        <i/>
        <strike val="0"/>
        <u val="none"/>
        <color theme="5" tint="-0.24994659260841701"/>
      </font>
      <fill>
        <patternFill>
          <bgColor rgb="FFFFFF00"/>
        </patternFill>
      </fill>
    </dxf>
    <dxf>
      <font>
        <b/>
        <i/>
        <strike val="0"/>
        <u val="none"/>
        <color rgb="FFFF0000"/>
      </font>
      <fill>
        <patternFill>
          <bgColor rgb="FFFFFF00"/>
        </patternFill>
      </fill>
    </dxf>
    <dxf>
      <font>
        <b/>
        <i val="0"/>
        <strike val="0"/>
        <u val="none"/>
        <color auto="1"/>
      </font>
      <fill>
        <patternFill patternType="solid">
          <bgColor theme="9" tint="0.59996337778862885"/>
        </patternFill>
      </fill>
    </dxf>
    <dxf>
      <font>
        <b/>
        <i/>
        <strike val="0"/>
        <u val="none"/>
        <color auto="1"/>
      </font>
      <fill>
        <patternFill patternType="solid">
          <bgColor rgb="FF00FF00"/>
        </patternFill>
      </fill>
    </dxf>
    <dxf>
      <font>
        <b/>
        <i/>
        <strike val="0"/>
        <u val="none"/>
        <color auto="1"/>
      </font>
      <fill>
        <patternFill patternType="solid">
          <bgColor rgb="FF00FF00"/>
        </patternFill>
      </fill>
    </dxf>
    <dxf>
      <font>
        <b/>
        <i val="0"/>
        <strike val="0"/>
        <u val="none"/>
        <color rgb="FFFF0000"/>
      </font>
      <fill>
        <patternFill>
          <bgColor rgb="FF00B0F0"/>
        </patternFill>
      </fill>
    </dxf>
    <dxf>
      <font>
        <b/>
        <i val="0"/>
        <strike val="0"/>
        <u val="none"/>
        <color rgb="FFFF0000"/>
      </font>
      <fill>
        <patternFill>
          <bgColor rgb="FF00B0F0"/>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rgb="FFFFC000"/>
      </font>
      <fill>
        <patternFill patternType="solid">
          <bgColor theme="7" tint="0.79998168889431442"/>
        </patternFill>
      </fill>
    </dxf>
    <dxf>
      <font>
        <b/>
        <i/>
        <strike val="0"/>
        <u val="none"/>
        <color rgb="FFFFC000"/>
      </font>
      <fill>
        <patternFill patternType="solid">
          <bgColor theme="7" tint="0.79998168889431442"/>
        </patternFill>
      </fill>
    </dxf>
    <dxf>
      <font>
        <b/>
        <i val="0"/>
        <strike val="0"/>
        <u val="none"/>
        <color rgb="FF00B050"/>
      </font>
      <fill>
        <patternFill>
          <bgColor rgb="FFEAF1AB"/>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9966FF"/>
      </font>
      <fill>
        <patternFill>
          <bgColor rgb="FFB1DDEB"/>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00B0F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CC99FF"/>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7" tint="0.39991454817346722"/>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theme="9" tint="-0.2499465926084170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4" tint="0.3999450666829432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rgb="FF7E1389"/>
      </font>
      <fill>
        <patternFill>
          <bgColor rgb="FFFFAFB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rgb="FFEB2403"/>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1" tint="0.49998474074526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0"/>
      </font>
      <fill>
        <patternFill>
          <bgColor theme="5" tint="-0.2499465926084170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0"/>
      </font>
      <fill>
        <patternFill>
          <bgColor rgb="FFF632C7"/>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rgb="FF99FF33"/>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FF0000"/>
      </font>
      <fill>
        <patternFill patternType="solid">
          <bgColor theme="9" tint="0.59996337778862885"/>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7ED882"/>
        </patternFill>
      </fill>
      <border>
        <left style="thin">
          <color theme="0" tint="-0.14996795556505021"/>
        </left>
        <right style="thin">
          <color theme="0" tint="-0.14996795556505021"/>
        </right>
        <top style="thin">
          <color theme="0" tint="-0.14996795556505021"/>
        </top>
        <bottom style="thin">
          <color theme="0" tint="-0.14996795556505021"/>
        </bottom>
      </border>
    </dxf>
    <dxf>
      <font>
        <strike val="0"/>
        <color rgb="FF9C0006"/>
      </font>
      <fill>
        <patternFill>
          <bgColor theme="7" tint="0.39994506668294322"/>
        </patternFill>
      </fill>
    </dxf>
    <dxf>
      <font>
        <b/>
        <i val="0"/>
        <strike val="0"/>
        <u val="none"/>
        <color theme="0"/>
      </font>
      <fill>
        <patternFill patternType="solid">
          <bgColor theme="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FF99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patternType="solid">
          <bgColor rgb="FFFF99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rgb="FF92E7F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FF66CC"/>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0070C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1"/>
      </font>
      <fill>
        <patternFill>
          <bgColor rgb="FFFFFF00"/>
        </patternFill>
      </fill>
      <border>
        <left style="thin">
          <color theme="0" tint="-0.14996795556505021"/>
        </left>
        <right style="thin">
          <color theme="0" tint="-0.14996795556505021"/>
        </right>
        <top style="thin">
          <color theme="0" tint="-0.14996795556505021"/>
        </top>
        <bottom style="thin">
          <color theme="0" tint="-0.14996795556505021"/>
        </bottom>
      </border>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color auto="1"/>
      </font>
      <fill>
        <patternFill>
          <bgColor theme="9"/>
        </patternFill>
      </fill>
      <border>
        <left style="thin">
          <color theme="0" tint="-0.14996795556505021"/>
        </left>
        <right style="thin">
          <color theme="0" tint="-0.14996795556505021"/>
        </right>
        <top style="thin">
          <color theme="0" tint="-0.14996795556505021"/>
        </top>
        <bottom style="thin">
          <color theme="0" tint="-0.14996795556505021"/>
        </bottom>
      </border>
    </dxf>
    <dxf>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border>
    </dxf>
    <dxf>
      <font>
        <color auto="1"/>
      </font>
      <fill>
        <patternFill>
          <bgColor theme="9" tint="0.59996337778862885"/>
        </patternFill>
      </fill>
      <border>
        <left style="thin">
          <color theme="2"/>
        </left>
        <right style="thin">
          <color theme="2"/>
        </right>
        <top style="thin">
          <color theme="2"/>
        </top>
        <bottom style="thin">
          <color theme="2"/>
        </bottom>
      </border>
    </dxf>
    <dxf>
      <fill>
        <patternFill>
          <bgColor rgb="FF00B050"/>
        </patternFill>
      </fill>
      <border>
        <left style="thin">
          <color theme="0" tint="-0.24994659260841701"/>
        </left>
        <right style="thin">
          <color theme="0" tint="-0.24994659260841701"/>
        </right>
        <top style="thin">
          <color theme="0" tint="-0.24994659260841701"/>
        </top>
        <bottom style="thin">
          <color theme="0" tint="-0.24994659260841701"/>
        </bottom>
      </border>
    </dxf>
    <dxf>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rgb="FF00B05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b/>
        <i val="0"/>
        <strike val="0"/>
        <u val="none"/>
        <color theme="5" tint="-0.24994659260841701"/>
      </font>
      <fill>
        <patternFill patternType="solid">
          <bgColor rgb="FFFFFF00"/>
        </patternFill>
      </fill>
    </dxf>
    <dxf>
      <font>
        <b/>
        <i val="0"/>
        <strike val="0"/>
        <u val="none"/>
        <color rgb="FFFF0000"/>
      </font>
      <fill>
        <patternFill patternType="solid">
          <bgColor rgb="FFFFFF00"/>
        </patternFill>
      </fill>
    </dxf>
    <dxf>
      <font>
        <b/>
        <i val="0"/>
        <strike val="0"/>
        <u val="none"/>
        <color rgb="FF00B0F0"/>
      </font>
      <fill>
        <patternFill patternType="solid">
          <bgColor rgb="FFFFFF00"/>
        </patternFill>
      </fill>
    </dxf>
    <dxf>
      <font>
        <b/>
        <i val="0"/>
        <strike val="0"/>
        <u val="none"/>
        <color theme="0"/>
      </font>
      <fill>
        <patternFill>
          <bgColor rgb="FFFF3399"/>
        </patternFill>
      </fill>
    </dxf>
    <dxf>
      <font>
        <b/>
        <i val="0"/>
        <strike val="0"/>
        <u val="none"/>
        <color theme="0"/>
      </font>
      <fill>
        <patternFill>
          <bgColor rgb="FFFF3399"/>
        </patternFill>
      </fill>
    </dxf>
    <dxf>
      <font>
        <b/>
        <i/>
        <strike val="0"/>
        <u val="none"/>
        <color theme="5" tint="-0.24994659260841701"/>
      </font>
      <fill>
        <patternFill>
          <bgColor rgb="FFFFFF00"/>
        </patternFill>
      </fill>
    </dxf>
    <dxf>
      <font>
        <b/>
        <i/>
        <strike val="0"/>
        <u val="none"/>
        <color rgb="FFFF0000"/>
      </font>
      <fill>
        <patternFill>
          <bgColor rgb="FFFFFF00"/>
        </patternFill>
      </fill>
    </dxf>
    <dxf>
      <font>
        <b/>
        <i val="0"/>
        <strike val="0"/>
        <u val="none"/>
        <color auto="1"/>
      </font>
      <fill>
        <patternFill patternType="solid">
          <bgColor theme="9" tint="0.59996337778862885"/>
        </patternFill>
      </fill>
    </dxf>
    <dxf>
      <font>
        <b/>
        <i/>
        <strike val="0"/>
        <u val="none"/>
        <color auto="1"/>
      </font>
      <fill>
        <patternFill patternType="solid">
          <bgColor rgb="FF00FF00"/>
        </patternFill>
      </fill>
    </dxf>
    <dxf>
      <font>
        <b/>
        <i/>
        <strike val="0"/>
        <u val="none"/>
        <color auto="1"/>
      </font>
      <fill>
        <patternFill patternType="solid">
          <bgColor rgb="FF00FF00"/>
        </patternFill>
      </fill>
    </dxf>
    <dxf>
      <font>
        <b/>
        <i val="0"/>
        <strike val="0"/>
        <u val="none"/>
        <color rgb="FFFF0000"/>
      </font>
      <fill>
        <patternFill>
          <bgColor rgb="FF00B0F0"/>
        </patternFill>
      </fill>
    </dxf>
    <dxf>
      <font>
        <b/>
        <i val="0"/>
        <strike val="0"/>
        <u val="none"/>
        <color rgb="FFFF0000"/>
      </font>
      <fill>
        <patternFill>
          <bgColor rgb="FF00B0F0"/>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rgb="FFFFC000"/>
      </font>
      <fill>
        <patternFill patternType="solid">
          <bgColor theme="7" tint="0.79998168889431442"/>
        </patternFill>
      </fill>
    </dxf>
    <dxf>
      <font>
        <b/>
        <i/>
        <strike val="0"/>
        <u val="none"/>
        <color rgb="FFFFC000"/>
      </font>
      <fill>
        <patternFill patternType="solid">
          <bgColor theme="7" tint="0.79998168889431442"/>
        </patternFill>
      </fill>
    </dxf>
    <dxf>
      <font>
        <b/>
        <i val="0"/>
        <strike val="0"/>
        <u val="none"/>
        <color rgb="FF00B050"/>
      </font>
      <fill>
        <patternFill>
          <bgColor rgb="FFEAF1AB"/>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9966FF"/>
      </font>
      <fill>
        <patternFill>
          <bgColor rgb="FFB1DDEB"/>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00B0F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CC99FF"/>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7" tint="0.39991454817346722"/>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theme="9" tint="-0.2499465926084170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4" tint="0.3999450666829432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rgb="FF7E1389"/>
      </font>
      <fill>
        <patternFill>
          <bgColor rgb="FFFFAFB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rgb="FFEB2403"/>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1" tint="0.49998474074526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0"/>
      </font>
      <fill>
        <patternFill>
          <bgColor theme="5" tint="-0.2499465926084170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0"/>
      </font>
      <fill>
        <patternFill>
          <bgColor rgb="FFF632C7"/>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rgb="FF99FF33"/>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FF0000"/>
      </font>
      <fill>
        <patternFill patternType="solid">
          <bgColor theme="9" tint="0.59996337778862885"/>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7ED882"/>
        </patternFill>
      </fill>
      <border>
        <left style="thin">
          <color theme="0" tint="-0.14996795556505021"/>
        </left>
        <right style="thin">
          <color theme="0" tint="-0.14996795556505021"/>
        </right>
        <top style="thin">
          <color theme="0" tint="-0.14996795556505021"/>
        </top>
        <bottom style="thin">
          <color theme="0" tint="-0.14996795556505021"/>
        </bottom>
      </border>
    </dxf>
    <dxf>
      <font>
        <strike val="0"/>
        <color rgb="FF9C0006"/>
      </font>
      <fill>
        <patternFill>
          <bgColor theme="7" tint="0.39994506668294322"/>
        </patternFill>
      </fill>
    </dxf>
    <dxf>
      <font>
        <b/>
        <i val="0"/>
        <strike val="0"/>
        <u val="none"/>
        <color theme="0"/>
      </font>
      <fill>
        <patternFill patternType="solid">
          <bgColor theme="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FF99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patternType="solid">
          <bgColor rgb="FFFF99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rgb="FF92E7F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FF66CC"/>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0070C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1"/>
      </font>
      <fill>
        <patternFill>
          <bgColor rgb="FFFFFF00"/>
        </patternFill>
      </fill>
      <border>
        <left style="thin">
          <color theme="0" tint="-0.14996795556505021"/>
        </left>
        <right style="thin">
          <color theme="0" tint="-0.14996795556505021"/>
        </right>
        <top style="thin">
          <color theme="0" tint="-0.14996795556505021"/>
        </top>
        <bottom style="thin">
          <color theme="0" tint="-0.14996795556505021"/>
        </bottom>
      </border>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color auto="1"/>
      </font>
      <fill>
        <patternFill>
          <bgColor theme="9"/>
        </patternFill>
      </fill>
      <border>
        <left style="thin">
          <color theme="0" tint="-0.14996795556505021"/>
        </left>
        <right style="thin">
          <color theme="0" tint="-0.14996795556505021"/>
        </right>
        <top style="thin">
          <color theme="0" tint="-0.14996795556505021"/>
        </top>
        <bottom style="thin">
          <color theme="0" tint="-0.14996795556505021"/>
        </bottom>
      </border>
    </dxf>
    <dxf>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border>
    </dxf>
    <dxf>
      <fill>
        <patternFill>
          <bgColor rgb="FF00B050"/>
        </patternFill>
      </fill>
      <border>
        <left style="thin">
          <color theme="0" tint="-0.24994659260841701"/>
        </left>
        <right style="thin">
          <color theme="0" tint="-0.24994659260841701"/>
        </right>
        <top style="thin">
          <color theme="0" tint="-0.24994659260841701"/>
        </top>
        <bottom style="thin">
          <color theme="0" tint="-0.24994659260841701"/>
        </bottom>
      </border>
    </dxf>
    <dxf>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b/>
        <i val="0"/>
        <strike val="0"/>
        <u val="none"/>
        <color theme="5" tint="-0.24994659260841701"/>
      </font>
      <fill>
        <patternFill patternType="solid">
          <bgColor rgb="FFFFFF00"/>
        </patternFill>
      </fill>
    </dxf>
    <dxf>
      <font>
        <b/>
        <i val="0"/>
        <strike val="0"/>
        <u val="none"/>
        <color rgb="FFFF0000"/>
      </font>
      <fill>
        <patternFill patternType="solid">
          <bgColor rgb="FFFFFF00"/>
        </patternFill>
      </fill>
    </dxf>
    <dxf>
      <font>
        <b/>
        <i val="0"/>
        <strike val="0"/>
        <u val="none"/>
        <color rgb="FF00B0F0"/>
      </font>
      <fill>
        <patternFill patternType="solid">
          <bgColor rgb="FFFFFF00"/>
        </patternFill>
      </fill>
    </dxf>
    <dxf>
      <font>
        <b/>
        <i val="0"/>
        <strike val="0"/>
        <u val="none"/>
        <color theme="0"/>
      </font>
      <fill>
        <patternFill>
          <bgColor rgb="FFFF3399"/>
        </patternFill>
      </fill>
    </dxf>
    <dxf>
      <font>
        <b/>
        <i val="0"/>
        <strike val="0"/>
        <u val="none"/>
        <color theme="0"/>
      </font>
      <fill>
        <patternFill>
          <bgColor rgb="FFFF3399"/>
        </patternFill>
      </fill>
    </dxf>
    <dxf>
      <font>
        <b/>
        <i/>
        <strike val="0"/>
        <u val="none"/>
        <color theme="5" tint="-0.24994659260841701"/>
      </font>
      <fill>
        <patternFill>
          <bgColor rgb="FFFFFF00"/>
        </patternFill>
      </fill>
    </dxf>
    <dxf>
      <font>
        <b/>
        <i/>
        <strike val="0"/>
        <u val="none"/>
        <color rgb="FFFF0000"/>
      </font>
      <fill>
        <patternFill>
          <bgColor rgb="FFFFFF00"/>
        </patternFill>
      </fill>
    </dxf>
    <dxf>
      <font>
        <b/>
        <i val="0"/>
        <strike val="0"/>
        <u val="none"/>
        <color auto="1"/>
      </font>
      <fill>
        <patternFill patternType="solid">
          <bgColor theme="9" tint="0.59996337778862885"/>
        </patternFill>
      </fill>
    </dxf>
    <dxf>
      <font>
        <b/>
        <i/>
        <strike val="0"/>
        <u val="none"/>
        <color auto="1"/>
      </font>
      <fill>
        <patternFill patternType="solid">
          <bgColor rgb="FF00FF00"/>
        </patternFill>
      </fill>
    </dxf>
    <dxf>
      <font>
        <b/>
        <i/>
        <strike val="0"/>
        <u val="none"/>
        <color auto="1"/>
      </font>
      <fill>
        <patternFill patternType="solid">
          <bgColor rgb="FF00FF00"/>
        </patternFill>
      </fill>
    </dxf>
    <dxf>
      <font>
        <b/>
        <i val="0"/>
        <strike val="0"/>
        <u val="none"/>
        <color rgb="FFFF0000"/>
      </font>
      <fill>
        <patternFill>
          <bgColor rgb="FF00B0F0"/>
        </patternFill>
      </fill>
    </dxf>
    <dxf>
      <font>
        <b/>
        <i val="0"/>
        <strike val="0"/>
        <u val="none"/>
        <color rgb="FFFF0000"/>
      </font>
      <fill>
        <patternFill>
          <bgColor rgb="FF00B0F0"/>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rgb="FFFFC000"/>
      </font>
      <fill>
        <patternFill patternType="solid">
          <bgColor theme="7" tint="0.79998168889431442"/>
        </patternFill>
      </fill>
    </dxf>
    <dxf>
      <font>
        <b/>
        <i/>
        <strike val="0"/>
        <u val="none"/>
        <color rgb="FFFFC000"/>
      </font>
      <fill>
        <patternFill patternType="solid">
          <bgColor theme="7" tint="0.79998168889431442"/>
        </patternFill>
      </fill>
    </dxf>
    <dxf>
      <font>
        <b/>
        <i val="0"/>
        <strike val="0"/>
        <u val="none"/>
        <color rgb="FF00B050"/>
      </font>
      <fill>
        <patternFill>
          <bgColor rgb="FFEAF1AB"/>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9966FF"/>
      </font>
      <fill>
        <patternFill>
          <bgColor rgb="FFB1DDEB"/>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00B0F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CC99FF"/>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7" tint="0.39991454817346722"/>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theme="9" tint="-0.2499465926084170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4" tint="0.3999450666829432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rgb="FF7E1389"/>
      </font>
      <fill>
        <patternFill>
          <bgColor rgb="FFFFAFB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rgb="FFEB2403"/>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1" tint="0.49998474074526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0"/>
      </font>
      <fill>
        <patternFill>
          <bgColor theme="5" tint="-0.2499465926084170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0"/>
      </font>
      <fill>
        <patternFill>
          <bgColor rgb="FFF632C7"/>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rgb="FF99FF33"/>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FF0000"/>
      </font>
      <fill>
        <patternFill patternType="solid">
          <bgColor theme="9" tint="0.59996337778862885"/>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7ED882"/>
        </patternFill>
      </fill>
      <border>
        <left style="thin">
          <color theme="0" tint="-0.14996795556505021"/>
        </left>
        <right style="thin">
          <color theme="0" tint="-0.14996795556505021"/>
        </right>
        <top style="thin">
          <color theme="0" tint="-0.14996795556505021"/>
        </top>
        <bottom style="thin">
          <color theme="0" tint="-0.14996795556505021"/>
        </bottom>
      </border>
    </dxf>
    <dxf>
      <font>
        <strike val="0"/>
        <color rgb="FF9C0006"/>
      </font>
      <fill>
        <patternFill>
          <bgColor theme="7" tint="0.39994506668294322"/>
        </patternFill>
      </fill>
    </dxf>
    <dxf>
      <font>
        <b/>
        <i val="0"/>
        <strike val="0"/>
        <u val="none"/>
        <color theme="0"/>
      </font>
      <fill>
        <patternFill patternType="solid">
          <bgColor theme="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FF99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patternType="solid">
          <bgColor rgb="FFFF99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rgb="FF92E7F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FF66CC"/>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0070C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1"/>
      </font>
      <fill>
        <patternFill>
          <bgColor rgb="FFFFFF00"/>
        </patternFill>
      </fill>
      <border>
        <left style="thin">
          <color theme="0" tint="-0.14996795556505021"/>
        </left>
        <right style="thin">
          <color theme="0" tint="-0.14996795556505021"/>
        </right>
        <top style="thin">
          <color theme="0" tint="-0.14996795556505021"/>
        </top>
        <bottom style="thin">
          <color theme="0" tint="-0.14996795556505021"/>
        </bottom>
      </border>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color auto="1"/>
      </font>
      <fill>
        <patternFill>
          <bgColor theme="9"/>
        </patternFill>
      </fill>
      <border>
        <left style="thin">
          <color theme="0" tint="-0.14996795556505021"/>
        </left>
        <right style="thin">
          <color theme="0" tint="-0.14996795556505021"/>
        </right>
        <top style="thin">
          <color theme="0" tint="-0.14996795556505021"/>
        </top>
        <bottom style="thin">
          <color theme="0" tint="-0.14996795556505021"/>
        </bottom>
      </border>
    </dxf>
    <dxf>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border>
    </dxf>
    <dxf>
      <font>
        <color auto="1"/>
      </font>
      <fill>
        <patternFill>
          <bgColor theme="9" tint="0.59996337778862885"/>
        </patternFill>
      </fill>
      <border>
        <left style="thin">
          <color theme="2"/>
        </left>
        <right style="thin">
          <color theme="2"/>
        </right>
        <top style="thin">
          <color theme="2"/>
        </top>
        <bottom style="thin">
          <color theme="2"/>
        </bottom>
      </border>
    </dxf>
    <dxf>
      <fill>
        <patternFill>
          <bgColor rgb="FF00B050"/>
        </patternFill>
      </fill>
      <border>
        <left style="thin">
          <color theme="0" tint="-0.24994659260841701"/>
        </left>
        <right style="thin">
          <color theme="0" tint="-0.24994659260841701"/>
        </right>
        <top style="thin">
          <color theme="0" tint="-0.24994659260841701"/>
        </top>
        <bottom style="thin">
          <color theme="0" tint="-0.24994659260841701"/>
        </bottom>
      </border>
    </dxf>
    <dxf>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b/>
        <i val="0"/>
        <strike val="0"/>
        <u val="none"/>
        <color theme="5" tint="-0.24994659260841701"/>
      </font>
      <fill>
        <patternFill patternType="solid">
          <bgColor rgb="FFFFFF00"/>
        </patternFill>
      </fill>
    </dxf>
    <dxf>
      <font>
        <b/>
        <i val="0"/>
        <strike val="0"/>
        <u val="none"/>
        <color rgb="FFFF0000"/>
      </font>
      <fill>
        <patternFill patternType="solid">
          <bgColor rgb="FFFFFF00"/>
        </patternFill>
      </fill>
    </dxf>
    <dxf>
      <font>
        <b/>
        <i val="0"/>
        <strike val="0"/>
        <u val="none"/>
        <color rgb="FF00B0F0"/>
      </font>
      <fill>
        <patternFill patternType="solid">
          <bgColor rgb="FFFFFF00"/>
        </patternFill>
      </fill>
    </dxf>
    <dxf>
      <font>
        <b/>
        <i val="0"/>
        <strike val="0"/>
        <u val="none"/>
        <color theme="0"/>
      </font>
      <fill>
        <patternFill>
          <bgColor rgb="FFFF3399"/>
        </patternFill>
      </fill>
    </dxf>
    <dxf>
      <font>
        <b/>
        <i val="0"/>
        <strike val="0"/>
        <u val="none"/>
        <color theme="0"/>
      </font>
      <fill>
        <patternFill>
          <bgColor rgb="FFFF3399"/>
        </patternFill>
      </fill>
    </dxf>
    <dxf>
      <font>
        <b/>
        <i/>
        <strike val="0"/>
        <u val="none"/>
        <color theme="5" tint="-0.24994659260841701"/>
      </font>
      <fill>
        <patternFill>
          <bgColor rgb="FFFFFF00"/>
        </patternFill>
      </fill>
    </dxf>
    <dxf>
      <font>
        <b/>
        <i/>
        <strike val="0"/>
        <u val="none"/>
        <color rgb="FFFF0000"/>
      </font>
      <fill>
        <patternFill>
          <bgColor rgb="FFFFFF00"/>
        </patternFill>
      </fill>
    </dxf>
    <dxf>
      <font>
        <b/>
        <i val="0"/>
        <strike val="0"/>
        <u val="none"/>
        <color auto="1"/>
      </font>
      <fill>
        <patternFill patternType="solid">
          <bgColor theme="9" tint="0.59996337778862885"/>
        </patternFill>
      </fill>
    </dxf>
    <dxf>
      <font>
        <b/>
        <i/>
        <strike val="0"/>
        <u val="none"/>
        <color auto="1"/>
      </font>
      <fill>
        <patternFill patternType="solid">
          <bgColor rgb="FF00FF00"/>
        </patternFill>
      </fill>
    </dxf>
    <dxf>
      <font>
        <b/>
        <i/>
        <strike val="0"/>
        <u val="none"/>
        <color auto="1"/>
      </font>
      <fill>
        <patternFill patternType="solid">
          <bgColor rgb="FF00FF00"/>
        </patternFill>
      </fill>
    </dxf>
    <dxf>
      <font>
        <b/>
        <i val="0"/>
        <strike val="0"/>
        <u val="none"/>
        <color rgb="FFFF0000"/>
      </font>
      <fill>
        <patternFill>
          <bgColor rgb="FF00B0F0"/>
        </patternFill>
      </fill>
    </dxf>
    <dxf>
      <font>
        <b/>
        <i val="0"/>
        <strike val="0"/>
        <u val="none"/>
        <color rgb="FFFF0000"/>
      </font>
      <fill>
        <patternFill>
          <bgColor rgb="FF00B0F0"/>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rgb="FFFFC000"/>
      </font>
      <fill>
        <patternFill patternType="solid">
          <bgColor theme="7" tint="0.79998168889431442"/>
        </patternFill>
      </fill>
    </dxf>
    <dxf>
      <font>
        <b/>
        <i/>
        <strike val="0"/>
        <u val="none"/>
        <color rgb="FFFFC000"/>
      </font>
      <fill>
        <patternFill patternType="solid">
          <bgColor theme="7" tint="0.79998168889431442"/>
        </patternFill>
      </fill>
    </dxf>
    <dxf>
      <font>
        <b/>
        <i val="0"/>
        <strike val="0"/>
        <u val="none"/>
        <color rgb="FF00B050"/>
      </font>
      <fill>
        <patternFill>
          <bgColor rgb="FFEAF1AB"/>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9966FF"/>
      </font>
      <fill>
        <patternFill>
          <bgColor rgb="FFB1DDEB"/>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00B0F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CC99FF"/>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7" tint="0.39991454817346722"/>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theme="9" tint="-0.2499465926084170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4" tint="0.3999450666829432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rgb="FF7E1389"/>
      </font>
      <fill>
        <patternFill>
          <bgColor rgb="FFFFAFB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rgb="FFEB2403"/>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1" tint="0.49998474074526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0"/>
      </font>
      <fill>
        <patternFill>
          <bgColor theme="5" tint="-0.2499465926084170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0"/>
      </font>
      <fill>
        <patternFill>
          <bgColor rgb="FFF632C7"/>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rgb="FF99FF33"/>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FF0000"/>
      </font>
      <fill>
        <patternFill patternType="solid">
          <bgColor theme="9" tint="0.59996337778862885"/>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7ED882"/>
        </patternFill>
      </fill>
      <border>
        <left style="thin">
          <color theme="0" tint="-0.14996795556505021"/>
        </left>
        <right style="thin">
          <color theme="0" tint="-0.14996795556505021"/>
        </right>
        <top style="thin">
          <color theme="0" tint="-0.14996795556505021"/>
        </top>
        <bottom style="thin">
          <color theme="0" tint="-0.14996795556505021"/>
        </bottom>
      </border>
    </dxf>
    <dxf>
      <font>
        <strike val="0"/>
        <color rgb="FF9C0006"/>
      </font>
      <fill>
        <patternFill>
          <bgColor theme="7" tint="0.39994506668294322"/>
        </patternFill>
      </fill>
    </dxf>
    <dxf>
      <font>
        <b/>
        <i val="0"/>
        <strike val="0"/>
        <u val="none"/>
        <color theme="0"/>
      </font>
      <fill>
        <patternFill patternType="solid">
          <bgColor theme="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FF99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patternType="solid">
          <bgColor rgb="FFFF99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rgb="FF92E7F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FF66CC"/>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0070C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1"/>
      </font>
      <fill>
        <patternFill>
          <bgColor rgb="FFFFFF00"/>
        </patternFill>
      </fill>
      <border>
        <left style="thin">
          <color theme="0" tint="-0.14996795556505021"/>
        </left>
        <right style="thin">
          <color theme="0" tint="-0.14996795556505021"/>
        </right>
        <top style="thin">
          <color theme="0" tint="-0.14996795556505021"/>
        </top>
        <bottom style="thin">
          <color theme="0" tint="-0.14996795556505021"/>
        </bottom>
      </border>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color auto="1"/>
      </font>
      <fill>
        <patternFill>
          <bgColor theme="9"/>
        </patternFill>
      </fill>
      <border>
        <left style="thin">
          <color theme="0" tint="-0.14996795556505021"/>
        </left>
        <right style="thin">
          <color theme="0" tint="-0.14996795556505021"/>
        </right>
        <top style="thin">
          <color theme="0" tint="-0.14996795556505021"/>
        </top>
        <bottom style="thin">
          <color theme="0" tint="-0.14996795556505021"/>
        </bottom>
      </border>
    </dxf>
    <dxf>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border>
    </dxf>
    <dxf>
      <fill>
        <patternFill>
          <bgColor rgb="FF00B050"/>
        </patternFill>
      </fill>
      <border>
        <left style="thin">
          <color theme="0" tint="-0.24994659260841701"/>
        </left>
        <right style="thin">
          <color theme="0" tint="-0.24994659260841701"/>
        </right>
        <top style="thin">
          <color theme="0" tint="-0.24994659260841701"/>
        </top>
        <bottom style="thin">
          <color theme="0" tint="-0.24994659260841701"/>
        </bottom>
      </border>
    </dxf>
    <dxf>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b/>
        <i val="0"/>
        <strike val="0"/>
        <u val="none"/>
        <color theme="5" tint="-0.24994659260841701"/>
      </font>
      <fill>
        <patternFill patternType="solid">
          <bgColor rgb="FFFFFF00"/>
        </patternFill>
      </fill>
    </dxf>
    <dxf>
      <font>
        <b/>
        <i val="0"/>
        <strike val="0"/>
        <u val="none"/>
        <color rgb="FFFF0000"/>
      </font>
      <fill>
        <patternFill patternType="solid">
          <bgColor rgb="FFFFFF00"/>
        </patternFill>
      </fill>
    </dxf>
    <dxf>
      <font>
        <b/>
        <i val="0"/>
        <strike val="0"/>
        <u val="none"/>
        <color rgb="FF00B0F0"/>
      </font>
      <fill>
        <patternFill patternType="solid">
          <bgColor rgb="FFFFFF00"/>
        </patternFill>
      </fill>
    </dxf>
    <dxf>
      <font>
        <b/>
        <i val="0"/>
        <strike val="0"/>
        <u val="none"/>
        <color theme="0"/>
      </font>
      <fill>
        <patternFill>
          <bgColor rgb="FFFF3399"/>
        </patternFill>
      </fill>
    </dxf>
    <dxf>
      <font>
        <b/>
        <i val="0"/>
        <strike val="0"/>
        <u val="none"/>
        <color theme="0"/>
      </font>
      <fill>
        <patternFill>
          <bgColor rgb="FFFF3399"/>
        </patternFill>
      </fill>
    </dxf>
    <dxf>
      <font>
        <b/>
        <i/>
        <strike val="0"/>
        <u val="none"/>
        <color theme="5" tint="-0.24994659260841701"/>
      </font>
      <fill>
        <patternFill>
          <bgColor rgb="FFFFFF00"/>
        </patternFill>
      </fill>
    </dxf>
    <dxf>
      <font>
        <b/>
        <i/>
        <strike val="0"/>
        <u val="none"/>
        <color rgb="FFFF0000"/>
      </font>
      <fill>
        <patternFill>
          <bgColor rgb="FFFFFF00"/>
        </patternFill>
      </fill>
    </dxf>
    <dxf>
      <font>
        <b/>
        <i val="0"/>
        <strike val="0"/>
        <u val="none"/>
        <color auto="1"/>
      </font>
      <fill>
        <patternFill patternType="solid">
          <bgColor theme="9" tint="0.59996337778862885"/>
        </patternFill>
      </fill>
    </dxf>
    <dxf>
      <font>
        <b/>
        <i/>
        <strike val="0"/>
        <u val="none"/>
        <color auto="1"/>
      </font>
      <fill>
        <patternFill patternType="solid">
          <bgColor rgb="FF00FF00"/>
        </patternFill>
      </fill>
    </dxf>
    <dxf>
      <font>
        <b/>
        <i/>
        <strike val="0"/>
        <u val="none"/>
        <color auto="1"/>
      </font>
      <fill>
        <patternFill patternType="solid">
          <bgColor rgb="FF00FF00"/>
        </patternFill>
      </fill>
    </dxf>
    <dxf>
      <font>
        <b/>
        <i val="0"/>
        <strike val="0"/>
        <u val="none"/>
        <color rgb="FFFF0000"/>
      </font>
      <fill>
        <patternFill>
          <bgColor rgb="FF00B0F0"/>
        </patternFill>
      </fill>
    </dxf>
    <dxf>
      <font>
        <b/>
        <i val="0"/>
        <strike val="0"/>
        <u val="none"/>
        <color rgb="FFFF0000"/>
      </font>
      <fill>
        <patternFill>
          <bgColor rgb="FF00B0F0"/>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rgb="FFFFC000"/>
      </font>
      <fill>
        <patternFill patternType="solid">
          <bgColor theme="7" tint="0.79998168889431442"/>
        </patternFill>
      </fill>
    </dxf>
    <dxf>
      <font>
        <b/>
        <i/>
        <strike val="0"/>
        <u val="none"/>
        <color rgb="FFFFC000"/>
      </font>
      <fill>
        <patternFill patternType="solid">
          <bgColor theme="7" tint="0.79998168889431442"/>
        </patternFill>
      </fill>
    </dxf>
    <dxf>
      <font>
        <b/>
        <i val="0"/>
        <strike val="0"/>
        <u val="none"/>
        <color rgb="FF00B050"/>
      </font>
      <fill>
        <patternFill>
          <bgColor rgb="FFEAF1AB"/>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9966FF"/>
      </font>
      <fill>
        <patternFill>
          <bgColor rgb="FFB1DDEB"/>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00B0F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CC99FF"/>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7" tint="0.39991454817346722"/>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theme="9" tint="-0.2499465926084170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4" tint="0.3999450666829432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rgb="FF7E1389"/>
      </font>
      <fill>
        <patternFill>
          <bgColor rgb="FFFFAFB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rgb="FFEB2403"/>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1" tint="0.49998474074526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0"/>
      </font>
      <fill>
        <patternFill>
          <bgColor theme="5" tint="-0.2499465926084170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0"/>
      </font>
      <fill>
        <patternFill>
          <bgColor rgb="FFF632C7"/>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rgb="FF99FF33"/>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FF0000"/>
      </font>
      <fill>
        <patternFill patternType="solid">
          <bgColor theme="9" tint="0.59996337778862885"/>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7ED882"/>
        </patternFill>
      </fill>
      <border>
        <left style="thin">
          <color theme="0" tint="-0.14996795556505021"/>
        </left>
        <right style="thin">
          <color theme="0" tint="-0.14996795556505021"/>
        </right>
        <top style="thin">
          <color theme="0" tint="-0.14996795556505021"/>
        </top>
        <bottom style="thin">
          <color theme="0" tint="-0.14996795556505021"/>
        </bottom>
      </border>
    </dxf>
    <dxf>
      <font>
        <strike val="0"/>
        <color rgb="FF9C0006"/>
      </font>
      <fill>
        <patternFill>
          <bgColor theme="7" tint="0.39994506668294322"/>
        </patternFill>
      </fill>
    </dxf>
    <dxf>
      <font>
        <b/>
        <i val="0"/>
        <strike val="0"/>
        <u val="none"/>
        <color theme="0"/>
      </font>
      <fill>
        <patternFill patternType="solid">
          <bgColor theme="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FF99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patternType="solid">
          <bgColor rgb="FFFF99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rgb="FF92E7F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FF66CC"/>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0070C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1"/>
      </font>
      <fill>
        <patternFill>
          <bgColor rgb="FFFFFF00"/>
        </patternFill>
      </fill>
      <border>
        <left style="thin">
          <color theme="0" tint="-0.14996795556505021"/>
        </left>
        <right style="thin">
          <color theme="0" tint="-0.14996795556505021"/>
        </right>
        <top style="thin">
          <color theme="0" tint="-0.14996795556505021"/>
        </top>
        <bottom style="thin">
          <color theme="0" tint="-0.14996795556505021"/>
        </bottom>
      </border>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color auto="1"/>
      </font>
      <fill>
        <patternFill>
          <bgColor theme="9"/>
        </patternFill>
      </fill>
      <border>
        <left style="thin">
          <color theme="0" tint="-0.14996795556505021"/>
        </left>
        <right style="thin">
          <color theme="0" tint="-0.14996795556505021"/>
        </right>
        <top style="thin">
          <color theme="0" tint="-0.14996795556505021"/>
        </top>
        <bottom style="thin">
          <color theme="0" tint="-0.14996795556505021"/>
        </bottom>
      </border>
    </dxf>
    <dxf>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border>
    </dxf>
    <dxf>
      <font>
        <color auto="1"/>
      </font>
      <fill>
        <patternFill>
          <bgColor theme="9" tint="0.59996337778862885"/>
        </patternFill>
      </fill>
      <border>
        <left style="thin">
          <color theme="2"/>
        </left>
        <right style="thin">
          <color theme="2"/>
        </right>
        <top style="thin">
          <color theme="2"/>
        </top>
        <bottom style="thin">
          <color theme="2"/>
        </bottom>
      </border>
    </dxf>
    <dxf>
      <fill>
        <patternFill>
          <bgColor rgb="FF00B050"/>
        </patternFill>
      </fill>
      <border>
        <left style="thin">
          <color theme="0" tint="-0.24994659260841701"/>
        </left>
        <right style="thin">
          <color theme="0" tint="-0.24994659260841701"/>
        </right>
        <top style="thin">
          <color theme="0" tint="-0.24994659260841701"/>
        </top>
        <bottom style="thin">
          <color theme="0" tint="-0.24994659260841701"/>
        </bottom>
      </border>
    </dxf>
    <dxf>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b/>
        <i val="0"/>
        <strike val="0"/>
        <u val="none"/>
        <color theme="5" tint="-0.24994659260841701"/>
      </font>
      <fill>
        <patternFill patternType="solid">
          <bgColor rgb="FFFFFF00"/>
        </patternFill>
      </fill>
    </dxf>
    <dxf>
      <font>
        <b/>
        <i val="0"/>
        <strike val="0"/>
        <u val="none"/>
        <color rgb="FFFF0000"/>
      </font>
      <fill>
        <patternFill patternType="solid">
          <bgColor rgb="FFFFFF00"/>
        </patternFill>
      </fill>
    </dxf>
    <dxf>
      <font>
        <b/>
        <i val="0"/>
        <strike val="0"/>
        <u val="none"/>
        <color rgb="FF00B0F0"/>
      </font>
      <fill>
        <patternFill patternType="solid">
          <bgColor rgb="FFFFFF00"/>
        </patternFill>
      </fill>
    </dxf>
    <dxf>
      <font>
        <b/>
        <i val="0"/>
        <strike val="0"/>
        <u val="none"/>
        <color theme="0"/>
      </font>
      <fill>
        <patternFill>
          <bgColor rgb="FFFF3399"/>
        </patternFill>
      </fill>
    </dxf>
    <dxf>
      <font>
        <b/>
        <i val="0"/>
        <strike val="0"/>
        <u val="none"/>
        <color theme="0"/>
      </font>
      <fill>
        <patternFill>
          <bgColor rgb="FFFF3399"/>
        </patternFill>
      </fill>
    </dxf>
    <dxf>
      <font>
        <b/>
        <i/>
        <strike val="0"/>
        <u val="none"/>
        <color theme="5" tint="-0.24994659260841701"/>
      </font>
      <fill>
        <patternFill>
          <bgColor rgb="FFFFFF00"/>
        </patternFill>
      </fill>
    </dxf>
    <dxf>
      <font>
        <b/>
        <i/>
        <strike val="0"/>
        <u val="none"/>
        <color rgb="FFFF0000"/>
      </font>
      <fill>
        <patternFill>
          <bgColor rgb="FFFFFF00"/>
        </patternFill>
      </fill>
    </dxf>
    <dxf>
      <font>
        <b/>
        <i val="0"/>
        <strike val="0"/>
        <u val="none"/>
        <color auto="1"/>
      </font>
      <fill>
        <patternFill patternType="solid">
          <bgColor theme="9" tint="0.59996337778862885"/>
        </patternFill>
      </fill>
    </dxf>
    <dxf>
      <font>
        <b/>
        <i/>
        <strike val="0"/>
        <u val="none"/>
        <color auto="1"/>
      </font>
      <fill>
        <patternFill patternType="solid">
          <bgColor rgb="FF00FF00"/>
        </patternFill>
      </fill>
    </dxf>
    <dxf>
      <font>
        <b/>
        <i/>
        <strike val="0"/>
        <u val="none"/>
        <color auto="1"/>
      </font>
      <fill>
        <patternFill patternType="solid">
          <bgColor rgb="FF00FF00"/>
        </patternFill>
      </fill>
    </dxf>
    <dxf>
      <font>
        <b/>
        <i val="0"/>
        <strike val="0"/>
        <u val="none"/>
        <color rgb="FFFF0000"/>
      </font>
      <fill>
        <patternFill>
          <bgColor rgb="FF00B0F0"/>
        </patternFill>
      </fill>
    </dxf>
    <dxf>
      <font>
        <b/>
        <i val="0"/>
        <strike val="0"/>
        <u val="none"/>
        <color rgb="FFFF0000"/>
      </font>
      <fill>
        <patternFill>
          <bgColor rgb="FF00B0F0"/>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rgb="FFFFC000"/>
      </font>
      <fill>
        <patternFill patternType="solid">
          <bgColor theme="7" tint="0.79998168889431442"/>
        </patternFill>
      </fill>
    </dxf>
    <dxf>
      <font>
        <b/>
        <i/>
        <strike val="0"/>
        <u val="none"/>
        <color rgb="FFFFC000"/>
      </font>
      <fill>
        <patternFill patternType="solid">
          <bgColor theme="7" tint="0.79998168889431442"/>
        </patternFill>
      </fill>
    </dxf>
    <dxf>
      <font>
        <b/>
        <i val="0"/>
        <strike val="0"/>
        <u val="none"/>
        <color rgb="FF00B050"/>
      </font>
      <fill>
        <patternFill>
          <bgColor rgb="FFEAF1AB"/>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9966FF"/>
      </font>
      <fill>
        <patternFill>
          <bgColor rgb="FFB1DDEB"/>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00B0F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CC99FF"/>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7" tint="0.39991454817346722"/>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theme="9" tint="-0.2499465926084170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4" tint="0.3999450666829432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rgb="FF7E1389"/>
      </font>
      <fill>
        <patternFill>
          <bgColor rgb="FFFFAFB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rgb="FFEB2403"/>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1" tint="0.49998474074526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0"/>
      </font>
      <fill>
        <patternFill>
          <bgColor theme="5" tint="-0.2499465926084170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0"/>
      </font>
      <fill>
        <patternFill>
          <bgColor rgb="FFF632C7"/>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rgb="FF99FF33"/>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FF0000"/>
      </font>
      <fill>
        <patternFill patternType="solid">
          <bgColor theme="9" tint="0.59996337778862885"/>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7ED882"/>
        </patternFill>
      </fill>
      <border>
        <left style="thin">
          <color theme="0" tint="-0.14996795556505021"/>
        </left>
        <right style="thin">
          <color theme="0" tint="-0.14996795556505021"/>
        </right>
        <top style="thin">
          <color theme="0" tint="-0.14996795556505021"/>
        </top>
        <bottom style="thin">
          <color theme="0" tint="-0.14996795556505021"/>
        </bottom>
      </border>
    </dxf>
    <dxf>
      <font>
        <strike val="0"/>
        <color rgb="FF9C0006"/>
      </font>
      <fill>
        <patternFill>
          <bgColor theme="7" tint="0.39994506668294322"/>
        </patternFill>
      </fill>
    </dxf>
    <dxf>
      <font>
        <b/>
        <i val="0"/>
        <strike val="0"/>
        <u val="none"/>
        <color theme="0"/>
      </font>
      <fill>
        <patternFill patternType="solid">
          <bgColor theme="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FF99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patternType="solid">
          <bgColor rgb="FFFF99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rgb="FF92E7F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FF66CC"/>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0070C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1"/>
      </font>
      <fill>
        <patternFill>
          <bgColor rgb="FFFFFF00"/>
        </patternFill>
      </fill>
      <border>
        <left style="thin">
          <color theme="0" tint="-0.14996795556505021"/>
        </left>
        <right style="thin">
          <color theme="0" tint="-0.14996795556505021"/>
        </right>
        <top style="thin">
          <color theme="0" tint="-0.14996795556505021"/>
        </top>
        <bottom style="thin">
          <color theme="0" tint="-0.14996795556505021"/>
        </bottom>
      </border>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color auto="1"/>
      </font>
      <fill>
        <patternFill>
          <bgColor theme="9"/>
        </patternFill>
      </fill>
      <border>
        <left style="thin">
          <color theme="0" tint="-0.14996795556505021"/>
        </left>
        <right style="thin">
          <color theme="0" tint="-0.14996795556505021"/>
        </right>
        <top style="thin">
          <color theme="0" tint="-0.14996795556505021"/>
        </top>
        <bottom style="thin">
          <color theme="0" tint="-0.14996795556505021"/>
        </bottom>
      </border>
    </dxf>
    <dxf>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5" tint="-0.24994659260841701"/>
      </font>
      <fill>
        <patternFill patternType="solid">
          <bgColor rgb="FFFFFF00"/>
        </patternFill>
      </fill>
    </dxf>
    <dxf>
      <font>
        <b/>
        <i val="0"/>
        <strike val="0"/>
        <u val="none"/>
        <color rgb="FFFF0000"/>
      </font>
      <fill>
        <patternFill patternType="solid">
          <bgColor rgb="FFFFFF00"/>
        </patternFill>
      </fill>
    </dxf>
    <dxf>
      <font>
        <b/>
        <i val="0"/>
        <strike val="0"/>
        <u val="none"/>
        <color rgb="FF00B0F0"/>
      </font>
      <fill>
        <patternFill patternType="solid">
          <bgColor rgb="FFFFFF00"/>
        </patternFill>
      </fill>
    </dxf>
    <dxf>
      <font>
        <b/>
        <i val="0"/>
        <strike val="0"/>
        <u val="none"/>
        <color theme="0"/>
      </font>
      <fill>
        <patternFill>
          <bgColor rgb="FFFF3399"/>
        </patternFill>
      </fill>
    </dxf>
    <dxf>
      <font>
        <b/>
        <i val="0"/>
        <strike val="0"/>
        <u val="none"/>
        <color theme="0"/>
      </font>
      <fill>
        <patternFill>
          <bgColor rgb="FFFF3399"/>
        </patternFill>
      </fill>
    </dxf>
    <dxf>
      <font>
        <b/>
        <i/>
        <strike val="0"/>
        <u val="none"/>
        <color theme="5" tint="-0.24994659260841701"/>
      </font>
      <fill>
        <patternFill>
          <bgColor rgb="FFFFFF00"/>
        </patternFill>
      </fill>
    </dxf>
    <dxf>
      <font>
        <b/>
        <i/>
        <strike val="0"/>
        <u val="none"/>
        <color rgb="FFFF0000"/>
      </font>
      <fill>
        <patternFill>
          <bgColor rgb="FFFFFF00"/>
        </patternFill>
      </fill>
    </dxf>
    <dxf>
      <font>
        <b/>
        <i val="0"/>
        <strike val="0"/>
        <u val="none"/>
        <color auto="1"/>
      </font>
      <fill>
        <patternFill patternType="solid">
          <bgColor theme="9" tint="0.59996337778862885"/>
        </patternFill>
      </fill>
    </dxf>
    <dxf>
      <font>
        <b/>
        <i/>
        <strike val="0"/>
        <u val="none"/>
        <color auto="1"/>
      </font>
      <fill>
        <patternFill patternType="solid">
          <bgColor rgb="FF00FF00"/>
        </patternFill>
      </fill>
    </dxf>
    <dxf>
      <font>
        <b/>
        <i val="0"/>
        <strike val="0"/>
        <u val="none"/>
        <color rgb="FFFF0000"/>
      </font>
      <fill>
        <patternFill>
          <bgColor rgb="FF00B0F0"/>
        </patternFill>
      </fill>
    </dxf>
    <dxf>
      <font>
        <b/>
        <i val="0"/>
        <strike val="0"/>
        <u val="none"/>
        <color rgb="FFFF0000"/>
      </font>
      <fill>
        <patternFill>
          <bgColor rgb="FF00B0F0"/>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rgb="FFFFC000"/>
      </font>
      <fill>
        <patternFill patternType="solid">
          <bgColor theme="7" tint="0.79998168889431442"/>
        </patternFill>
      </fill>
    </dxf>
    <dxf>
      <font>
        <b/>
        <i/>
        <strike val="0"/>
        <u val="none"/>
        <color rgb="FFFFC000"/>
      </font>
      <fill>
        <patternFill patternType="solid">
          <bgColor theme="7" tint="0.79998168889431442"/>
        </patternFill>
      </fill>
    </dxf>
    <dxf>
      <font>
        <b val="0"/>
        <i/>
        <strike val="0"/>
        <u val="none"/>
        <color rgb="FFFF0000"/>
      </font>
      <fill>
        <patternFill>
          <bgColor theme="8" tint="0.59996337778862885"/>
        </patternFill>
      </fill>
    </dxf>
    <dxf>
      <font>
        <b val="0"/>
        <i/>
        <strike val="0"/>
        <u val="none"/>
        <color rgb="FFFF0000"/>
      </font>
      <fill>
        <patternFill>
          <bgColor theme="8" tint="0.59996337778862885"/>
        </patternFill>
      </fill>
    </dxf>
    <dxf>
      <font>
        <b/>
        <i val="0"/>
        <strike val="0"/>
        <u val="none"/>
        <color theme="0"/>
      </font>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00B0F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CC99FF"/>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7" tint="0.39991454817346722"/>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theme="9" tint="-0.2499465926084170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4" tint="0.3999450666829432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rgb="FF7E1389"/>
      </font>
      <fill>
        <patternFill>
          <bgColor rgb="FFFFAFB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rgb="FFEB2403"/>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1" tint="0.49998474074526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0"/>
      </font>
      <fill>
        <patternFill>
          <bgColor theme="5" tint="-0.2499465926084170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0"/>
      </font>
      <fill>
        <patternFill>
          <bgColor rgb="FFF632C7"/>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rgb="FF99FF33"/>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FF0000"/>
      </font>
      <fill>
        <patternFill patternType="none">
          <bgColor auto="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7ED882"/>
        </patternFill>
      </fill>
      <border>
        <left style="thin">
          <color theme="0" tint="-0.14996795556505021"/>
        </left>
        <right style="thin">
          <color theme="0" tint="-0.14996795556505021"/>
        </right>
        <top style="thin">
          <color theme="0" tint="-0.14996795556505021"/>
        </top>
        <bottom style="thin">
          <color theme="0" tint="-0.14996795556505021"/>
        </bottom>
      </border>
    </dxf>
    <dxf>
      <font>
        <strike val="0"/>
        <color rgb="FF9C0006"/>
      </font>
      <fill>
        <patternFill>
          <bgColor theme="7" tint="0.39994506668294322"/>
        </patternFill>
      </fill>
    </dxf>
    <dxf>
      <font>
        <b/>
        <i val="0"/>
        <strike val="0"/>
        <u val="none"/>
        <color theme="0"/>
      </font>
      <fill>
        <patternFill patternType="solid">
          <bgColor theme="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FF99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patternType="solid">
          <bgColor rgb="FFFF99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rgb="FF92E7F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FF66CC"/>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0070C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1"/>
      </font>
      <fill>
        <patternFill>
          <bgColor rgb="FFFFFF00"/>
        </patternFill>
      </fill>
      <border>
        <left style="thin">
          <color theme="0" tint="-0.14996795556505021"/>
        </left>
        <right style="thin">
          <color theme="0" tint="-0.14996795556505021"/>
        </right>
        <top style="thin">
          <color theme="0" tint="-0.14996795556505021"/>
        </top>
        <bottom style="thin">
          <color theme="0" tint="-0.14996795556505021"/>
        </bottom>
      </border>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auto="1"/>
      </font>
      <fill>
        <patternFill patternType="solid">
          <bgColor rgb="FF00FF00"/>
        </patternFill>
      </fill>
    </dxf>
    <dxf>
      <fill>
        <patternFill>
          <bgColor theme="9"/>
        </patternFill>
      </fill>
    </dxf>
    <dxf>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border>
    </dxf>
    <dxf>
      <font>
        <b/>
        <i/>
        <strike val="0"/>
        <u val="none"/>
        <color theme="0" tint="-0.499984740745262"/>
      </font>
      <fill>
        <patternFill patternType="solid">
          <bgColor theme="7" tint="0.79998168889431442"/>
        </patternFill>
      </fill>
    </dxf>
    <dxf>
      <font>
        <b/>
        <i val="0"/>
        <strike val="0"/>
        <u val="none"/>
        <color theme="5" tint="-0.24994659260841701"/>
      </font>
      <fill>
        <patternFill patternType="solid">
          <bgColor rgb="FFFFFF00"/>
        </patternFill>
      </fill>
    </dxf>
    <dxf>
      <font>
        <b/>
        <i val="0"/>
        <strike val="0"/>
        <u val="none"/>
        <color rgb="FFFF0000"/>
      </font>
      <fill>
        <patternFill patternType="solid">
          <bgColor rgb="FFFFFF00"/>
        </patternFill>
      </fill>
    </dxf>
    <dxf>
      <font>
        <b/>
        <i val="0"/>
        <strike val="0"/>
        <u val="none"/>
        <color rgb="FF00B0F0"/>
      </font>
      <fill>
        <patternFill patternType="solid">
          <bgColor rgb="FFFFFF00"/>
        </patternFill>
      </fill>
    </dxf>
    <dxf>
      <font>
        <b/>
        <i val="0"/>
        <strike val="0"/>
        <u val="none"/>
        <color theme="0"/>
      </font>
      <fill>
        <patternFill>
          <bgColor rgb="FFFF3399"/>
        </patternFill>
      </fill>
    </dxf>
    <dxf>
      <font>
        <b/>
        <i val="0"/>
        <strike val="0"/>
        <u val="none"/>
        <color theme="0"/>
      </font>
      <fill>
        <patternFill>
          <bgColor rgb="FFFF3399"/>
        </patternFill>
      </fill>
    </dxf>
    <dxf>
      <font>
        <b/>
        <i/>
        <strike val="0"/>
        <u val="none"/>
        <color theme="5" tint="-0.24994659260841701"/>
      </font>
      <fill>
        <patternFill>
          <bgColor rgb="FFFFFF00"/>
        </patternFill>
      </fill>
    </dxf>
    <dxf>
      <font>
        <b/>
        <i/>
        <strike val="0"/>
        <u val="none"/>
        <color rgb="FFFF0000"/>
      </font>
      <fill>
        <patternFill>
          <bgColor rgb="FFFFFF00"/>
        </patternFill>
      </fill>
    </dxf>
    <dxf>
      <font>
        <b/>
        <i val="0"/>
        <strike val="0"/>
        <u val="none"/>
        <color auto="1"/>
      </font>
      <fill>
        <patternFill patternType="solid">
          <bgColor theme="9" tint="0.59996337778862885"/>
        </patternFill>
      </fill>
    </dxf>
    <dxf>
      <font>
        <b/>
        <i/>
        <strike val="0"/>
        <u val="none"/>
        <color auto="1"/>
      </font>
      <fill>
        <patternFill patternType="solid">
          <bgColor rgb="FF00FF00"/>
        </patternFill>
      </fill>
    </dxf>
    <dxf>
      <font>
        <b/>
        <i/>
        <strike val="0"/>
        <u val="none"/>
        <color auto="1"/>
      </font>
      <fill>
        <patternFill patternType="solid">
          <bgColor rgb="FF00FF00"/>
        </patternFill>
      </fill>
    </dxf>
    <dxf>
      <font>
        <b/>
        <i val="0"/>
        <strike val="0"/>
        <u val="none"/>
        <color rgb="FFFF0000"/>
      </font>
      <fill>
        <patternFill>
          <bgColor rgb="FF00B0F0"/>
        </patternFill>
      </fill>
    </dxf>
    <dxf>
      <font>
        <b/>
        <i val="0"/>
        <strike val="0"/>
        <u val="none"/>
        <color rgb="FFFF0000"/>
      </font>
      <fill>
        <patternFill>
          <bgColor rgb="FF00B0F0"/>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rgb="FFFFC000"/>
      </font>
      <fill>
        <patternFill patternType="solid">
          <bgColor theme="7" tint="0.79998168889431442"/>
        </patternFill>
      </fill>
    </dxf>
    <dxf>
      <font>
        <b/>
        <i/>
        <strike val="0"/>
        <u val="none"/>
        <color rgb="FFFFC000"/>
      </font>
      <fill>
        <patternFill patternType="solid">
          <bgColor theme="7" tint="0.79998168889431442"/>
        </patternFill>
      </fill>
    </dxf>
    <dxf>
      <font>
        <b val="0"/>
        <i/>
        <strike val="0"/>
        <u val="none"/>
        <color rgb="FFFF0000"/>
      </font>
      <fill>
        <patternFill>
          <bgColor theme="8" tint="0.59996337778862885"/>
        </patternFill>
      </fill>
    </dxf>
    <dxf>
      <font>
        <b val="0"/>
        <i/>
        <strike val="0"/>
        <u val="none"/>
        <color rgb="FFFF0000"/>
      </font>
      <fill>
        <patternFill>
          <bgColor theme="8" tint="0.59996337778862885"/>
        </patternFill>
      </fill>
    </dxf>
    <dxf>
      <font>
        <b/>
        <i val="0"/>
        <strike val="0"/>
        <u val="none"/>
        <color theme="0"/>
      </font>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00B0F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CC99FF"/>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7" tint="0.39991454817346722"/>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theme="9" tint="-0.2499465926084170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4" tint="0.3999450666829432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rgb="FF7E1389"/>
      </font>
      <fill>
        <patternFill>
          <bgColor rgb="FFFFAFB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rgb="FFEB2403"/>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1" tint="0.49998474074526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0"/>
      </font>
      <fill>
        <patternFill>
          <bgColor theme="5" tint="-0.2499465926084170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0"/>
      </font>
      <fill>
        <patternFill>
          <bgColor rgb="FFF632C7"/>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rgb="FF99FF33"/>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FF0000"/>
      </font>
      <fill>
        <patternFill patternType="none">
          <bgColor auto="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7ED882"/>
        </patternFill>
      </fill>
      <border>
        <left style="thin">
          <color theme="0" tint="-0.14996795556505021"/>
        </left>
        <right style="thin">
          <color theme="0" tint="-0.14996795556505021"/>
        </right>
        <top style="thin">
          <color theme="0" tint="-0.14996795556505021"/>
        </top>
        <bottom style="thin">
          <color theme="0" tint="-0.14996795556505021"/>
        </bottom>
      </border>
    </dxf>
    <dxf>
      <font>
        <strike val="0"/>
        <color rgb="FF9C0006"/>
      </font>
      <fill>
        <patternFill>
          <bgColor theme="7" tint="0.39994506668294322"/>
        </patternFill>
      </fill>
    </dxf>
    <dxf>
      <font>
        <b/>
        <i val="0"/>
        <strike val="0"/>
        <u val="none"/>
        <color theme="0"/>
      </font>
      <fill>
        <patternFill patternType="solid">
          <bgColor theme="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FF99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patternType="solid">
          <bgColor rgb="FFFF99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rgb="FF92E7F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FF66CC"/>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0070C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1"/>
      </font>
      <fill>
        <patternFill>
          <bgColor rgb="FFFFFF00"/>
        </patternFill>
      </fill>
      <border>
        <left style="thin">
          <color theme="0" tint="-0.14996795556505021"/>
        </left>
        <right style="thin">
          <color theme="0" tint="-0.14996795556505021"/>
        </right>
        <top style="thin">
          <color theme="0" tint="-0.14996795556505021"/>
        </top>
        <bottom style="thin">
          <color theme="0" tint="-0.14996795556505021"/>
        </bottom>
      </border>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ill>
        <patternFill>
          <bgColor rgb="FF00B050"/>
        </patternFill>
      </fill>
      <border>
        <left style="thin">
          <color theme="0" tint="-0.24994659260841701"/>
        </left>
        <right style="thin">
          <color theme="0" tint="-0.24994659260841701"/>
        </right>
        <top style="thin">
          <color theme="0" tint="-0.24994659260841701"/>
        </top>
        <bottom style="thin">
          <color theme="0" tint="-0.24994659260841701"/>
        </bottom>
      </border>
    </dxf>
    <dxf>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b/>
        <i val="0"/>
        <strike val="0"/>
        <u val="none"/>
        <color theme="5" tint="-0.24994659260841701"/>
      </font>
      <fill>
        <patternFill patternType="solid">
          <bgColor rgb="FFFFFF00"/>
        </patternFill>
      </fill>
    </dxf>
    <dxf>
      <font>
        <b/>
        <i val="0"/>
        <strike val="0"/>
        <u val="none"/>
        <color rgb="FFFF0000"/>
      </font>
      <fill>
        <patternFill patternType="solid">
          <bgColor rgb="FFFFFF00"/>
        </patternFill>
      </fill>
    </dxf>
    <dxf>
      <font>
        <b/>
        <i val="0"/>
        <strike val="0"/>
        <u val="none"/>
        <color rgb="FF00B0F0"/>
      </font>
      <fill>
        <patternFill patternType="solid">
          <bgColor rgb="FFFFFF00"/>
        </patternFill>
      </fill>
    </dxf>
    <dxf>
      <font>
        <b/>
        <i val="0"/>
        <strike val="0"/>
        <u val="none"/>
        <color theme="0"/>
      </font>
      <fill>
        <patternFill>
          <bgColor rgb="FFFF3399"/>
        </patternFill>
      </fill>
    </dxf>
    <dxf>
      <font>
        <b/>
        <i val="0"/>
        <strike val="0"/>
        <u val="none"/>
        <color theme="0"/>
      </font>
      <fill>
        <patternFill>
          <bgColor rgb="FFFF3399"/>
        </patternFill>
      </fill>
    </dxf>
    <dxf>
      <font>
        <b/>
        <i/>
        <strike val="0"/>
        <u val="none"/>
        <color theme="5" tint="-0.24994659260841701"/>
      </font>
      <fill>
        <patternFill>
          <bgColor rgb="FFFFFF00"/>
        </patternFill>
      </fill>
    </dxf>
    <dxf>
      <font>
        <b/>
        <i/>
        <strike val="0"/>
        <u val="none"/>
        <color rgb="FFFF0000"/>
      </font>
      <fill>
        <patternFill>
          <bgColor rgb="FFFFFF00"/>
        </patternFill>
      </fill>
    </dxf>
    <dxf>
      <font>
        <b/>
        <i val="0"/>
        <strike val="0"/>
        <u val="none"/>
        <color auto="1"/>
      </font>
      <fill>
        <patternFill patternType="solid">
          <bgColor theme="9" tint="0.59996337778862885"/>
        </patternFill>
      </fill>
    </dxf>
    <dxf>
      <font>
        <b/>
        <i/>
        <strike val="0"/>
        <u val="none"/>
        <color auto="1"/>
      </font>
      <fill>
        <patternFill patternType="solid">
          <bgColor rgb="FF00FF00"/>
        </patternFill>
      </fill>
    </dxf>
    <dxf>
      <font>
        <b/>
        <i/>
        <strike val="0"/>
        <u val="none"/>
        <color auto="1"/>
      </font>
      <fill>
        <patternFill patternType="solid">
          <bgColor rgb="FF00FF00"/>
        </patternFill>
      </fill>
    </dxf>
    <dxf>
      <font>
        <b/>
        <i val="0"/>
        <strike val="0"/>
        <u val="none"/>
        <color rgb="FFFF0000"/>
      </font>
      <fill>
        <patternFill>
          <bgColor rgb="FF00B0F0"/>
        </patternFill>
      </fill>
    </dxf>
    <dxf>
      <font>
        <b/>
        <i val="0"/>
        <strike val="0"/>
        <u val="none"/>
        <color rgb="FFFF0000"/>
      </font>
      <fill>
        <patternFill>
          <bgColor rgb="FF00B0F0"/>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rgb="FFFFC000"/>
      </font>
      <fill>
        <patternFill patternType="solid">
          <bgColor theme="7" tint="0.79998168889431442"/>
        </patternFill>
      </fill>
    </dxf>
    <dxf>
      <font>
        <b/>
        <i/>
        <strike val="0"/>
        <u val="none"/>
        <color rgb="FFFFC000"/>
      </font>
      <fill>
        <patternFill patternType="solid">
          <bgColor theme="7" tint="0.79998168889431442"/>
        </patternFill>
      </fill>
    </dxf>
    <dxf>
      <font>
        <b/>
        <i val="0"/>
        <strike val="0"/>
        <u val="none"/>
        <color rgb="FF00B050"/>
      </font>
      <fill>
        <patternFill>
          <bgColor rgb="FFEAF1AB"/>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9966FF"/>
      </font>
      <fill>
        <patternFill>
          <bgColor rgb="FFB1DDEB"/>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00B0F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CC99FF"/>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7" tint="0.39991454817346722"/>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theme="9" tint="-0.2499465926084170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4" tint="0.3999450666829432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rgb="FF7E1389"/>
      </font>
      <fill>
        <patternFill>
          <bgColor rgb="FFFFAFB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rgb="FFEB2403"/>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1" tint="0.49998474074526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0"/>
      </font>
      <fill>
        <patternFill>
          <bgColor theme="5" tint="-0.2499465926084170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0"/>
      </font>
      <fill>
        <patternFill>
          <bgColor rgb="FFF632C7"/>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rgb="FF99FF33"/>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FF0000"/>
      </font>
      <fill>
        <patternFill patternType="solid">
          <bgColor theme="9" tint="0.59996337778862885"/>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7ED882"/>
        </patternFill>
      </fill>
      <border>
        <left style="thin">
          <color theme="0" tint="-0.14996795556505021"/>
        </left>
        <right style="thin">
          <color theme="0" tint="-0.14996795556505021"/>
        </right>
        <top style="thin">
          <color theme="0" tint="-0.14996795556505021"/>
        </top>
        <bottom style="thin">
          <color theme="0" tint="-0.14996795556505021"/>
        </bottom>
      </border>
    </dxf>
    <dxf>
      <font>
        <strike val="0"/>
        <color rgb="FF9C0006"/>
      </font>
      <fill>
        <patternFill>
          <bgColor theme="7" tint="0.39994506668294322"/>
        </patternFill>
      </fill>
    </dxf>
    <dxf>
      <font>
        <b/>
        <i val="0"/>
        <strike val="0"/>
        <u val="none"/>
        <color theme="0"/>
      </font>
      <fill>
        <patternFill patternType="solid">
          <bgColor theme="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FF99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patternType="solid">
          <bgColor rgb="FFFF99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rgb="FF92E7F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FF66CC"/>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0070C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1"/>
      </font>
      <fill>
        <patternFill>
          <bgColor rgb="FFFFFF00"/>
        </patternFill>
      </fill>
      <border>
        <left style="thin">
          <color theme="0" tint="-0.14996795556505021"/>
        </left>
        <right style="thin">
          <color theme="0" tint="-0.14996795556505021"/>
        </right>
        <top style="thin">
          <color theme="0" tint="-0.14996795556505021"/>
        </top>
        <bottom style="thin">
          <color theme="0" tint="-0.14996795556505021"/>
        </bottom>
      </border>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color auto="1"/>
      </font>
      <fill>
        <patternFill>
          <bgColor theme="9"/>
        </patternFill>
      </fill>
      <border>
        <left style="thin">
          <color theme="0" tint="-0.14996795556505021"/>
        </left>
        <right style="thin">
          <color theme="0" tint="-0.14996795556505021"/>
        </right>
        <top style="thin">
          <color theme="0" tint="-0.14996795556505021"/>
        </top>
        <bottom style="thin">
          <color theme="0" tint="-0.14996795556505021"/>
        </bottom>
      </border>
    </dxf>
    <dxf>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FF3399"/>
        </patternFill>
      </fill>
    </dxf>
    <dxf>
      <font>
        <b/>
        <i val="0"/>
        <strike val="0"/>
        <u val="none"/>
        <color theme="0"/>
      </font>
      <fill>
        <patternFill>
          <bgColor rgb="FFFF3399"/>
        </patternFill>
      </fill>
    </dxf>
    <dxf>
      <font>
        <b/>
        <i/>
        <strike val="0"/>
        <u val="none"/>
        <color auto="1"/>
      </font>
      <fill>
        <patternFill patternType="solid">
          <bgColor rgb="FF00FF00"/>
        </patternFill>
      </fill>
    </dxf>
    <dxf>
      <font>
        <b/>
        <i val="0"/>
        <strike val="0"/>
        <u val="none"/>
        <color rgb="FFFF0000"/>
      </font>
      <fill>
        <patternFill>
          <bgColor rgb="FF00B0F0"/>
        </patternFill>
      </fill>
    </dxf>
    <dxf>
      <font>
        <b/>
        <i val="0"/>
        <strike val="0"/>
        <u val="none"/>
        <color rgb="FF00B050"/>
      </font>
      <fill>
        <patternFill>
          <bgColor rgb="FFEAF1AB"/>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9966FF"/>
      </font>
      <fill>
        <patternFill>
          <bgColor rgb="FFB1DDEB"/>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00B0F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CC99FF"/>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7" tint="0.39991454817346722"/>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theme="9" tint="-0.2499465926084170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4" tint="0.3999450666829432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rgb="FF7E1389"/>
      </font>
      <fill>
        <patternFill>
          <bgColor rgb="FFFFAFB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rgb="FFEB2403"/>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1" tint="0.49998474074526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0"/>
      </font>
      <fill>
        <patternFill>
          <bgColor theme="5" tint="-0.2499465926084170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0"/>
      </font>
      <fill>
        <patternFill>
          <bgColor rgb="FFF632C7"/>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rgb="FF99FF33"/>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FF0000"/>
      </font>
      <fill>
        <patternFill patternType="solid">
          <bgColor theme="9" tint="0.59996337778862885"/>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7ED882"/>
        </patternFill>
      </fill>
      <border>
        <left style="thin">
          <color theme="0" tint="-0.14996795556505021"/>
        </left>
        <right style="thin">
          <color theme="0" tint="-0.14996795556505021"/>
        </right>
        <top style="thin">
          <color theme="0" tint="-0.14996795556505021"/>
        </top>
        <bottom style="thin">
          <color theme="0" tint="-0.14996795556505021"/>
        </bottom>
      </border>
    </dxf>
    <dxf>
      <font>
        <strike val="0"/>
        <color rgb="FF9C0006"/>
      </font>
      <fill>
        <patternFill>
          <bgColor theme="7" tint="0.39994506668294322"/>
        </patternFill>
      </fill>
    </dxf>
    <dxf>
      <font>
        <b/>
        <i val="0"/>
        <strike val="0"/>
        <u val="none"/>
        <color theme="0"/>
      </font>
      <fill>
        <patternFill patternType="solid">
          <bgColor theme="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FF99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patternType="solid">
          <bgColor rgb="FFFF99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rgb="FF92E7F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FF66CC"/>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0070C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1"/>
      </font>
      <fill>
        <patternFill>
          <bgColor rgb="FFFFFF00"/>
        </patternFill>
      </fill>
      <border>
        <left style="thin">
          <color theme="0" tint="-0.14996795556505021"/>
        </left>
        <right style="thin">
          <color theme="0" tint="-0.14996795556505021"/>
        </right>
        <top style="thin">
          <color theme="0" tint="-0.14996795556505021"/>
        </top>
        <bottom style="thin">
          <color theme="0" tint="-0.14996795556505021"/>
        </bottom>
      </border>
    </dxf>
    <dxf>
      <fill>
        <patternFill>
          <bgColor rgb="FF00B050"/>
        </patternFill>
      </fill>
      <border>
        <left style="thin">
          <color theme="0" tint="-0.24994659260841701"/>
        </left>
        <right style="thin">
          <color theme="0" tint="-0.24994659260841701"/>
        </right>
        <top style="thin">
          <color theme="0" tint="-0.24994659260841701"/>
        </top>
        <bottom style="thin">
          <color theme="0" tint="-0.24994659260841701"/>
        </bottom>
      </border>
    </dxf>
    <dxf>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rgb="FFFFFF0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b/>
        <i val="0"/>
        <color rgb="FF00B050"/>
      </font>
    </dxf>
    <dxf>
      <fill>
        <patternFill>
          <bgColor rgb="FF00B050"/>
        </patternFill>
      </fill>
    </dxf>
    <dxf>
      <font>
        <b/>
        <i val="0"/>
        <u val="double"/>
        <color auto="1"/>
      </font>
      <fill>
        <patternFill patternType="darkTrellis">
          <fgColor theme="5" tint="0.39994506668294322"/>
        </patternFill>
      </fill>
      <border>
        <left style="thin">
          <color auto="1"/>
        </left>
        <right style="thin">
          <color auto="1"/>
        </right>
        <top style="thin">
          <color auto="1"/>
        </top>
        <bottom style="thin">
          <color auto="1"/>
        </bottom>
      </border>
    </dxf>
    <dxf>
      <font>
        <b/>
        <i val="0"/>
        <strike val="0"/>
        <u/>
      </font>
      <fill>
        <patternFill patternType="darkTrellis">
          <fgColor theme="9" tint="0.59996337778862885"/>
          <bgColor auto="1"/>
        </patternFill>
      </fill>
      <border>
        <left style="thin">
          <color auto="1"/>
        </left>
        <right style="thin">
          <color auto="1"/>
        </right>
        <top style="thin">
          <color auto="1"/>
        </top>
        <bottom style="thin">
          <color auto="1"/>
        </bottom>
      </border>
    </dxf>
    <dxf>
      <font>
        <b/>
        <i val="0"/>
        <u val="double"/>
        <color auto="1"/>
      </font>
      <fill>
        <patternFill patternType="darkTrellis">
          <fgColor theme="5" tint="0.39994506668294322"/>
        </patternFill>
      </fill>
      <border>
        <left style="thin">
          <color auto="1"/>
        </left>
        <right style="thin">
          <color auto="1"/>
        </right>
        <top style="thin">
          <color auto="1"/>
        </top>
        <bottom style="thin">
          <color auto="1"/>
        </bottom>
      </border>
    </dxf>
    <dxf>
      <font>
        <b/>
        <i val="0"/>
        <strike val="0"/>
        <u/>
      </font>
      <fill>
        <patternFill patternType="darkTrellis">
          <fgColor theme="9" tint="0.59996337778862885"/>
          <bgColor auto="1"/>
        </patternFill>
      </fill>
      <border>
        <left style="thin">
          <color auto="1"/>
        </left>
        <right style="thin">
          <color auto="1"/>
        </right>
        <top style="thin">
          <color auto="1"/>
        </top>
        <bottom style="thin">
          <color auto="1"/>
        </bottom>
      </border>
    </dxf>
    <dxf>
      <font>
        <b/>
        <i val="0"/>
        <u val="double"/>
        <color auto="1"/>
      </font>
      <fill>
        <patternFill patternType="darkTrellis">
          <fgColor theme="5" tint="0.39994506668294322"/>
        </patternFill>
      </fill>
      <border>
        <left style="thin">
          <color auto="1"/>
        </left>
        <right style="thin">
          <color auto="1"/>
        </right>
        <top style="thin">
          <color auto="1"/>
        </top>
        <bottom style="thin">
          <color auto="1"/>
        </bottom>
      </border>
    </dxf>
    <dxf>
      <font>
        <b/>
        <i val="0"/>
        <strike val="0"/>
        <u/>
      </font>
      <fill>
        <patternFill patternType="darkTrellis">
          <fgColor theme="9" tint="0.59996337778862885"/>
          <bgColor auto="1"/>
        </patternFill>
      </fill>
      <border>
        <left style="thin">
          <color auto="1"/>
        </left>
        <right style="thin">
          <color auto="1"/>
        </right>
        <top style="thin">
          <color auto="1"/>
        </top>
        <bottom style="thin">
          <color auto="1"/>
        </bottom>
      </border>
    </dxf>
    <dxf>
      <font>
        <b/>
        <i val="0"/>
        <u val="double"/>
        <color auto="1"/>
      </font>
      <fill>
        <patternFill patternType="darkTrellis">
          <fgColor theme="5" tint="0.39994506668294322"/>
        </patternFill>
      </fill>
      <border>
        <left style="thin">
          <color auto="1"/>
        </left>
        <right style="thin">
          <color auto="1"/>
        </right>
        <top style="thin">
          <color auto="1"/>
        </top>
        <bottom style="thin">
          <color auto="1"/>
        </bottom>
      </border>
    </dxf>
    <dxf>
      <font>
        <b/>
        <i val="0"/>
        <strike val="0"/>
        <u/>
      </font>
      <fill>
        <patternFill patternType="darkTrellis">
          <fgColor theme="9" tint="0.59996337778862885"/>
          <bgColor auto="1"/>
        </patternFill>
      </fill>
      <border>
        <left style="thin">
          <color auto="1"/>
        </left>
        <right style="thin">
          <color auto="1"/>
        </right>
        <top style="thin">
          <color auto="1"/>
        </top>
        <bottom style="thin">
          <color auto="1"/>
        </bottom>
      </border>
    </dxf>
    <dxf>
      <font>
        <b/>
        <i val="0"/>
        <u val="double"/>
        <color auto="1"/>
      </font>
      <fill>
        <patternFill patternType="darkTrellis">
          <fgColor theme="5" tint="0.39994506668294322"/>
        </patternFill>
      </fill>
      <border>
        <left style="thin">
          <color auto="1"/>
        </left>
        <right style="thin">
          <color auto="1"/>
        </right>
        <top style="thin">
          <color auto="1"/>
        </top>
        <bottom style="thin">
          <color auto="1"/>
        </bottom>
      </border>
    </dxf>
    <dxf>
      <font>
        <b/>
        <i val="0"/>
        <strike val="0"/>
        <u/>
      </font>
      <fill>
        <patternFill patternType="darkTrellis">
          <fgColor theme="9" tint="0.59996337778862885"/>
          <bgColor auto="1"/>
        </patternFill>
      </fill>
      <border>
        <left style="thin">
          <color auto="1"/>
        </left>
        <right style="thin">
          <color auto="1"/>
        </right>
        <top style="thin">
          <color auto="1"/>
        </top>
        <bottom style="thin">
          <color auto="1"/>
        </bottom>
      </border>
    </dxf>
    <dxf>
      <font>
        <b/>
        <i val="0"/>
        <u val="double"/>
        <color auto="1"/>
      </font>
      <fill>
        <patternFill patternType="darkTrellis">
          <fgColor theme="5" tint="0.39994506668294322"/>
        </patternFill>
      </fill>
      <border>
        <left style="thin">
          <color auto="1"/>
        </left>
        <right style="thin">
          <color auto="1"/>
        </right>
        <top style="thin">
          <color auto="1"/>
        </top>
        <bottom style="thin">
          <color auto="1"/>
        </bottom>
      </border>
    </dxf>
    <dxf>
      <font>
        <b/>
        <i val="0"/>
        <strike val="0"/>
        <u/>
      </font>
      <fill>
        <patternFill patternType="darkTrellis">
          <fgColor theme="9" tint="0.59996337778862885"/>
          <bgColor auto="1"/>
        </patternFill>
      </fill>
      <border>
        <left style="thin">
          <color auto="1"/>
        </left>
        <right style="thin">
          <color auto="1"/>
        </right>
        <top style="thin">
          <color auto="1"/>
        </top>
        <bottom style="thin">
          <color auto="1"/>
        </bottom>
      </border>
    </dxf>
    <dxf>
      <font>
        <color auto="1"/>
      </font>
      <fill>
        <patternFill>
          <bgColor rgb="FFBEBADA"/>
        </patternFill>
      </fill>
      <border>
        <left style="thin">
          <color theme="2"/>
        </left>
        <right style="thin">
          <color theme="2"/>
        </right>
        <top style="thin">
          <color theme="2"/>
        </top>
        <bottom style="thin">
          <color theme="2"/>
        </bottom>
      </border>
    </dxf>
    <dxf>
      <fill>
        <patternFill>
          <bgColor rgb="FFF5F274"/>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rgb="FF00B050"/>
        </patternFill>
      </fill>
      <border>
        <left style="thin">
          <color theme="0" tint="-0.24994659260841701"/>
        </left>
        <right style="thin">
          <color theme="0" tint="-0.24994659260841701"/>
        </right>
        <top style="thin">
          <color theme="0" tint="-0.24994659260841701"/>
        </top>
        <bottom style="thin">
          <color theme="0" tint="-0.24994659260841701"/>
        </bottom>
      </border>
    </dxf>
    <dxf>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b/>
        <i val="0"/>
        <strike val="0"/>
        <u val="none"/>
        <color theme="5" tint="-0.24994659260841701"/>
      </font>
      <fill>
        <patternFill patternType="solid">
          <bgColor rgb="FFFFFF00"/>
        </patternFill>
      </fill>
    </dxf>
    <dxf>
      <font>
        <b/>
        <i val="0"/>
        <strike val="0"/>
        <u val="none"/>
        <color rgb="FFFF0000"/>
      </font>
      <fill>
        <patternFill patternType="solid">
          <bgColor rgb="FFFFFF00"/>
        </patternFill>
      </fill>
    </dxf>
    <dxf>
      <font>
        <b/>
        <i val="0"/>
        <strike val="0"/>
        <u val="none"/>
        <color rgb="FF00B0F0"/>
      </font>
      <fill>
        <patternFill patternType="solid">
          <bgColor rgb="FFFFFF00"/>
        </patternFill>
      </fill>
    </dxf>
    <dxf>
      <font>
        <b/>
        <i val="0"/>
        <strike val="0"/>
        <u val="none"/>
        <color theme="0"/>
      </font>
      <fill>
        <patternFill>
          <bgColor rgb="FFFF3399"/>
        </patternFill>
      </fill>
    </dxf>
    <dxf>
      <font>
        <b/>
        <i val="0"/>
        <strike val="0"/>
        <u val="none"/>
        <color theme="0"/>
      </font>
      <fill>
        <patternFill>
          <bgColor rgb="FFFF3399"/>
        </patternFill>
      </fill>
    </dxf>
    <dxf>
      <font>
        <b/>
        <i/>
        <strike val="0"/>
        <u val="none"/>
        <color theme="5" tint="-0.24994659260841701"/>
      </font>
      <fill>
        <patternFill>
          <bgColor rgb="FFFFFF00"/>
        </patternFill>
      </fill>
    </dxf>
    <dxf>
      <font>
        <b/>
        <i/>
        <strike val="0"/>
        <u val="none"/>
        <color rgb="FFFF0000"/>
      </font>
      <fill>
        <patternFill>
          <bgColor rgb="FFFFFF00"/>
        </patternFill>
      </fill>
    </dxf>
    <dxf>
      <font>
        <b/>
        <i val="0"/>
        <strike val="0"/>
        <u val="none"/>
        <color auto="1"/>
      </font>
      <fill>
        <patternFill patternType="solid">
          <bgColor theme="9" tint="0.59996337778862885"/>
        </patternFill>
      </fill>
    </dxf>
    <dxf>
      <font>
        <b/>
        <i/>
        <strike val="0"/>
        <u val="none"/>
        <color auto="1"/>
      </font>
      <fill>
        <patternFill patternType="solid">
          <bgColor rgb="FF00FF00"/>
        </patternFill>
      </fill>
    </dxf>
    <dxf>
      <font>
        <b/>
        <i/>
        <strike val="0"/>
        <u val="none"/>
        <color auto="1"/>
      </font>
      <fill>
        <patternFill patternType="solid">
          <bgColor rgb="FF00FF00"/>
        </patternFill>
      </fill>
    </dxf>
    <dxf>
      <font>
        <b/>
        <i val="0"/>
        <strike val="0"/>
        <u val="none"/>
        <color rgb="FFFF0000"/>
      </font>
      <fill>
        <patternFill>
          <bgColor rgb="FF00B0F0"/>
        </patternFill>
      </fill>
    </dxf>
    <dxf>
      <font>
        <b/>
        <i val="0"/>
        <strike val="0"/>
        <u val="none"/>
        <color rgb="FFFF0000"/>
      </font>
      <fill>
        <patternFill>
          <bgColor rgb="FF00B0F0"/>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rgb="FFFFC000"/>
      </font>
      <fill>
        <patternFill patternType="solid">
          <bgColor theme="7" tint="0.79998168889431442"/>
        </patternFill>
      </fill>
    </dxf>
    <dxf>
      <font>
        <b/>
        <i/>
        <strike val="0"/>
        <u val="none"/>
        <color rgb="FFFFC000"/>
      </font>
      <fill>
        <patternFill patternType="solid">
          <bgColor theme="7" tint="0.79998168889431442"/>
        </patternFill>
      </fill>
    </dxf>
    <dxf>
      <font>
        <b/>
        <i val="0"/>
        <strike val="0"/>
        <u val="none"/>
        <color rgb="FF00B050"/>
      </font>
      <fill>
        <patternFill>
          <bgColor rgb="FFEAF1AB"/>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9966FF"/>
      </font>
      <fill>
        <patternFill>
          <bgColor rgb="FFB1DDEB"/>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00B0F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CC99FF"/>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7" tint="0.39991454817346722"/>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theme="9" tint="-0.2499465926084170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4" tint="0.3999450666829432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rgb="FF7E1389"/>
      </font>
      <fill>
        <patternFill>
          <bgColor rgb="FFFFAFB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rgb="FFEB2403"/>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1" tint="0.49998474074526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0"/>
      </font>
      <fill>
        <patternFill>
          <bgColor theme="5" tint="-0.2499465926084170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0"/>
      </font>
      <fill>
        <patternFill>
          <bgColor rgb="FFF632C7"/>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rgb="FF99FF33"/>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FF0000"/>
      </font>
      <fill>
        <patternFill patternType="solid">
          <bgColor theme="9" tint="0.59996337778862885"/>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7ED882"/>
        </patternFill>
      </fill>
      <border>
        <left style="thin">
          <color theme="0" tint="-0.14996795556505021"/>
        </left>
        <right style="thin">
          <color theme="0" tint="-0.14996795556505021"/>
        </right>
        <top style="thin">
          <color theme="0" tint="-0.14996795556505021"/>
        </top>
        <bottom style="thin">
          <color theme="0" tint="-0.14996795556505021"/>
        </bottom>
      </border>
    </dxf>
    <dxf>
      <font>
        <strike val="0"/>
        <color rgb="FF9C0006"/>
      </font>
      <fill>
        <patternFill>
          <bgColor theme="7" tint="0.39994506668294322"/>
        </patternFill>
      </fill>
    </dxf>
    <dxf>
      <font>
        <b/>
        <i val="0"/>
        <strike val="0"/>
        <u val="none"/>
        <color theme="0"/>
      </font>
      <fill>
        <patternFill patternType="solid">
          <bgColor theme="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FF99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patternType="solid">
          <bgColor rgb="FFFF99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rgb="FF92E7F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FF66CC"/>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0070C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1"/>
      </font>
      <fill>
        <patternFill>
          <bgColor rgb="FFFFFF00"/>
        </patternFill>
      </fill>
      <border>
        <left style="thin">
          <color theme="0" tint="-0.14996795556505021"/>
        </left>
        <right style="thin">
          <color theme="0" tint="-0.14996795556505021"/>
        </right>
        <top style="thin">
          <color theme="0" tint="-0.14996795556505021"/>
        </top>
        <bottom style="thin">
          <color theme="0" tint="-0.14996795556505021"/>
        </bottom>
      </border>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color auto="1"/>
      </font>
      <fill>
        <patternFill>
          <bgColor theme="9"/>
        </patternFill>
      </fill>
      <border>
        <left style="thin">
          <color theme="0" tint="-0.14996795556505021"/>
        </left>
        <right style="thin">
          <color theme="0" tint="-0.14996795556505021"/>
        </right>
        <top style="thin">
          <color theme="0" tint="-0.14996795556505021"/>
        </top>
        <bottom style="thin">
          <color theme="0" tint="-0.14996795556505021"/>
        </bottom>
      </border>
    </dxf>
    <dxf>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FF0000"/>
      </font>
      <fill>
        <patternFill patternType="solid">
          <bgColor theme="9" tint="0.59996337778862885"/>
        </patternFill>
      </fill>
      <border>
        <left style="thin">
          <color theme="0" tint="-0.14996795556505021"/>
        </left>
        <right style="thin">
          <color theme="0" tint="-0.14996795556505021"/>
        </right>
        <top style="thin">
          <color theme="0" tint="-0.14996795556505021"/>
        </top>
        <bottom style="thin">
          <color theme="0" tint="-0.14996795556505021"/>
        </bottom>
      </border>
    </dxf>
    <dxf>
      <font>
        <color auto="1"/>
      </font>
      <fill>
        <patternFill>
          <bgColor theme="9"/>
        </patternFill>
      </fill>
    </dxf>
    <dxf>
      <fill>
        <patternFill>
          <bgColor rgb="FFFF0000"/>
        </patternFill>
      </fill>
    </dxf>
    <dxf>
      <font>
        <b/>
        <i val="0"/>
        <strike val="0"/>
        <u val="none"/>
        <color theme="5" tint="-0.24994659260841701"/>
      </font>
      <fill>
        <patternFill patternType="solid">
          <bgColor rgb="FFFFFF00"/>
        </patternFill>
      </fill>
    </dxf>
    <dxf>
      <font>
        <b/>
        <i val="0"/>
        <strike val="0"/>
        <u val="none"/>
        <color rgb="FFFF0000"/>
      </font>
      <fill>
        <patternFill patternType="solid">
          <bgColor rgb="FFFFFF00"/>
        </patternFill>
      </fill>
    </dxf>
    <dxf>
      <font>
        <b/>
        <i val="0"/>
        <strike val="0"/>
        <u val="none"/>
        <color rgb="FF00B0F0"/>
      </font>
      <fill>
        <patternFill patternType="solid">
          <bgColor rgb="FFFFFF00"/>
        </patternFill>
      </fill>
    </dxf>
    <dxf>
      <font>
        <b/>
        <i val="0"/>
        <strike val="0"/>
        <u val="none"/>
        <color theme="0"/>
      </font>
      <fill>
        <patternFill>
          <bgColor rgb="FFFF3399"/>
        </patternFill>
      </fill>
    </dxf>
    <dxf>
      <font>
        <b/>
        <i val="0"/>
        <strike val="0"/>
        <u val="none"/>
        <color theme="0"/>
      </font>
      <fill>
        <patternFill>
          <bgColor rgb="FFFF3399"/>
        </patternFill>
      </fill>
    </dxf>
    <dxf>
      <font>
        <b/>
        <i/>
        <strike val="0"/>
        <u val="none"/>
        <color theme="5" tint="-0.24994659260841701"/>
      </font>
      <fill>
        <patternFill>
          <bgColor rgb="FFFFFF00"/>
        </patternFill>
      </fill>
    </dxf>
    <dxf>
      <font>
        <b/>
        <i/>
        <strike val="0"/>
        <u val="none"/>
        <color rgb="FFFF0000"/>
      </font>
      <fill>
        <patternFill>
          <bgColor rgb="FFFFFF00"/>
        </patternFill>
      </fill>
    </dxf>
    <dxf>
      <font>
        <b/>
        <i val="0"/>
        <strike val="0"/>
        <u val="none"/>
        <color auto="1"/>
      </font>
      <fill>
        <patternFill patternType="solid">
          <bgColor theme="9" tint="0.59996337778862885"/>
        </patternFill>
      </fill>
    </dxf>
    <dxf>
      <font>
        <b/>
        <i/>
        <strike val="0"/>
        <u val="none"/>
        <color auto="1"/>
      </font>
      <fill>
        <patternFill patternType="solid">
          <bgColor rgb="FF00FF00"/>
        </patternFill>
      </fill>
    </dxf>
    <dxf>
      <font>
        <b/>
        <i/>
        <strike val="0"/>
        <u val="none"/>
        <color auto="1"/>
      </font>
      <fill>
        <patternFill patternType="solid">
          <bgColor rgb="FF00FF00"/>
        </patternFill>
      </fill>
    </dxf>
    <dxf>
      <font>
        <b/>
        <i val="0"/>
        <strike val="0"/>
        <u val="none"/>
        <color rgb="FFFF0000"/>
      </font>
      <fill>
        <patternFill>
          <bgColor rgb="FF00B0F0"/>
        </patternFill>
      </fill>
    </dxf>
    <dxf>
      <font>
        <b/>
        <i val="0"/>
        <strike val="0"/>
        <u val="none"/>
        <color rgb="FFFF0000"/>
      </font>
      <fill>
        <patternFill>
          <bgColor rgb="FF00B0F0"/>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rgb="FFFFC000"/>
      </font>
      <fill>
        <patternFill patternType="solid">
          <bgColor theme="7" tint="0.79998168889431442"/>
        </patternFill>
      </fill>
    </dxf>
    <dxf>
      <font>
        <b/>
        <i/>
        <strike val="0"/>
        <u val="none"/>
        <color rgb="FFFFC000"/>
      </font>
      <fill>
        <patternFill patternType="solid">
          <bgColor theme="7" tint="0.79998168889431442"/>
        </patternFill>
      </fill>
    </dxf>
    <dxf>
      <font>
        <b val="0"/>
        <i/>
        <strike val="0"/>
        <u val="none"/>
        <color rgb="FFFF0000"/>
      </font>
      <fill>
        <patternFill>
          <bgColor theme="8" tint="0.59996337778862885"/>
        </patternFill>
      </fill>
    </dxf>
    <dxf>
      <font>
        <b val="0"/>
        <i/>
        <strike val="0"/>
        <u val="none"/>
        <color rgb="FFFF0000"/>
      </font>
      <fill>
        <patternFill>
          <bgColor theme="8" tint="0.59996337778862885"/>
        </patternFill>
      </fill>
    </dxf>
    <dxf>
      <font>
        <b/>
        <i val="0"/>
        <strike val="0"/>
        <u val="none"/>
        <color theme="0"/>
      </font>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00B0F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CC99FF"/>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7" tint="0.39991454817346722"/>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theme="9" tint="-0.2499465926084170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4" tint="0.3999450666829432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rgb="FF7E1389"/>
      </font>
      <fill>
        <patternFill>
          <bgColor rgb="FFFFAFB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rgb="FFEB2403"/>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1" tint="0.49998474074526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0"/>
      </font>
      <fill>
        <patternFill>
          <bgColor theme="5" tint="-0.2499465926084170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0"/>
      </font>
      <fill>
        <patternFill>
          <bgColor rgb="FFF632C7"/>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rgb="FF99FF33"/>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FF0000"/>
      </font>
      <fill>
        <patternFill patternType="none">
          <bgColor auto="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7ED882"/>
        </patternFill>
      </fill>
      <border>
        <left style="thin">
          <color theme="0" tint="-0.14996795556505021"/>
        </left>
        <right style="thin">
          <color theme="0" tint="-0.14996795556505021"/>
        </right>
        <top style="thin">
          <color theme="0" tint="-0.14996795556505021"/>
        </top>
        <bottom style="thin">
          <color theme="0" tint="-0.14996795556505021"/>
        </bottom>
      </border>
    </dxf>
    <dxf>
      <font>
        <strike val="0"/>
        <color rgb="FF9C0006"/>
      </font>
      <fill>
        <patternFill>
          <bgColor theme="7" tint="0.39994506668294322"/>
        </patternFill>
      </fill>
    </dxf>
    <dxf>
      <font>
        <b/>
        <i val="0"/>
        <strike val="0"/>
        <u val="none"/>
        <color theme="0"/>
      </font>
      <fill>
        <patternFill patternType="solid">
          <bgColor theme="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FF99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patternType="solid">
          <bgColor rgb="FFFF99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rgb="FF92E7F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FF66CC"/>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0070C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1"/>
      </font>
      <fill>
        <patternFill>
          <bgColor rgb="FFFFFF00"/>
        </patternFill>
      </fill>
      <border>
        <left style="thin">
          <color theme="0" tint="-0.14996795556505021"/>
        </left>
        <right style="thin">
          <color theme="0" tint="-0.14996795556505021"/>
        </right>
        <top style="thin">
          <color theme="0" tint="-0.14996795556505021"/>
        </top>
        <bottom style="thin">
          <color theme="0" tint="-0.14996795556505021"/>
        </bottom>
      </border>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val="0"/>
        <u val="double"/>
        <color auto="1"/>
      </font>
      <fill>
        <patternFill patternType="darkTrellis">
          <fgColor theme="5" tint="0.39994506668294322"/>
        </patternFill>
      </fill>
      <border>
        <left style="thin">
          <color auto="1"/>
        </left>
        <right style="thin">
          <color auto="1"/>
        </right>
        <top style="thin">
          <color auto="1"/>
        </top>
        <bottom style="thin">
          <color auto="1"/>
        </bottom>
      </border>
    </dxf>
    <dxf>
      <font>
        <b/>
        <i val="0"/>
        <strike val="0"/>
        <u/>
      </font>
      <fill>
        <patternFill patternType="darkTrellis">
          <fgColor theme="9" tint="0.59996337778862885"/>
          <bgColor auto="1"/>
        </patternFill>
      </fill>
      <border>
        <left style="thin">
          <color auto="1"/>
        </left>
        <right style="thin">
          <color auto="1"/>
        </right>
        <top style="thin">
          <color auto="1"/>
        </top>
        <bottom style="thin">
          <color auto="1"/>
        </bottom>
      </border>
    </dxf>
    <dxf>
      <font>
        <b/>
        <i val="0"/>
        <strike val="0"/>
        <u val="none"/>
        <color theme="5" tint="-0.24994659260841701"/>
      </font>
      <fill>
        <patternFill patternType="solid">
          <bgColor rgb="FFFFFF00"/>
        </patternFill>
      </fill>
    </dxf>
    <dxf>
      <font>
        <b/>
        <i val="0"/>
        <strike val="0"/>
        <u val="none"/>
        <color rgb="FFFF0000"/>
      </font>
      <fill>
        <patternFill patternType="solid">
          <bgColor rgb="FFFFFF00"/>
        </patternFill>
      </fill>
    </dxf>
    <dxf>
      <font>
        <b/>
        <i val="0"/>
        <strike val="0"/>
        <u val="none"/>
        <color rgb="FF00B0F0"/>
      </font>
      <fill>
        <patternFill patternType="solid">
          <bgColor rgb="FFFFFF00"/>
        </patternFill>
      </fill>
    </dxf>
    <dxf>
      <font>
        <b/>
        <i val="0"/>
        <strike val="0"/>
        <u val="none"/>
        <color theme="0"/>
      </font>
      <fill>
        <patternFill>
          <bgColor rgb="FFFF3399"/>
        </patternFill>
      </fill>
    </dxf>
    <dxf>
      <font>
        <b/>
        <i val="0"/>
        <strike val="0"/>
        <u val="none"/>
        <color theme="0"/>
      </font>
      <fill>
        <patternFill>
          <bgColor rgb="FFFF3399"/>
        </patternFill>
      </fill>
    </dxf>
    <dxf>
      <font>
        <b/>
        <i/>
        <strike val="0"/>
        <u val="none"/>
        <color theme="5" tint="-0.24994659260841701"/>
      </font>
      <fill>
        <patternFill>
          <bgColor rgb="FFFFFF00"/>
        </patternFill>
      </fill>
    </dxf>
    <dxf>
      <font>
        <b/>
        <i/>
        <strike val="0"/>
        <u val="none"/>
        <color rgb="FFFF0000"/>
      </font>
      <fill>
        <patternFill>
          <bgColor rgb="FFFFFF00"/>
        </patternFill>
      </fill>
    </dxf>
    <dxf>
      <font>
        <b/>
        <i val="0"/>
        <strike val="0"/>
        <u val="none"/>
        <color auto="1"/>
      </font>
      <fill>
        <patternFill patternType="solid">
          <bgColor theme="9" tint="0.59996337778862885"/>
        </patternFill>
      </fill>
    </dxf>
    <dxf>
      <font>
        <b/>
        <i/>
        <strike val="0"/>
        <u val="none"/>
        <color auto="1"/>
      </font>
      <fill>
        <patternFill patternType="solid">
          <bgColor rgb="FF00FF00"/>
        </patternFill>
      </fill>
    </dxf>
    <dxf>
      <font>
        <b/>
        <i/>
        <strike val="0"/>
        <u val="none"/>
        <color auto="1"/>
      </font>
      <fill>
        <patternFill patternType="solid">
          <bgColor rgb="FF00FF00"/>
        </patternFill>
      </fill>
    </dxf>
    <dxf>
      <font>
        <b/>
        <i val="0"/>
        <strike val="0"/>
        <u val="none"/>
        <color rgb="FFFF0000"/>
      </font>
      <fill>
        <patternFill>
          <bgColor rgb="FF00B0F0"/>
        </patternFill>
      </fill>
    </dxf>
    <dxf>
      <font>
        <b/>
        <i val="0"/>
        <strike val="0"/>
        <u val="none"/>
        <color rgb="FFFF0000"/>
      </font>
      <fill>
        <patternFill>
          <bgColor rgb="FF00B0F0"/>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rgb="FFFFC000"/>
      </font>
      <fill>
        <patternFill patternType="solid">
          <bgColor theme="7" tint="0.79998168889431442"/>
        </patternFill>
      </fill>
    </dxf>
    <dxf>
      <font>
        <b/>
        <i/>
        <strike val="0"/>
        <u val="none"/>
        <color rgb="FFFFC000"/>
      </font>
      <fill>
        <patternFill patternType="solid">
          <bgColor theme="7" tint="0.79998168889431442"/>
        </patternFill>
      </fill>
    </dxf>
    <dxf>
      <font>
        <b/>
        <i val="0"/>
        <strike val="0"/>
        <u val="none"/>
        <color rgb="FF00B050"/>
      </font>
      <fill>
        <patternFill>
          <bgColor rgb="FFEAF1AB"/>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9966FF"/>
      </font>
      <fill>
        <patternFill>
          <bgColor rgb="FFB1DDEB"/>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00B0F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CC99FF"/>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7" tint="0.39991454817346722"/>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theme="9" tint="-0.2499465926084170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4" tint="0.3999450666829432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rgb="FF7E1389"/>
      </font>
      <fill>
        <patternFill>
          <bgColor rgb="FFFFAFB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rgb="FFEB2403"/>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1" tint="0.49998474074526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0"/>
      </font>
      <fill>
        <patternFill>
          <bgColor theme="5" tint="-0.2499465926084170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0"/>
      </font>
      <fill>
        <patternFill>
          <bgColor rgb="FFF632C7"/>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rgb="FF99FF33"/>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FF0000"/>
      </font>
      <fill>
        <patternFill patternType="solid">
          <bgColor theme="9" tint="0.59996337778862885"/>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7ED882"/>
        </patternFill>
      </fill>
      <border>
        <left style="thin">
          <color theme="0" tint="-0.14996795556505021"/>
        </left>
        <right style="thin">
          <color theme="0" tint="-0.14996795556505021"/>
        </right>
        <top style="thin">
          <color theme="0" tint="-0.14996795556505021"/>
        </top>
        <bottom style="thin">
          <color theme="0" tint="-0.14996795556505021"/>
        </bottom>
      </border>
    </dxf>
    <dxf>
      <font>
        <strike val="0"/>
        <color rgb="FF9C0006"/>
      </font>
      <fill>
        <patternFill>
          <bgColor theme="7" tint="0.39994506668294322"/>
        </patternFill>
      </fill>
    </dxf>
    <dxf>
      <font>
        <b/>
        <i val="0"/>
        <strike val="0"/>
        <u val="none"/>
        <color theme="0"/>
      </font>
      <fill>
        <patternFill patternType="solid">
          <bgColor theme="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FF99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patternType="solid">
          <bgColor rgb="FFFF99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rgb="FF92E7F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FF66CC"/>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0070C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1"/>
      </font>
      <fill>
        <patternFill>
          <bgColor rgb="FFFFFF00"/>
        </patternFill>
      </fill>
      <border>
        <left style="thin">
          <color theme="0" tint="-0.14996795556505021"/>
        </left>
        <right style="thin">
          <color theme="0" tint="-0.14996795556505021"/>
        </right>
        <top style="thin">
          <color theme="0" tint="-0.14996795556505021"/>
        </top>
        <bottom style="thin">
          <color theme="0" tint="-0.14996795556505021"/>
        </bottom>
      </border>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color auto="1"/>
      </font>
      <fill>
        <patternFill>
          <bgColor theme="9"/>
        </patternFill>
      </fill>
      <border>
        <left style="thin">
          <color theme="0" tint="-0.14996795556505021"/>
        </left>
        <right style="thin">
          <color theme="0" tint="-0.14996795556505021"/>
        </right>
        <top style="thin">
          <color theme="0" tint="-0.14996795556505021"/>
        </top>
        <bottom style="thin">
          <color theme="0" tint="-0.14996795556505021"/>
        </bottom>
      </border>
    </dxf>
    <dxf>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5" tint="-0.24994659260841701"/>
      </font>
      <fill>
        <patternFill patternType="solid">
          <bgColor rgb="FFFFFF00"/>
        </patternFill>
      </fill>
    </dxf>
    <dxf>
      <font>
        <b/>
        <i val="0"/>
        <strike val="0"/>
        <u val="none"/>
        <color rgb="FFFF0000"/>
      </font>
      <fill>
        <patternFill patternType="solid">
          <bgColor rgb="FFFFFF00"/>
        </patternFill>
      </fill>
    </dxf>
    <dxf>
      <font>
        <b/>
        <i val="0"/>
        <strike val="0"/>
        <u val="none"/>
        <color rgb="FF00B0F0"/>
      </font>
      <fill>
        <patternFill patternType="solid">
          <bgColor rgb="FFFFFF00"/>
        </patternFill>
      </fill>
    </dxf>
    <dxf>
      <font>
        <b/>
        <i val="0"/>
        <strike val="0"/>
        <u val="none"/>
        <color theme="0"/>
      </font>
      <fill>
        <patternFill>
          <bgColor rgb="FFFF3399"/>
        </patternFill>
      </fill>
    </dxf>
    <dxf>
      <font>
        <b/>
        <i val="0"/>
        <strike val="0"/>
        <u val="none"/>
        <color theme="0"/>
      </font>
      <fill>
        <patternFill>
          <bgColor rgb="FFFF3399"/>
        </patternFill>
      </fill>
    </dxf>
    <dxf>
      <font>
        <b/>
        <i/>
        <strike val="0"/>
        <u val="none"/>
        <color theme="5" tint="-0.24994659260841701"/>
      </font>
      <fill>
        <patternFill>
          <bgColor rgb="FFFFFF00"/>
        </patternFill>
      </fill>
    </dxf>
    <dxf>
      <font>
        <b/>
        <i/>
        <strike val="0"/>
        <u val="none"/>
        <color rgb="FFFF0000"/>
      </font>
      <fill>
        <patternFill>
          <bgColor rgb="FFFFFF00"/>
        </patternFill>
      </fill>
    </dxf>
    <dxf>
      <font>
        <b/>
        <i val="0"/>
        <strike val="0"/>
        <u val="none"/>
        <color auto="1"/>
      </font>
      <fill>
        <patternFill patternType="solid">
          <bgColor theme="9" tint="0.59996337778862885"/>
        </patternFill>
      </fill>
    </dxf>
    <dxf>
      <font>
        <b/>
        <i/>
        <strike val="0"/>
        <u val="none"/>
        <color auto="1"/>
      </font>
      <fill>
        <patternFill patternType="solid">
          <bgColor rgb="FF00FF00"/>
        </patternFill>
      </fill>
    </dxf>
    <dxf>
      <font>
        <b/>
        <i/>
        <strike val="0"/>
        <u val="none"/>
        <color auto="1"/>
      </font>
      <fill>
        <patternFill patternType="solid">
          <bgColor rgb="FF00FF00"/>
        </patternFill>
      </fill>
    </dxf>
    <dxf>
      <font>
        <b/>
        <i val="0"/>
        <strike val="0"/>
        <u val="none"/>
        <color rgb="FFFF0000"/>
      </font>
      <fill>
        <patternFill>
          <bgColor rgb="FF00B0F0"/>
        </patternFill>
      </fill>
    </dxf>
    <dxf>
      <font>
        <b/>
        <i val="0"/>
        <strike val="0"/>
        <u val="none"/>
        <color rgb="FFFF0000"/>
      </font>
      <fill>
        <patternFill>
          <bgColor rgb="FF00B0F0"/>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rgb="FFFFC000"/>
      </font>
      <fill>
        <patternFill patternType="solid">
          <bgColor theme="7" tint="0.79998168889431442"/>
        </patternFill>
      </fill>
    </dxf>
    <dxf>
      <font>
        <b/>
        <i/>
        <strike val="0"/>
        <u val="none"/>
        <color rgb="FFFFC000"/>
      </font>
      <fill>
        <patternFill patternType="solid">
          <bgColor theme="7" tint="0.79998168889431442"/>
        </patternFill>
      </fill>
    </dxf>
    <dxf>
      <font>
        <b val="0"/>
        <i/>
        <strike val="0"/>
        <u val="none"/>
        <color rgb="FFFF0000"/>
      </font>
      <fill>
        <patternFill>
          <bgColor theme="8" tint="0.59996337778862885"/>
        </patternFill>
      </fill>
    </dxf>
    <dxf>
      <font>
        <b val="0"/>
        <i/>
        <strike val="0"/>
        <u val="none"/>
        <color rgb="FFFF0000"/>
      </font>
      <fill>
        <patternFill>
          <bgColor theme="8" tint="0.59996337778862885"/>
        </patternFill>
      </fill>
    </dxf>
    <dxf>
      <font>
        <b/>
        <i val="0"/>
        <strike val="0"/>
        <u val="none"/>
        <color theme="0"/>
      </font>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00B0F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CC99FF"/>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7" tint="0.39991454817346722"/>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theme="9" tint="-0.2499465926084170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4" tint="0.3999450666829432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rgb="FF7E1389"/>
      </font>
      <fill>
        <patternFill>
          <bgColor rgb="FFFFAFB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rgb="FFEB2403"/>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1" tint="0.49998474074526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0"/>
      </font>
      <fill>
        <patternFill>
          <bgColor theme="5" tint="-0.2499465926084170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0"/>
      </font>
      <fill>
        <patternFill>
          <bgColor rgb="FFF632C7"/>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rgb="FF99FF33"/>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FF0000"/>
      </font>
      <fill>
        <patternFill patternType="solid">
          <bgColor theme="9" tint="0.59996337778862885"/>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7ED882"/>
        </patternFill>
      </fill>
      <border>
        <left style="thin">
          <color theme="0" tint="-0.14996795556505021"/>
        </left>
        <right style="thin">
          <color theme="0" tint="-0.14996795556505021"/>
        </right>
        <top style="thin">
          <color theme="0" tint="-0.14996795556505021"/>
        </top>
        <bottom style="thin">
          <color theme="0" tint="-0.14996795556505021"/>
        </bottom>
      </border>
    </dxf>
    <dxf>
      <font>
        <strike val="0"/>
        <color rgb="FF9C0006"/>
      </font>
      <fill>
        <patternFill>
          <bgColor theme="7" tint="0.39994506668294322"/>
        </patternFill>
      </fill>
    </dxf>
    <dxf>
      <font>
        <b/>
        <i val="0"/>
        <strike val="0"/>
        <u val="none"/>
        <color theme="0"/>
      </font>
      <fill>
        <patternFill patternType="solid">
          <bgColor theme="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FF99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patternType="solid">
          <bgColor rgb="FFFF99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rgb="FF92E7F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FF66CC"/>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0070C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1"/>
      </font>
      <fill>
        <patternFill>
          <bgColor rgb="FFFFFF00"/>
        </patternFill>
      </fill>
      <border>
        <left style="thin">
          <color theme="0" tint="-0.14996795556505021"/>
        </left>
        <right style="thin">
          <color theme="0" tint="-0.14996795556505021"/>
        </right>
        <top style="thin">
          <color theme="0" tint="-0.14996795556505021"/>
        </top>
        <bottom style="thin">
          <color theme="0" tint="-0.14996795556505021"/>
        </bottom>
      </border>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color auto="1"/>
      </font>
      <fill>
        <patternFill>
          <bgColor theme="9"/>
        </patternFill>
      </fill>
      <border>
        <left style="thin">
          <color theme="0" tint="-0.14996795556505021"/>
        </left>
        <right style="thin">
          <color theme="0" tint="-0.14996795556505021"/>
        </right>
        <top style="thin">
          <color theme="0" tint="-0.14996795556505021"/>
        </top>
        <bottom style="thin">
          <color theme="0" tint="-0.14996795556505021"/>
        </bottom>
      </border>
    </dxf>
    <dxf>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FF0000"/>
      </font>
      <fill>
        <patternFill patternType="solid">
          <bgColor theme="9" tint="0.59996337778862885"/>
        </patternFill>
      </fill>
      <border>
        <left style="thin">
          <color theme="0" tint="-0.14996795556505021"/>
        </left>
        <right style="thin">
          <color theme="0" tint="-0.14996795556505021"/>
        </right>
        <top style="thin">
          <color theme="0" tint="-0.14996795556505021"/>
        </top>
        <bottom style="thin">
          <color theme="0" tint="-0.14996795556505021"/>
        </bottom>
      </border>
    </dxf>
    <dxf>
      <font>
        <color auto="1"/>
      </font>
      <fill>
        <patternFill>
          <bgColor theme="9"/>
        </patternFill>
      </fill>
    </dxf>
    <dxf>
      <fill>
        <patternFill>
          <bgColor rgb="FFFF0000"/>
        </patternFill>
      </fill>
    </dxf>
    <dxf>
      <font>
        <b/>
        <i val="0"/>
        <strike val="0"/>
        <u val="none"/>
        <color theme="5" tint="-0.24994659260841701"/>
      </font>
      <fill>
        <patternFill patternType="solid">
          <bgColor rgb="FFFFFF00"/>
        </patternFill>
      </fill>
    </dxf>
    <dxf>
      <font>
        <b/>
        <i val="0"/>
        <strike val="0"/>
        <u val="none"/>
        <color rgb="FFFF0000"/>
      </font>
      <fill>
        <patternFill patternType="solid">
          <bgColor rgb="FFFFFF00"/>
        </patternFill>
      </fill>
    </dxf>
    <dxf>
      <font>
        <b/>
        <i val="0"/>
        <strike val="0"/>
        <u val="none"/>
        <color rgb="FF00B0F0"/>
      </font>
      <fill>
        <patternFill patternType="solid">
          <bgColor rgb="FFFFFF00"/>
        </patternFill>
      </fill>
    </dxf>
    <dxf>
      <font>
        <b/>
        <i val="0"/>
        <strike val="0"/>
        <u val="none"/>
        <color theme="0"/>
      </font>
      <fill>
        <patternFill>
          <bgColor rgb="FFFF3399"/>
        </patternFill>
      </fill>
    </dxf>
    <dxf>
      <font>
        <b/>
        <i val="0"/>
        <strike val="0"/>
        <u val="none"/>
        <color theme="0"/>
      </font>
      <fill>
        <patternFill>
          <bgColor rgb="FFFF3399"/>
        </patternFill>
      </fill>
    </dxf>
    <dxf>
      <font>
        <b/>
        <i/>
        <strike val="0"/>
        <u val="none"/>
        <color theme="5" tint="-0.24994659260841701"/>
      </font>
      <fill>
        <patternFill>
          <bgColor rgb="FFFFFF00"/>
        </patternFill>
      </fill>
    </dxf>
    <dxf>
      <font>
        <b/>
        <i/>
        <strike val="0"/>
        <u val="none"/>
        <color rgb="FFFF0000"/>
      </font>
      <fill>
        <patternFill>
          <bgColor rgb="FFFFFF00"/>
        </patternFill>
      </fill>
    </dxf>
    <dxf>
      <font>
        <b/>
        <i val="0"/>
        <strike val="0"/>
        <u val="none"/>
        <color auto="1"/>
      </font>
      <fill>
        <patternFill patternType="solid">
          <bgColor theme="9" tint="0.59996337778862885"/>
        </patternFill>
      </fill>
    </dxf>
    <dxf>
      <font>
        <b/>
        <i/>
        <strike val="0"/>
        <u val="none"/>
        <color auto="1"/>
      </font>
      <fill>
        <patternFill patternType="solid">
          <bgColor rgb="FF00FF00"/>
        </patternFill>
      </fill>
    </dxf>
    <dxf>
      <font>
        <b/>
        <i/>
        <strike val="0"/>
        <u val="none"/>
        <color auto="1"/>
      </font>
      <fill>
        <patternFill patternType="solid">
          <bgColor rgb="FF00FF00"/>
        </patternFill>
      </fill>
    </dxf>
    <dxf>
      <font>
        <b/>
        <i val="0"/>
        <strike val="0"/>
        <u val="none"/>
        <color rgb="FFFF0000"/>
      </font>
      <fill>
        <patternFill>
          <bgColor rgb="FF00B0F0"/>
        </patternFill>
      </fill>
    </dxf>
    <dxf>
      <font>
        <b/>
        <i val="0"/>
        <strike val="0"/>
        <u val="none"/>
        <color rgb="FFFF0000"/>
      </font>
      <fill>
        <patternFill>
          <bgColor rgb="FF00B0F0"/>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rgb="FFFFC000"/>
      </font>
      <fill>
        <patternFill patternType="solid">
          <bgColor theme="7" tint="0.79998168889431442"/>
        </patternFill>
      </fill>
    </dxf>
    <dxf>
      <font>
        <b/>
        <i/>
        <strike val="0"/>
        <u val="none"/>
        <color rgb="FFFFC000"/>
      </font>
      <fill>
        <patternFill patternType="solid">
          <bgColor theme="7" tint="0.79998168889431442"/>
        </patternFill>
      </fill>
    </dxf>
    <dxf>
      <font>
        <b val="0"/>
        <i/>
        <strike val="0"/>
        <u val="none"/>
        <color rgb="FFFF0000"/>
      </font>
      <fill>
        <patternFill>
          <bgColor theme="8" tint="0.59996337778862885"/>
        </patternFill>
      </fill>
    </dxf>
    <dxf>
      <font>
        <b val="0"/>
        <i/>
        <strike val="0"/>
        <u val="none"/>
        <color rgb="FFFF0000"/>
      </font>
      <fill>
        <patternFill>
          <bgColor theme="8" tint="0.59996337778862885"/>
        </patternFill>
      </fill>
    </dxf>
    <dxf>
      <font>
        <b/>
        <i val="0"/>
        <strike val="0"/>
        <u val="none"/>
        <color theme="0"/>
      </font>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00B0F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CC99FF"/>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7" tint="0.39991454817346722"/>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theme="9" tint="-0.2499465926084170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4" tint="0.3999450666829432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rgb="FF7E1389"/>
      </font>
      <fill>
        <patternFill>
          <bgColor rgb="FFFFAFB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rgb="FFEB2403"/>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1" tint="0.49998474074526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0"/>
      </font>
      <fill>
        <patternFill>
          <bgColor theme="5" tint="-0.2499465926084170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0"/>
      </font>
      <fill>
        <patternFill>
          <bgColor rgb="FFF632C7"/>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rgb="FF99FF33"/>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FF0000"/>
      </font>
      <fill>
        <patternFill patternType="none">
          <bgColor auto="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7ED882"/>
        </patternFill>
      </fill>
      <border>
        <left style="thin">
          <color theme="0" tint="-0.14996795556505021"/>
        </left>
        <right style="thin">
          <color theme="0" tint="-0.14996795556505021"/>
        </right>
        <top style="thin">
          <color theme="0" tint="-0.14996795556505021"/>
        </top>
        <bottom style="thin">
          <color theme="0" tint="-0.14996795556505021"/>
        </bottom>
      </border>
    </dxf>
    <dxf>
      <font>
        <strike val="0"/>
        <color rgb="FF9C0006"/>
      </font>
      <fill>
        <patternFill>
          <bgColor theme="7" tint="0.39994506668294322"/>
        </patternFill>
      </fill>
    </dxf>
    <dxf>
      <font>
        <b/>
        <i val="0"/>
        <strike val="0"/>
        <u val="none"/>
        <color theme="0"/>
      </font>
      <fill>
        <patternFill patternType="solid">
          <bgColor theme="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FF99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patternType="solid">
          <bgColor rgb="FFFF99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rgb="FF92E7F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FF66CC"/>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0070C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1"/>
      </font>
      <fill>
        <patternFill>
          <bgColor rgb="FFFFFF00"/>
        </patternFill>
      </fill>
      <border>
        <left style="thin">
          <color theme="0" tint="-0.14996795556505021"/>
        </left>
        <right style="thin">
          <color theme="0" tint="-0.14996795556505021"/>
        </right>
        <top style="thin">
          <color theme="0" tint="-0.14996795556505021"/>
        </top>
        <bottom style="thin">
          <color theme="0" tint="-0.14996795556505021"/>
        </bottom>
      </border>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val="0"/>
        <u val="double"/>
        <color auto="1"/>
      </font>
      <fill>
        <patternFill patternType="darkTrellis">
          <fgColor theme="5" tint="0.39994506668294322"/>
        </patternFill>
      </fill>
      <border>
        <left style="thin">
          <color auto="1"/>
        </left>
        <right style="thin">
          <color auto="1"/>
        </right>
        <top style="thin">
          <color auto="1"/>
        </top>
        <bottom style="thin">
          <color auto="1"/>
        </bottom>
      </border>
    </dxf>
    <dxf>
      <font>
        <b/>
        <i val="0"/>
        <strike val="0"/>
        <u/>
      </font>
      <fill>
        <patternFill patternType="darkTrellis">
          <fgColor theme="9" tint="0.59996337778862885"/>
          <bgColor auto="1"/>
        </patternFill>
      </fill>
      <border>
        <left style="thin">
          <color auto="1"/>
        </left>
        <right style="thin">
          <color auto="1"/>
        </right>
        <top style="thin">
          <color auto="1"/>
        </top>
        <bottom style="thin">
          <color auto="1"/>
        </bottom>
      </border>
    </dxf>
    <dxf>
      <font>
        <b/>
        <i val="0"/>
        <strike val="0"/>
        <u val="none"/>
        <color theme="5" tint="-0.24994659260841701"/>
      </font>
      <fill>
        <patternFill patternType="solid">
          <bgColor rgb="FFFFFF00"/>
        </patternFill>
      </fill>
    </dxf>
    <dxf>
      <font>
        <b/>
        <i val="0"/>
        <strike val="0"/>
        <u val="none"/>
        <color rgb="FFFF0000"/>
      </font>
      <fill>
        <patternFill patternType="solid">
          <bgColor rgb="FFFFFF00"/>
        </patternFill>
      </fill>
    </dxf>
    <dxf>
      <font>
        <b/>
        <i val="0"/>
        <strike val="0"/>
        <u val="none"/>
        <color rgb="FF00B0F0"/>
      </font>
      <fill>
        <patternFill patternType="solid">
          <bgColor rgb="FFFFFF00"/>
        </patternFill>
      </fill>
    </dxf>
    <dxf>
      <font>
        <b/>
        <i val="0"/>
        <strike val="0"/>
        <u val="none"/>
        <color theme="0"/>
      </font>
      <fill>
        <patternFill>
          <bgColor rgb="FFFF3399"/>
        </patternFill>
      </fill>
    </dxf>
    <dxf>
      <font>
        <b/>
        <i val="0"/>
        <strike val="0"/>
        <u val="none"/>
        <color theme="0"/>
      </font>
      <fill>
        <patternFill>
          <bgColor rgb="FFFF3399"/>
        </patternFill>
      </fill>
    </dxf>
    <dxf>
      <font>
        <b/>
        <i/>
        <strike val="0"/>
        <u val="none"/>
        <color theme="5" tint="-0.24994659260841701"/>
      </font>
      <fill>
        <patternFill>
          <bgColor rgb="FFFFFF00"/>
        </patternFill>
      </fill>
    </dxf>
    <dxf>
      <font>
        <b/>
        <i/>
        <strike val="0"/>
        <u val="none"/>
        <color rgb="FFFF0000"/>
      </font>
      <fill>
        <patternFill>
          <bgColor rgb="FFFFFF00"/>
        </patternFill>
      </fill>
    </dxf>
    <dxf>
      <font>
        <b/>
        <i val="0"/>
        <strike val="0"/>
        <u val="none"/>
        <color auto="1"/>
      </font>
      <fill>
        <patternFill patternType="solid">
          <bgColor theme="9" tint="0.59996337778862885"/>
        </patternFill>
      </fill>
    </dxf>
    <dxf>
      <font>
        <b/>
        <i/>
        <strike val="0"/>
        <u val="none"/>
        <color auto="1"/>
      </font>
      <fill>
        <patternFill patternType="solid">
          <bgColor rgb="FF00FF00"/>
        </patternFill>
      </fill>
    </dxf>
    <dxf>
      <font>
        <b/>
        <i/>
        <strike val="0"/>
        <u val="none"/>
        <color auto="1"/>
      </font>
      <fill>
        <patternFill patternType="solid">
          <bgColor rgb="FF00FF00"/>
        </patternFill>
      </fill>
    </dxf>
    <dxf>
      <font>
        <b/>
        <i val="0"/>
        <strike val="0"/>
        <u val="none"/>
        <color rgb="FFFF0000"/>
      </font>
      <fill>
        <patternFill>
          <bgColor rgb="FF00B0F0"/>
        </patternFill>
      </fill>
    </dxf>
    <dxf>
      <font>
        <b/>
        <i val="0"/>
        <strike val="0"/>
        <u val="none"/>
        <color rgb="FFFF0000"/>
      </font>
      <fill>
        <patternFill>
          <bgColor rgb="FF00B0F0"/>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rgb="FFFFC000"/>
      </font>
      <fill>
        <patternFill patternType="solid">
          <bgColor theme="7" tint="0.79998168889431442"/>
        </patternFill>
      </fill>
    </dxf>
    <dxf>
      <font>
        <b/>
        <i/>
        <strike val="0"/>
        <u val="none"/>
        <color rgb="FFFFC000"/>
      </font>
      <fill>
        <patternFill patternType="solid">
          <bgColor theme="7" tint="0.79998168889431442"/>
        </patternFill>
      </fill>
    </dxf>
    <dxf>
      <font>
        <b val="0"/>
        <i/>
        <strike val="0"/>
        <u val="none"/>
        <color rgb="FFFF0000"/>
      </font>
      <fill>
        <patternFill>
          <bgColor theme="8" tint="0.59996337778862885"/>
        </patternFill>
      </fill>
    </dxf>
    <dxf>
      <font>
        <b val="0"/>
        <i/>
        <strike val="0"/>
        <u val="none"/>
        <color rgb="FFFF0000"/>
      </font>
      <fill>
        <patternFill>
          <bgColor theme="8" tint="0.59996337778862885"/>
        </patternFill>
      </fill>
    </dxf>
    <dxf>
      <font>
        <b/>
        <i val="0"/>
        <strike val="0"/>
        <u val="none"/>
        <color theme="0"/>
      </font>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00B0F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CC99FF"/>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7" tint="0.39991454817346722"/>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theme="9" tint="-0.2499465926084170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4" tint="0.3999450666829432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rgb="FF7E1389"/>
      </font>
      <fill>
        <patternFill>
          <bgColor rgb="FFFFAFB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rgb="FFEB2403"/>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1" tint="0.49998474074526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0"/>
      </font>
      <fill>
        <patternFill>
          <bgColor theme="5" tint="-0.2499465926084170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0"/>
      </font>
      <fill>
        <patternFill>
          <bgColor rgb="FFF632C7"/>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rgb="FF99FF33"/>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FF0000"/>
      </font>
      <fill>
        <patternFill patternType="solid">
          <bgColor theme="9" tint="0.59996337778862885"/>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7ED882"/>
        </patternFill>
      </fill>
      <border>
        <left style="thin">
          <color theme="0" tint="-0.14996795556505021"/>
        </left>
        <right style="thin">
          <color theme="0" tint="-0.14996795556505021"/>
        </right>
        <top style="thin">
          <color theme="0" tint="-0.14996795556505021"/>
        </top>
        <bottom style="thin">
          <color theme="0" tint="-0.14996795556505021"/>
        </bottom>
      </border>
    </dxf>
    <dxf>
      <font>
        <strike val="0"/>
        <color rgb="FF9C0006"/>
      </font>
      <fill>
        <patternFill>
          <bgColor theme="7" tint="0.39994506668294322"/>
        </patternFill>
      </fill>
    </dxf>
    <dxf>
      <font>
        <b/>
        <i val="0"/>
        <strike val="0"/>
        <u val="none"/>
        <color theme="0"/>
      </font>
      <fill>
        <patternFill patternType="solid">
          <bgColor theme="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FF99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patternType="solid">
          <bgColor rgb="FFFF99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rgb="FF92E7F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FF66CC"/>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0070C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1"/>
      </font>
      <fill>
        <patternFill>
          <bgColor rgb="FFFFFF00"/>
        </patternFill>
      </fill>
      <border>
        <left style="thin">
          <color theme="0" tint="-0.14996795556505021"/>
        </left>
        <right style="thin">
          <color theme="0" tint="-0.14996795556505021"/>
        </right>
        <top style="thin">
          <color theme="0" tint="-0.14996795556505021"/>
        </top>
        <bottom style="thin">
          <color theme="0" tint="-0.14996795556505021"/>
        </bottom>
      </border>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color auto="1"/>
      </font>
      <fill>
        <patternFill>
          <bgColor theme="9"/>
        </patternFill>
      </fill>
      <border>
        <left style="thin">
          <color theme="0" tint="-0.14996795556505021"/>
        </left>
        <right style="thin">
          <color theme="0" tint="-0.14996795556505021"/>
        </right>
        <top style="thin">
          <color theme="0" tint="-0.14996795556505021"/>
        </top>
        <bottom style="thin">
          <color theme="0" tint="-0.14996795556505021"/>
        </bottom>
      </border>
    </dxf>
    <dxf>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border>
    </dxf>
    <dxf>
      <font>
        <color rgb="FF9C0006"/>
      </font>
      <fill>
        <patternFill>
          <bgColor rgb="FFFFC7CE"/>
        </patternFill>
      </fill>
    </dxf>
    <dxf>
      <font>
        <color rgb="FF002060"/>
      </font>
      <fill>
        <patternFill>
          <bgColor theme="8" tint="0.59996337778862885"/>
        </patternFill>
      </fill>
    </dxf>
    <dxf>
      <font>
        <color rgb="FF9C5700"/>
      </font>
      <fill>
        <patternFill>
          <bgColor rgb="FFFFEB9C"/>
        </patternFill>
      </fill>
    </dxf>
    <dxf>
      <font>
        <color rgb="FF002060"/>
      </font>
      <fill>
        <patternFill>
          <bgColor rgb="FFB1F4FD"/>
        </patternFill>
      </fill>
    </dxf>
    <dxf>
      <font>
        <color rgb="FF002060"/>
      </font>
      <fill>
        <patternFill>
          <bgColor rgb="FFB1F4FD"/>
        </patternFill>
      </fill>
    </dxf>
    <dxf>
      <font>
        <b/>
        <i val="0"/>
        <strike val="0"/>
        <u val="none"/>
        <color theme="5" tint="-0.24994659260841701"/>
      </font>
      <fill>
        <patternFill patternType="solid">
          <bgColor rgb="FFFFFF00"/>
        </patternFill>
      </fill>
    </dxf>
    <dxf>
      <font>
        <b/>
        <i val="0"/>
        <strike val="0"/>
        <u val="none"/>
        <color rgb="FFFF0000"/>
      </font>
      <fill>
        <patternFill patternType="solid">
          <bgColor rgb="FFFFFF00"/>
        </patternFill>
      </fill>
    </dxf>
    <dxf>
      <font>
        <b/>
        <i val="0"/>
        <strike val="0"/>
        <u val="none"/>
        <color rgb="FF00B0F0"/>
      </font>
      <fill>
        <patternFill patternType="solid">
          <bgColor rgb="FFFFFF00"/>
        </patternFill>
      </fill>
    </dxf>
    <dxf>
      <font>
        <b/>
        <i val="0"/>
        <strike val="0"/>
        <u val="none"/>
        <color theme="0"/>
      </font>
      <fill>
        <patternFill>
          <bgColor rgb="FFFF3399"/>
        </patternFill>
      </fill>
    </dxf>
    <dxf>
      <font>
        <b/>
        <i val="0"/>
        <strike val="0"/>
        <u val="none"/>
        <color theme="0"/>
      </font>
      <fill>
        <patternFill>
          <bgColor rgb="FFFF3399"/>
        </patternFill>
      </fill>
    </dxf>
    <dxf>
      <font>
        <b/>
        <i/>
        <strike val="0"/>
        <u val="none"/>
        <color theme="5" tint="-0.24994659260841701"/>
      </font>
      <fill>
        <patternFill>
          <bgColor rgb="FFFFFF00"/>
        </patternFill>
      </fill>
    </dxf>
    <dxf>
      <font>
        <b/>
        <i/>
        <strike val="0"/>
        <u val="none"/>
        <color rgb="FFFF0000"/>
      </font>
      <fill>
        <patternFill>
          <bgColor rgb="FFFFFF00"/>
        </patternFill>
      </fill>
    </dxf>
    <dxf>
      <font>
        <b/>
        <i val="0"/>
        <strike val="0"/>
        <u val="none"/>
        <color auto="1"/>
      </font>
      <fill>
        <patternFill patternType="solid">
          <bgColor theme="9" tint="0.59996337778862885"/>
        </patternFill>
      </fill>
    </dxf>
    <dxf>
      <font>
        <b/>
        <i/>
        <strike val="0"/>
        <u val="none"/>
        <color auto="1"/>
      </font>
      <fill>
        <patternFill patternType="solid">
          <bgColor rgb="FF00FF00"/>
        </patternFill>
      </fill>
    </dxf>
    <dxf>
      <font>
        <b/>
        <i/>
        <strike val="0"/>
        <u val="none"/>
        <color auto="1"/>
      </font>
      <fill>
        <patternFill patternType="solid">
          <bgColor rgb="FF00FF00"/>
        </patternFill>
      </fill>
    </dxf>
    <dxf>
      <font>
        <b/>
        <i val="0"/>
        <strike val="0"/>
        <u val="none"/>
        <color rgb="FFFF0000"/>
      </font>
      <fill>
        <patternFill>
          <bgColor rgb="FF00B0F0"/>
        </patternFill>
      </fill>
    </dxf>
    <dxf>
      <font>
        <b/>
        <i val="0"/>
        <strike val="0"/>
        <u val="none"/>
        <color rgb="FFFF0000"/>
      </font>
      <fill>
        <patternFill>
          <bgColor rgb="FF00B0F0"/>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rgb="FFFFC000"/>
      </font>
      <fill>
        <patternFill patternType="solid">
          <bgColor theme="7" tint="0.79998168889431442"/>
        </patternFill>
      </fill>
    </dxf>
    <dxf>
      <font>
        <b/>
        <i/>
        <strike val="0"/>
        <u val="none"/>
        <color rgb="FFFFC000"/>
      </font>
      <fill>
        <patternFill patternType="solid">
          <bgColor theme="7" tint="0.79998168889431442"/>
        </patternFill>
      </fill>
    </dxf>
    <dxf>
      <font>
        <b val="0"/>
        <i/>
        <strike val="0"/>
        <u val="none"/>
        <color rgb="FFFF0000"/>
      </font>
      <fill>
        <patternFill>
          <bgColor theme="8" tint="0.59996337778862885"/>
        </patternFill>
      </fill>
    </dxf>
    <dxf>
      <font>
        <b val="0"/>
        <i/>
        <strike val="0"/>
        <u val="none"/>
        <color rgb="FFFF0000"/>
      </font>
      <fill>
        <patternFill>
          <bgColor theme="8" tint="0.59996337778862885"/>
        </patternFill>
      </fill>
    </dxf>
    <dxf>
      <font>
        <b/>
        <i val="0"/>
        <strike val="0"/>
        <u val="none"/>
        <color theme="0"/>
      </font>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00B0F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CC99FF"/>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7" tint="0.39991454817346722"/>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theme="9" tint="-0.2499465926084170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4" tint="0.3999450666829432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rgb="FF7E1389"/>
      </font>
      <fill>
        <patternFill>
          <bgColor rgb="FFFFAFB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rgb="FFEB2403"/>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1" tint="0.49998474074526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0"/>
      </font>
      <fill>
        <patternFill>
          <bgColor theme="5" tint="-0.2499465926084170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0"/>
      </font>
      <fill>
        <patternFill>
          <bgColor rgb="FFF632C7"/>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rgb="FF99FF33"/>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FF0000"/>
      </font>
      <fill>
        <patternFill patternType="solid">
          <bgColor theme="9" tint="0.59996337778862885"/>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7ED882"/>
        </patternFill>
      </fill>
      <border>
        <left style="thin">
          <color theme="0" tint="-0.14996795556505021"/>
        </left>
        <right style="thin">
          <color theme="0" tint="-0.14996795556505021"/>
        </right>
        <top style="thin">
          <color theme="0" tint="-0.14996795556505021"/>
        </top>
        <bottom style="thin">
          <color theme="0" tint="-0.14996795556505021"/>
        </bottom>
      </border>
    </dxf>
    <dxf>
      <font>
        <strike val="0"/>
        <color rgb="FF9C0006"/>
      </font>
      <fill>
        <patternFill>
          <bgColor theme="7" tint="0.39994506668294322"/>
        </patternFill>
      </fill>
    </dxf>
    <dxf>
      <font>
        <b/>
        <i val="0"/>
        <strike val="0"/>
        <u val="none"/>
        <color theme="0"/>
      </font>
      <fill>
        <patternFill patternType="solid">
          <bgColor theme="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FF99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patternType="solid">
          <bgColor rgb="FFFF99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rgb="FF92E7F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FF66CC"/>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0070C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1"/>
      </font>
      <fill>
        <patternFill>
          <bgColor rgb="FFFFFF00"/>
        </patternFill>
      </fill>
      <border>
        <left style="thin">
          <color theme="0" tint="-0.14996795556505021"/>
        </left>
        <right style="thin">
          <color theme="0" tint="-0.14996795556505021"/>
        </right>
        <top style="thin">
          <color theme="0" tint="-0.14996795556505021"/>
        </top>
        <bottom style="thin">
          <color theme="0" tint="-0.14996795556505021"/>
        </bottom>
      </border>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color auto="1"/>
      </font>
      <fill>
        <patternFill>
          <bgColor theme="9"/>
        </patternFill>
      </fill>
      <border>
        <left style="thin">
          <color theme="0" tint="-0.14996795556505021"/>
        </left>
        <right style="thin">
          <color theme="0" tint="-0.14996795556505021"/>
        </right>
        <top style="thin">
          <color theme="0" tint="-0.14996795556505021"/>
        </top>
        <bottom style="thin">
          <color theme="0" tint="-0.14996795556505021"/>
        </bottom>
      </border>
    </dxf>
    <dxf>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u val="double"/>
        <color auto="1"/>
      </font>
      <fill>
        <patternFill patternType="darkTrellis">
          <fgColor theme="5" tint="0.39994506668294322"/>
        </patternFill>
      </fill>
      <border>
        <left style="thin">
          <color auto="1"/>
        </left>
        <right style="thin">
          <color auto="1"/>
        </right>
        <top style="thin">
          <color auto="1"/>
        </top>
        <bottom style="thin">
          <color auto="1"/>
        </bottom>
      </border>
    </dxf>
    <dxf>
      <font>
        <b/>
        <i val="0"/>
        <strike val="0"/>
        <u/>
      </font>
      <fill>
        <patternFill patternType="darkTrellis">
          <fgColor theme="9" tint="0.59996337778862885"/>
          <bgColor auto="1"/>
        </patternFill>
      </fill>
      <border>
        <left style="thin">
          <color auto="1"/>
        </left>
        <right style="thin">
          <color auto="1"/>
        </right>
        <top style="thin">
          <color auto="1"/>
        </top>
        <bottom style="thin">
          <color auto="1"/>
        </bottom>
      </border>
    </dxf>
    <dxf>
      <font>
        <color auto="1"/>
      </font>
      <fill>
        <patternFill>
          <bgColor theme="9" tint="0.59996337778862885"/>
        </patternFill>
      </fill>
      <border>
        <left style="thin">
          <color theme="2"/>
        </left>
        <right style="thin">
          <color theme="2"/>
        </right>
        <top style="thin">
          <color theme="2"/>
        </top>
        <bottom style="thin">
          <color theme="2"/>
        </bottom>
      </border>
    </dxf>
    <dxf>
      <fill>
        <patternFill>
          <bgColor rgb="FF00B050"/>
        </patternFill>
      </fill>
      <border>
        <left style="thin">
          <color theme="0" tint="-0.24994659260841701"/>
        </left>
        <right style="thin">
          <color theme="0" tint="-0.24994659260841701"/>
        </right>
        <top style="thin">
          <color theme="0" tint="-0.24994659260841701"/>
        </top>
        <bottom style="thin">
          <color theme="0" tint="-0.24994659260841701"/>
        </bottom>
      </border>
    </dxf>
    <dxf>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b/>
        <i val="0"/>
        <u val="double"/>
        <color auto="1"/>
      </font>
      <fill>
        <patternFill patternType="darkTrellis">
          <fgColor theme="5" tint="0.39994506668294322"/>
        </patternFill>
      </fill>
      <border>
        <left style="thin">
          <color auto="1"/>
        </left>
        <right style="thin">
          <color auto="1"/>
        </right>
        <top style="thin">
          <color auto="1"/>
        </top>
        <bottom style="thin">
          <color auto="1"/>
        </bottom>
      </border>
    </dxf>
    <dxf>
      <font>
        <b/>
        <i val="0"/>
        <strike val="0"/>
        <u/>
      </font>
      <fill>
        <patternFill patternType="darkTrellis">
          <fgColor theme="9" tint="0.59996337778862885"/>
          <bgColor auto="1"/>
        </patternFill>
      </fill>
      <border>
        <left style="thin">
          <color auto="1"/>
        </left>
        <right style="thin">
          <color auto="1"/>
        </right>
        <top style="thin">
          <color auto="1"/>
        </top>
        <bottom style="thin">
          <color auto="1"/>
        </bottom>
      </border>
    </dxf>
    <dxf>
      <font>
        <b/>
        <i val="0"/>
        <strike val="0"/>
        <u val="none"/>
        <color theme="5" tint="-0.24994659260841701"/>
      </font>
      <fill>
        <patternFill patternType="solid">
          <bgColor rgb="FFFFFF00"/>
        </patternFill>
      </fill>
    </dxf>
    <dxf>
      <font>
        <b/>
        <i val="0"/>
        <strike val="0"/>
        <u val="none"/>
        <color rgb="FFFF0000"/>
      </font>
      <fill>
        <patternFill patternType="solid">
          <bgColor rgb="FFFFFF00"/>
        </patternFill>
      </fill>
    </dxf>
    <dxf>
      <font>
        <b/>
        <i val="0"/>
        <strike val="0"/>
        <u val="none"/>
        <color rgb="FF00B0F0"/>
      </font>
      <fill>
        <patternFill patternType="solid">
          <bgColor rgb="FFFFFF00"/>
        </patternFill>
      </fill>
    </dxf>
    <dxf>
      <font>
        <b/>
        <i val="0"/>
        <strike val="0"/>
        <u val="none"/>
        <color theme="0"/>
      </font>
      <fill>
        <patternFill>
          <bgColor rgb="FFFF3399"/>
        </patternFill>
      </fill>
    </dxf>
    <dxf>
      <font>
        <b/>
        <i val="0"/>
        <strike val="0"/>
        <u val="none"/>
        <color theme="0"/>
      </font>
      <fill>
        <patternFill>
          <bgColor rgb="FFFF3399"/>
        </patternFill>
      </fill>
    </dxf>
    <dxf>
      <font>
        <b/>
        <i/>
        <strike val="0"/>
        <u val="none"/>
        <color theme="5" tint="-0.24994659260841701"/>
      </font>
      <fill>
        <patternFill>
          <bgColor rgb="FFFFFF00"/>
        </patternFill>
      </fill>
    </dxf>
    <dxf>
      <font>
        <b/>
        <i/>
        <strike val="0"/>
        <u val="none"/>
        <color rgb="FFFF0000"/>
      </font>
      <fill>
        <patternFill>
          <bgColor rgb="FFFFFF00"/>
        </patternFill>
      </fill>
    </dxf>
    <dxf>
      <font>
        <b/>
        <i val="0"/>
        <strike val="0"/>
        <u val="none"/>
        <color auto="1"/>
      </font>
      <fill>
        <patternFill patternType="solid">
          <bgColor theme="9" tint="0.59996337778862885"/>
        </patternFill>
      </fill>
    </dxf>
    <dxf>
      <font>
        <b/>
        <i/>
        <strike val="0"/>
        <u val="none"/>
        <color auto="1"/>
      </font>
      <fill>
        <patternFill patternType="solid">
          <bgColor rgb="FF00FF00"/>
        </patternFill>
      </fill>
    </dxf>
    <dxf>
      <font>
        <b/>
        <i/>
        <strike val="0"/>
        <u val="none"/>
        <color auto="1"/>
      </font>
      <fill>
        <patternFill patternType="solid">
          <bgColor rgb="FF00FF00"/>
        </patternFill>
      </fill>
    </dxf>
    <dxf>
      <font>
        <b/>
        <i val="0"/>
        <strike val="0"/>
        <u val="none"/>
        <color rgb="FFFF0000"/>
      </font>
      <fill>
        <patternFill>
          <bgColor rgb="FF00B0F0"/>
        </patternFill>
      </fill>
    </dxf>
    <dxf>
      <font>
        <b/>
        <i val="0"/>
        <strike val="0"/>
        <u val="none"/>
        <color rgb="FFFF0000"/>
      </font>
      <fill>
        <patternFill>
          <bgColor rgb="FF00B0F0"/>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rgb="FFFFC000"/>
      </font>
      <fill>
        <patternFill patternType="solid">
          <bgColor theme="7" tint="0.79998168889431442"/>
        </patternFill>
      </fill>
    </dxf>
    <dxf>
      <font>
        <b/>
        <i/>
        <strike val="0"/>
        <u val="none"/>
        <color rgb="FFFFC000"/>
      </font>
      <fill>
        <patternFill patternType="solid">
          <bgColor theme="7" tint="0.79998168889431442"/>
        </patternFill>
      </fill>
    </dxf>
    <dxf>
      <font>
        <b/>
        <i val="0"/>
        <strike val="0"/>
        <u val="none"/>
        <color rgb="FF00B050"/>
      </font>
      <fill>
        <patternFill>
          <bgColor rgb="FFEAF1AB"/>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9966FF"/>
      </font>
      <fill>
        <patternFill>
          <bgColor rgb="FFB1DDEB"/>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00B0F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CC99FF"/>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7" tint="0.39991454817346722"/>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theme="9" tint="-0.2499465926084170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4" tint="0.3999450666829432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rgb="FF7E1389"/>
      </font>
      <fill>
        <patternFill>
          <bgColor rgb="FFFFAFB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rgb="FFEB2403"/>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1" tint="0.49998474074526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0"/>
      </font>
      <fill>
        <patternFill>
          <bgColor theme="5" tint="-0.2499465926084170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0"/>
      </font>
      <fill>
        <patternFill>
          <bgColor rgb="FFF632C7"/>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rgb="FF99FF33"/>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FF0000"/>
      </font>
      <fill>
        <patternFill patternType="solid">
          <bgColor theme="9" tint="0.59996337778862885"/>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7ED882"/>
        </patternFill>
      </fill>
      <border>
        <left style="thin">
          <color theme="0" tint="-0.14996795556505021"/>
        </left>
        <right style="thin">
          <color theme="0" tint="-0.14996795556505021"/>
        </right>
        <top style="thin">
          <color theme="0" tint="-0.14996795556505021"/>
        </top>
        <bottom style="thin">
          <color theme="0" tint="-0.14996795556505021"/>
        </bottom>
      </border>
    </dxf>
    <dxf>
      <font>
        <strike val="0"/>
        <color rgb="FF9C0006"/>
      </font>
      <fill>
        <patternFill>
          <bgColor theme="7" tint="0.39994506668294322"/>
        </patternFill>
      </fill>
    </dxf>
    <dxf>
      <font>
        <b/>
        <i val="0"/>
        <strike val="0"/>
        <u val="none"/>
        <color theme="0"/>
      </font>
      <fill>
        <patternFill patternType="solid">
          <bgColor theme="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FF99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patternType="solid">
          <bgColor rgb="FFFF99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rgb="FF92E7F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FF66CC"/>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0070C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1"/>
      </font>
      <fill>
        <patternFill>
          <bgColor rgb="FFFFFF00"/>
        </patternFill>
      </fill>
      <border>
        <left style="thin">
          <color theme="0" tint="-0.14996795556505021"/>
        </left>
        <right style="thin">
          <color theme="0" tint="-0.14996795556505021"/>
        </right>
        <top style="thin">
          <color theme="0" tint="-0.14996795556505021"/>
        </top>
        <bottom style="thin">
          <color theme="0" tint="-0.14996795556505021"/>
        </bottom>
      </border>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color auto="1"/>
      </font>
      <fill>
        <patternFill>
          <bgColor theme="9"/>
        </patternFill>
      </fill>
      <border>
        <left style="thin">
          <color theme="0" tint="-0.14996795556505021"/>
        </left>
        <right style="thin">
          <color theme="0" tint="-0.14996795556505021"/>
        </right>
        <top style="thin">
          <color theme="0" tint="-0.14996795556505021"/>
        </top>
        <bottom style="thin">
          <color theme="0" tint="-0.14996795556505021"/>
        </bottom>
      </border>
    </dxf>
    <dxf>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border>
    </dxf>
    <dxf>
      <font>
        <color rgb="FF9C0006"/>
      </font>
      <fill>
        <patternFill>
          <bgColor rgb="FFFFC7CE"/>
        </patternFill>
      </fill>
    </dxf>
    <dxf>
      <font>
        <color rgb="FF002060"/>
      </font>
      <fill>
        <patternFill>
          <bgColor theme="8" tint="0.59996337778862885"/>
        </patternFill>
      </fill>
    </dxf>
    <dxf>
      <font>
        <color rgb="FF9C5700"/>
      </font>
      <fill>
        <patternFill>
          <bgColor rgb="FFFFEB9C"/>
        </patternFill>
      </fill>
    </dxf>
    <dxf>
      <font>
        <color rgb="FF002060"/>
      </font>
      <fill>
        <patternFill>
          <bgColor rgb="FFB1F4FD"/>
        </patternFill>
      </fill>
    </dxf>
    <dxf>
      <font>
        <color rgb="FF002060"/>
      </font>
      <fill>
        <patternFill>
          <bgColor rgb="FFB1F4FD"/>
        </patternFill>
      </fill>
    </dxf>
    <dxf>
      <font>
        <b/>
        <i val="0"/>
        <u val="double"/>
        <color auto="1"/>
      </font>
      <fill>
        <patternFill patternType="darkTrellis">
          <fgColor theme="5" tint="0.39994506668294322"/>
        </patternFill>
      </fill>
      <border>
        <left style="thin">
          <color auto="1"/>
        </left>
        <right style="thin">
          <color auto="1"/>
        </right>
        <top style="thin">
          <color auto="1"/>
        </top>
        <bottom style="thin">
          <color auto="1"/>
        </bottom>
      </border>
    </dxf>
    <dxf>
      <font>
        <b/>
        <i val="0"/>
        <strike val="0"/>
        <u/>
      </font>
      <fill>
        <patternFill patternType="darkTrellis">
          <fgColor theme="9" tint="0.59996337778862885"/>
          <bgColor auto="1"/>
        </patternFill>
      </fill>
      <border>
        <left style="thin">
          <color auto="1"/>
        </left>
        <right style="thin">
          <color auto="1"/>
        </right>
        <top style="thin">
          <color auto="1"/>
        </top>
        <bottom style="thin">
          <color auto="1"/>
        </bottom>
      </border>
    </dxf>
    <dxf>
      <font>
        <b/>
        <i val="0"/>
        <strike val="0"/>
        <u val="none"/>
        <color theme="5" tint="-0.24994659260841701"/>
      </font>
      <fill>
        <patternFill patternType="solid">
          <bgColor rgb="FFFFFF00"/>
        </patternFill>
      </fill>
    </dxf>
    <dxf>
      <font>
        <b/>
        <i val="0"/>
        <strike val="0"/>
        <u val="none"/>
        <color rgb="FFFF0000"/>
      </font>
      <fill>
        <patternFill patternType="solid">
          <bgColor rgb="FFFFFF00"/>
        </patternFill>
      </fill>
    </dxf>
    <dxf>
      <font>
        <b/>
        <i val="0"/>
        <strike val="0"/>
        <u val="none"/>
        <color rgb="FF00B0F0"/>
      </font>
      <fill>
        <patternFill patternType="solid">
          <bgColor rgb="FFFFFF00"/>
        </patternFill>
      </fill>
    </dxf>
    <dxf>
      <font>
        <b/>
        <i val="0"/>
        <strike val="0"/>
        <u val="none"/>
        <color theme="0"/>
      </font>
      <fill>
        <patternFill>
          <bgColor rgb="FFFF3399"/>
        </patternFill>
      </fill>
    </dxf>
    <dxf>
      <font>
        <b/>
        <i val="0"/>
        <strike val="0"/>
        <u val="none"/>
        <color theme="0"/>
      </font>
      <fill>
        <patternFill>
          <bgColor rgb="FFFF3399"/>
        </patternFill>
      </fill>
    </dxf>
    <dxf>
      <font>
        <b/>
        <i/>
        <strike val="0"/>
        <u val="none"/>
        <color theme="5" tint="-0.24994659260841701"/>
      </font>
      <fill>
        <patternFill>
          <bgColor rgb="FFFFFF00"/>
        </patternFill>
      </fill>
    </dxf>
    <dxf>
      <font>
        <b/>
        <i/>
        <strike val="0"/>
        <u val="none"/>
        <color rgb="FFFF0000"/>
      </font>
      <fill>
        <patternFill>
          <bgColor rgb="FFFFFF00"/>
        </patternFill>
      </fill>
    </dxf>
    <dxf>
      <font>
        <b/>
        <i val="0"/>
        <strike val="0"/>
        <u val="none"/>
        <color auto="1"/>
      </font>
      <fill>
        <patternFill patternType="solid">
          <bgColor theme="9" tint="0.59996337778862885"/>
        </patternFill>
      </fill>
    </dxf>
    <dxf>
      <font>
        <b/>
        <i/>
        <strike val="0"/>
        <u val="none"/>
        <color auto="1"/>
      </font>
      <fill>
        <patternFill patternType="solid">
          <bgColor rgb="FF00FF00"/>
        </patternFill>
      </fill>
    </dxf>
    <dxf>
      <font>
        <b/>
        <i/>
        <strike val="0"/>
        <u val="none"/>
        <color auto="1"/>
      </font>
      <fill>
        <patternFill patternType="solid">
          <bgColor rgb="FF00FF00"/>
        </patternFill>
      </fill>
    </dxf>
    <dxf>
      <font>
        <b/>
        <i val="0"/>
        <strike val="0"/>
        <u val="none"/>
        <color rgb="FFFF0000"/>
      </font>
      <fill>
        <patternFill>
          <bgColor rgb="FF00B0F0"/>
        </patternFill>
      </fill>
    </dxf>
    <dxf>
      <font>
        <b/>
        <i val="0"/>
        <strike val="0"/>
        <u val="none"/>
        <color rgb="FFFF0000"/>
      </font>
      <fill>
        <patternFill>
          <bgColor rgb="FF00B0F0"/>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rgb="FFFFC000"/>
      </font>
      <fill>
        <patternFill patternType="solid">
          <bgColor theme="7" tint="0.79998168889431442"/>
        </patternFill>
      </fill>
    </dxf>
    <dxf>
      <font>
        <b/>
        <i/>
        <strike val="0"/>
        <u val="none"/>
        <color rgb="FF19010C"/>
      </font>
      <fill>
        <patternFill patternType="solid">
          <bgColor rgb="FFF11343"/>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00B050"/>
      </font>
      <fill>
        <patternFill>
          <bgColor rgb="FFEAF1AB"/>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9966FF"/>
      </font>
      <fill>
        <patternFill>
          <bgColor rgb="FFB1DDEB"/>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00B0F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CC99FF"/>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7" tint="0.39991454817346722"/>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theme="9" tint="-0.2499465926084170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4" tint="0.3999450666829432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rgb="FF7E1389"/>
      </font>
      <fill>
        <patternFill>
          <bgColor rgb="FFFFAFB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rgb="FFEB2403"/>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1" tint="0.49998474074526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0"/>
      </font>
      <fill>
        <patternFill>
          <bgColor theme="5" tint="-0.2499465926084170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0"/>
      </font>
      <fill>
        <patternFill>
          <bgColor rgb="FFF632C7"/>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rgb="FF99FF33"/>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FF0000"/>
      </font>
      <fill>
        <patternFill patternType="solid">
          <bgColor theme="9" tint="0.59996337778862885"/>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7ED882"/>
        </patternFill>
      </fill>
      <border>
        <left style="thin">
          <color theme="0" tint="-0.14996795556505021"/>
        </left>
        <right style="thin">
          <color theme="0" tint="-0.14996795556505021"/>
        </right>
        <top style="thin">
          <color theme="0" tint="-0.14996795556505021"/>
        </top>
        <bottom style="thin">
          <color theme="0" tint="-0.14996795556505021"/>
        </bottom>
      </border>
    </dxf>
    <dxf>
      <font>
        <strike val="0"/>
        <color rgb="FF9C0006"/>
      </font>
      <fill>
        <patternFill>
          <bgColor theme="7" tint="0.39994506668294322"/>
        </patternFill>
      </fill>
    </dxf>
    <dxf>
      <font>
        <b/>
        <i val="0"/>
        <strike val="0"/>
        <u val="none"/>
        <color theme="0"/>
      </font>
      <fill>
        <patternFill patternType="solid">
          <bgColor theme="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FF99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patternType="solid">
          <bgColor rgb="FFFF99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rgb="FF92E7F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FF66CC"/>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0070C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1"/>
      </font>
      <fill>
        <patternFill>
          <bgColor rgb="FFFFFF00"/>
        </patternFill>
      </fill>
      <border>
        <left style="thin">
          <color theme="0" tint="-0.14996795556505021"/>
        </left>
        <right style="thin">
          <color theme="0" tint="-0.14996795556505021"/>
        </right>
        <top style="thin">
          <color theme="0" tint="-0.14996795556505021"/>
        </top>
        <bottom style="thin">
          <color theme="0" tint="-0.14996795556505021"/>
        </bottom>
      </border>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color auto="1"/>
      </font>
      <fill>
        <patternFill>
          <bgColor theme="9"/>
        </patternFill>
      </fill>
      <border>
        <left style="thin">
          <color theme="0" tint="-0.14996795556505021"/>
        </left>
        <right style="thin">
          <color theme="0" tint="-0.14996795556505021"/>
        </right>
        <top style="thin">
          <color theme="0" tint="-0.14996795556505021"/>
        </top>
        <bottom style="thin">
          <color theme="0" tint="-0.14996795556505021"/>
        </bottom>
      </border>
    </dxf>
    <dxf>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border>
    </dxf>
    <dxf>
      <font>
        <color rgb="FF9C0006"/>
      </font>
      <fill>
        <patternFill>
          <bgColor rgb="FFFFC7CE"/>
        </patternFill>
      </fill>
    </dxf>
    <dxf>
      <font>
        <color rgb="FF002060"/>
      </font>
      <fill>
        <patternFill>
          <bgColor theme="8" tint="0.59996337778862885"/>
        </patternFill>
      </fill>
    </dxf>
    <dxf>
      <font>
        <color rgb="FF9C5700"/>
      </font>
      <fill>
        <patternFill>
          <bgColor rgb="FFFFEB9C"/>
        </patternFill>
      </fill>
    </dxf>
    <dxf>
      <font>
        <color rgb="FF002060"/>
      </font>
      <fill>
        <patternFill>
          <bgColor rgb="FFB1F4FD"/>
        </patternFill>
      </fill>
    </dxf>
    <dxf>
      <font>
        <color rgb="FF002060"/>
      </font>
      <fill>
        <patternFill>
          <bgColor rgb="FFB1F4FD"/>
        </patternFill>
      </fill>
    </dxf>
    <dxf>
      <font>
        <color auto="1"/>
      </font>
      <fill>
        <patternFill>
          <bgColor theme="9" tint="0.59996337778862885"/>
        </patternFill>
      </fill>
      <border>
        <left style="thin">
          <color theme="2"/>
        </left>
        <right style="thin">
          <color theme="2"/>
        </right>
        <top style="thin">
          <color theme="2"/>
        </top>
        <bottom style="thin">
          <color theme="2"/>
        </bottom>
      </border>
    </dxf>
    <dxf>
      <fill>
        <patternFill>
          <bgColor rgb="FF00B050"/>
        </patternFill>
      </fill>
      <border>
        <left style="thin">
          <color theme="0" tint="-0.24994659260841701"/>
        </left>
        <right style="thin">
          <color theme="0" tint="-0.24994659260841701"/>
        </right>
        <top style="thin">
          <color theme="0" tint="-0.24994659260841701"/>
        </top>
        <bottom style="thin">
          <color theme="0" tint="-0.24994659260841701"/>
        </bottom>
      </border>
    </dxf>
    <dxf>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b/>
        <i val="0"/>
        <u val="double"/>
        <color auto="1"/>
      </font>
      <fill>
        <patternFill patternType="darkTrellis">
          <fgColor theme="5" tint="0.39994506668294322"/>
        </patternFill>
      </fill>
      <border>
        <left style="thin">
          <color auto="1"/>
        </left>
        <right style="thin">
          <color auto="1"/>
        </right>
        <top style="thin">
          <color auto="1"/>
        </top>
        <bottom style="thin">
          <color auto="1"/>
        </bottom>
      </border>
    </dxf>
    <dxf>
      <font>
        <b/>
        <i val="0"/>
        <strike val="0"/>
        <u/>
      </font>
      <fill>
        <patternFill patternType="darkTrellis">
          <fgColor theme="9" tint="0.59996337778862885"/>
          <bgColor auto="1"/>
        </patternFill>
      </fill>
      <border>
        <left style="thin">
          <color auto="1"/>
        </left>
        <right style="thin">
          <color auto="1"/>
        </right>
        <top style="thin">
          <color auto="1"/>
        </top>
        <bottom style="thin">
          <color auto="1"/>
        </bottom>
      </border>
    </dxf>
    <dxf>
      <font>
        <b/>
        <i val="0"/>
        <strike val="0"/>
        <u val="none"/>
        <color theme="5" tint="-0.24994659260841701"/>
      </font>
      <fill>
        <patternFill patternType="solid">
          <bgColor rgb="FFFFFF00"/>
        </patternFill>
      </fill>
    </dxf>
    <dxf>
      <font>
        <b/>
        <i val="0"/>
        <strike val="0"/>
        <u val="none"/>
        <color rgb="FFFF0000"/>
      </font>
      <fill>
        <patternFill patternType="solid">
          <bgColor rgb="FFFFFF00"/>
        </patternFill>
      </fill>
    </dxf>
    <dxf>
      <font>
        <b/>
        <i val="0"/>
        <strike val="0"/>
        <u val="none"/>
        <color rgb="FF00B0F0"/>
      </font>
      <fill>
        <patternFill patternType="solid">
          <bgColor rgb="FFFFFF00"/>
        </patternFill>
      </fill>
    </dxf>
    <dxf>
      <font>
        <b/>
        <i val="0"/>
        <strike val="0"/>
        <u val="none"/>
        <color theme="0"/>
      </font>
      <fill>
        <patternFill>
          <bgColor rgb="FFFF3399"/>
        </patternFill>
      </fill>
    </dxf>
    <dxf>
      <font>
        <b/>
        <i val="0"/>
        <strike val="0"/>
        <u val="none"/>
        <color theme="0"/>
      </font>
      <fill>
        <patternFill>
          <bgColor rgb="FFFF3399"/>
        </patternFill>
      </fill>
    </dxf>
    <dxf>
      <font>
        <b/>
        <i/>
        <strike val="0"/>
        <u val="none"/>
        <color theme="5" tint="-0.24994659260841701"/>
      </font>
      <fill>
        <patternFill>
          <bgColor rgb="FFFFFF00"/>
        </patternFill>
      </fill>
    </dxf>
    <dxf>
      <font>
        <b/>
        <i/>
        <strike val="0"/>
        <u val="none"/>
        <color rgb="FFFF0000"/>
      </font>
      <fill>
        <patternFill>
          <bgColor rgb="FFFFFF00"/>
        </patternFill>
      </fill>
    </dxf>
    <dxf>
      <font>
        <b/>
        <i val="0"/>
        <strike val="0"/>
        <u val="none"/>
        <color auto="1"/>
      </font>
      <fill>
        <patternFill patternType="solid">
          <bgColor theme="9" tint="0.59996337778862885"/>
        </patternFill>
      </fill>
    </dxf>
    <dxf>
      <font>
        <b/>
        <i/>
        <strike val="0"/>
        <u val="none"/>
        <color auto="1"/>
      </font>
      <fill>
        <patternFill patternType="solid">
          <bgColor rgb="FF00FF00"/>
        </patternFill>
      </fill>
    </dxf>
    <dxf>
      <font>
        <b/>
        <i/>
        <strike val="0"/>
        <u val="none"/>
        <color auto="1"/>
      </font>
      <fill>
        <patternFill patternType="solid">
          <bgColor rgb="FF00FF00"/>
        </patternFill>
      </fill>
    </dxf>
    <dxf>
      <font>
        <b/>
        <i val="0"/>
        <strike val="0"/>
        <u val="none"/>
        <color rgb="FFFF0000"/>
      </font>
      <fill>
        <patternFill>
          <bgColor rgb="FF00B0F0"/>
        </patternFill>
      </fill>
    </dxf>
    <dxf>
      <font>
        <b/>
        <i val="0"/>
        <strike val="0"/>
        <u val="none"/>
        <color rgb="FFFF0000"/>
      </font>
      <fill>
        <patternFill>
          <bgColor rgb="FF00B0F0"/>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rgb="FFFFC000"/>
      </font>
      <fill>
        <patternFill patternType="solid">
          <bgColor theme="7" tint="0.79998168889431442"/>
        </patternFill>
      </fill>
    </dxf>
    <dxf>
      <font>
        <b/>
        <i/>
        <strike val="0"/>
        <u val="none"/>
        <color rgb="FFFFC000"/>
      </font>
      <fill>
        <patternFill patternType="solid">
          <bgColor theme="7" tint="0.79998168889431442"/>
        </patternFill>
      </fill>
    </dxf>
    <dxf>
      <font>
        <b/>
        <i val="0"/>
        <strike val="0"/>
        <u val="none"/>
        <color rgb="FF00B050"/>
      </font>
      <fill>
        <patternFill>
          <bgColor rgb="FFEAF1AB"/>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9966FF"/>
      </font>
      <fill>
        <patternFill>
          <bgColor rgb="FFB1DDEB"/>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00B0F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CC99FF"/>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7" tint="0.39991454817346722"/>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theme="9" tint="-0.2499465926084170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4" tint="0.3999450666829432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rgb="FF7E1389"/>
      </font>
      <fill>
        <patternFill>
          <bgColor rgb="FFFFAFB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rgb="FFEB2403"/>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1" tint="0.49998474074526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0"/>
      </font>
      <fill>
        <patternFill>
          <bgColor theme="5" tint="-0.2499465926084170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0"/>
      </font>
      <fill>
        <patternFill>
          <bgColor rgb="FFF632C7"/>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rgb="FF99FF33"/>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FF0000"/>
      </font>
      <fill>
        <patternFill patternType="solid">
          <bgColor theme="9" tint="0.59996337778862885"/>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7ED882"/>
        </patternFill>
      </fill>
      <border>
        <left style="thin">
          <color theme="0" tint="-0.14996795556505021"/>
        </left>
        <right style="thin">
          <color theme="0" tint="-0.14996795556505021"/>
        </right>
        <top style="thin">
          <color theme="0" tint="-0.14996795556505021"/>
        </top>
        <bottom style="thin">
          <color theme="0" tint="-0.14996795556505021"/>
        </bottom>
      </border>
    </dxf>
    <dxf>
      <font>
        <strike val="0"/>
        <color rgb="FF9C0006"/>
      </font>
      <fill>
        <patternFill>
          <bgColor theme="7" tint="0.39994506668294322"/>
        </patternFill>
      </fill>
    </dxf>
    <dxf>
      <font>
        <b/>
        <i val="0"/>
        <strike val="0"/>
        <u val="none"/>
        <color theme="0"/>
      </font>
      <fill>
        <patternFill patternType="solid">
          <bgColor theme="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FF99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patternType="solid">
          <bgColor rgb="FFFF99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rgb="FF92E7F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FF66CC"/>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0070C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1"/>
      </font>
      <fill>
        <patternFill>
          <bgColor rgb="FFFFFF00"/>
        </patternFill>
      </fill>
      <border>
        <left style="thin">
          <color theme="0" tint="-0.14996795556505021"/>
        </left>
        <right style="thin">
          <color theme="0" tint="-0.14996795556505021"/>
        </right>
        <top style="thin">
          <color theme="0" tint="-0.14996795556505021"/>
        </top>
        <bottom style="thin">
          <color theme="0" tint="-0.14996795556505021"/>
        </bottom>
      </border>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color auto="1"/>
      </font>
      <fill>
        <patternFill>
          <bgColor theme="9"/>
        </patternFill>
      </fill>
      <border>
        <left style="thin">
          <color theme="0" tint="-0.14996795556505021"/>
        </left>
        <right style="thin">
          <color theme="0" tint="-0.14996795556505021"/>
        </right>
        <top style="thin">
          <color theme="0" tint="-0.14996795556505021"/>
        </top>
        <bottom style="thin">
          <color theme="0" tint="-0.14996795556505021"/>
        </bottom>
      </border>
    </dxf>
    <dxf>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border>
    </dxf>
    <dxf>
      <font>
        <color rgb="FF9C0006"/>
      </font>
      <fill>
        <patternFill>
          <bgColor rgb="FFFFC7CE"/>
        </patternFill>
      </fill>
    </dxf>
    <dxf>
      <font>
        <color rgb="FF002060"/>
      </font>
      <fill>
        <patternFill>
          <bgColor theme="8" tint="0.59996337778862885"/>
        </patternFill>
      </fill>
    </dxf>
    <dxf>
      <font>
        <color rgb="FF9C5700"/>
      </font>
      <fill>
        <patternFill>
          <bgColor rgb="FFFFEB9C"/>
        </patternFill>
      </fill>
    </dxf>
    <dxf>
      <font>
        <color rgb="FF002060"/>
      </font>
      <fill>
        <patternFill>
          <bgColor rgb="FFB1F4FD"/>
        </patternFill>
      </fill>
    </dxf>
    <dxf>
      <font>
        <color rgb="FF002060"/>
      </font>
      <fill>
        <patternFill>
          <bgColor rgb="FFB1F4FD"/>
        </patternFill>
      </fill>
    </dxf>
    <dxf>
      <font>
        <b/>
        <i val="0"/>
        <u val="double"/>
        <color auto="1"/>
      </font>
      <fill>
        <patternFill patternType="darkTrellis">
          <fgColor theme="5" tint="0.39994506668294322"/>
        </patternFill>
      </fill>
      <border>
        <left style="thin">
          <color auto="1"/>
        </left>
        <right style="thin">
          <color auto="1"/>
        </right>
        <top style="thin">
          <color auto="1"/>
        </top>
        <bottom style="thin">
          <color auto="1"/>
        </bottom>
      </border>
    </dxf>
    <dxf>
      <font>
        <b/>
        <i val="0"/>
        <strike val="0"/>
        <u/>
      </font>
      <fill>
        <patternFill patternType="darkTrellis">
          <fgColor theme="9" tint="0.59996337778862885"/>
          <bgColor auto="1"/>
        </patternFill>
      </fill>
      <border>
        <left style="thin">
          <color auto="1"/>
        </left>
        <right style="thin">
          <color auto="1"/>
        </right>
        <top style="thin">
          <color auto="1"/>
        </top>
        <bottom style="thin">
          <color auto="1"/>
        </bottom>
      </border>
    </dxf>
    <dxf>
      <font>
        <b/>
        <i val="0"/>
        <strike val="0"/>
        <u val="none"/>
        <color theme="5" tint="-0.24994659260841701"/>
      </font>
      <fill>
        <patternFill patternType="solid">
          <bgColor rgb="FFFFFF00"/>
        </patternFill>
      </fill>
    </dxf>
    <dxf>
      <font>
        <b/>
        <i val="0"/>
        <strike val="0"/>
        <u val="none"/>
        <color rgb="FFFF0000"/>
      </font>
      <fill>
        <patternFill patternType="solid">
          <bgColor rgb="FFFFFF00"/>
        </patternFill>
      </fill>
    </dxf>
    <dxf>
      <font>
        <b/>
        <i val="0"/>
        <strike val="0"/>
        <u val="none"/>
        <color rgb="FF00B0F0"/>
      </font>
      <fill>
        <patternFill patternType="solid">
          <bgColor rgb="FFFFFF00"/>
        </patternFill>
      </fill>
    </dxf>
    <dxf>
      <font>
        <b/>
        <i val="0"/>
        <strike val="0"/>
        <u val="none"/>
        <color theme="0"/>
      </font>
      <fill>
        <patternFill>
          <bgColor rgb="FFFF3399"/>
        </patternFill>
      </fill>
    </dxf>
    <dxf>
      <font>
        <b/>
        <i val="0"/>
        <strike val="0"/>
        <u val="none"/>
        <color theme="0"/>
      </font>
      <fill>
        <patternFill>
          <bgColor rgb="FFFF3399"/>
        </patternFill>
      </fill>
    </dxf>
    <dxf>
      <font>
        <b/>
        <i/>
        <strike val="0"/>
        <u val="none"/>
        <color theme="5" tint="-0.24994659260841701"/>
      </font>
      <fill>
        <patternFill>
          <bgColor rgb="FFFFFF00"/>
        </patternFill>
      </fill>
    </dxf>
    <dxf>
      <font>
        <b/>
        <i/>
        <strike val="0"/>
        <u val="none"/>
        <color rgb="FFFF0000"/>
      </font>
      <fill>
        <patternFill>
          <bgColor rgb="FFFFFF00"/>
        </patternFill>
      </fill>
    </dxf>
    <dxf>
      <font>
        <b/>
        <i val="0"/>
        <strike val="0"/>
        <u val="none"/>
        <color auto="1"/>
      </font>
      <fill>
        <patternFill patternType="solid">
          <bgColor theme="9" tint="0.59996337778862885"/>
        </patternFill>
      </fill>
    </dxf>
    <dxf>
      <font>
        <b/>
        <i/>
        <strike val="0"/>
        <u val="none"/>
        <color auto="1"/>
      </font>
      <fill>
        <patternFill patternType="solid">
          <bgColor rgb="FF00FF00"/>
        </patternFill>
      </fill>
    </dxf>
    <dxf>
      <font>
        <b/>
        <i/>
        <strike val="0"/>
        <u val="none"/>
        <color auto="1"/>
      </font>
      <fill>
        <patternFill patternType="solid">
          <bgColor rgb="FF00FF00"/>
        </patternFill>
      </fill>
    </dxf>
    <dxf>
      <font>
        <b/>
        <i val="0"/>
        <strike val="0"/>
        <u val="none"/>
        <color rgb="FFFF0000"/>
      </font>
      <fill>
        <patternFill>
          <bgColor rgb="FF00B0F0"/>
        </patternFill>
      </fill>
    </dxf>
    <dxf>
      <font>
        <b/>
        <i val="0"/>
        <strike val="0"/>
        <u val="none"/>
        <color rgb="FFFF0000"/>
      </font>
      <fill>
        <patternFill>
          <bgColor rgb="FF00B0F0"/>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rgb="FFFFC000"/>
      </font>
      <fill>
        <patternFill patternType="solid">
          <bgColor theme="7" tint="0.79998168889431442"/>
        </patternFill>
      </fill>
    </dxf>
    <dxf>
      <font>
        <b/>
        <i/>
        <strike val="0"/>
        <u val="none"/>
        <color rgb="FFFFC000"/>
      </font>
      <fill>
        <patternFill patternType="solid">
          <bgColor theme="7" tint="0.79998168889431442"/>
        </patternFill>
      </fill>
    </dxf>
    <dxf>
      <font>
        <b/>
        <i val="0"/>
        <strike val="0"/>
        <u val="none"/>
        <color rgb="FF00B050"/>
      </font>
      <fill>
        <patternFill>
          <bgColor rgb="FFEAF1AB"/>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9966FF"/>
      </font>
      <fill>
        <patternFill>
          <bgColor rgb="FFB1DDEB"/>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00B0F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CC99FF"/>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7" tint="0.39991454817346722"/>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theme="9" tint="-0.2499465926084170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4" tint="0.3999450666829432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rgb="FF7E1389"/>
      </font>
      <fill>
        <patternFill>
          <bgColor rgb="FFFFAFB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rgb="FFEB2403"/>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1" tint="0.49998474074526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0"/>
      </font>
      <fill>
        <patternFill>
          <bgColor theme="5" tint="-0.2499465926084170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0"/>
      </font>
      <fill>
        <patternFill>
          <bgColor rgb="FFF632C7"/>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rgb="FF99FF33"/>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FF0000"/>
      </font>
      <fill>
        <patternFill patternType="solid">
          <bgColor theme="9" tint="0.59996337778862885"/>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7ED882"/>
        </patternFill>
      </fill>
      <border>
        <left style="thin">
          <color theme="0" tint="-0.14996795556505021"/>
        </left>
        <right style="thin">
          <color theme="0" tint="-0.14996795556505021"/>
        </right>
        <top style="thin">
          <color theme="0" tint="-0.14996795556505021"/>
        </top>
        <bottom style="thin">
          <color theme="0" tint="-0.14996795556505021"/>
        </bottom>
      </border>
    </dxf>
    <dxf>
      <font>
        <strike val="0"/>
        <color rgb="FF9C0006"/>
      </font>
      <fill>
        <patternFill>
          <bgColor theme="7" tint="0.39994506668294322"/>
        </patternFill>
      </fill>
    </dxf>
    <dxf>
      <font>
        <b/>
        <i val="0"/>
        <strike val="0"/>
        <u val="none"/>
        <color theme="0"/>
      </font>
      <fill>
        <patternFill patternType="solid">
          <bgColor theme="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FF99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patternType="solid">
          <bgColor rgb="FFFF99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rgb="FF92E7F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FF66CC"/>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0070C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1"/>
      </font>
      <fill>
        <patternFill>
          <bgColor rgb="FFFFFF00"/>
        </patternFill>
      </fill>
      <border>
        <left style="thin">
          <color theme="0" tint="-0.14996795556505021"/>
        </left>
        <right style="thin">
          <color theme="0" tint="-0.14996795556505021"/>
        </right>
        <top style="thin">
          <color theme="0" tint="-0.14996795556505021"/>
        </top>
        <bottom style="thin">
          <color theme="0" tint="-0.14996795556505021"/>
        </bottom>
      </border>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color auto="1"/>
      </font>
      <fill>
        <patternFill>
          <bgColor theme="9"/>
        </patternFill>
      </fill>
      <border>
        <left style="thin">
          <color theme="0" tint="-0.14996795556505021"/>
        </left>
        <right style="thin">
          <color theme="0" tint="-0.14996795556505021"/>
        </right>
        <top style="thin">
          <color theme="0" tint="-0.14996795556505021"/>
        </top>
        <bottom style="thin">
          <color theme="0" tint="-0.14996795556505021"/>
        </bottom>
      </border>
    </dxf>
    <dxf>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border>
    </dxf>
    <dxf>
      <font>
        <color rgb="FF9C0006"/>
      </font>
      <fill>
        <patternFill>
          <bgColor rgb="FFFFC7CE"/>
        </patternFill>
      </fill>
    </dxf>
    <dxf>
      <font>
        <color rgb="FF002060"/>
      </font>
      <fill>
        <patternFill>
          <bgColor theme="8" tint="0.59996337778862885"/>
        </patternFill>
      </fill>
    </dxf>
    <dxf>
      <font>
        <color rgb="FF9C5700"/>
      </font>
      <fill>
        <patternFill>
          <bgColor rgb="FFFFEB9C"/>
        </patternFill>
      </fill>
    </dxf>
    <dxf>
      <font>
        <color rgb="FF002060"/>
      </font>
      <fill>
        <patternFill>
          <bgColor rgb="FFB1F4FD"/>
        </patternFill>
      </fill>
    </dxf>
    <dxf>
      <font>
        <color rgb="FF002060"/>
      </font>
      <fill>
        <patternFill>
          <bgColor rgb="FFB1F4FD"/>
        </patternFill>
      </fill>
    </dxf>
    <dxf>
      <font>
        <b/>
        <i val="0"/>
        <strike val="0"/>
        <u val="none"/>
        <color theme="5" tint="-0.24994659260841701"/>
      </font>
      <fill>
        <patternFill patternType="solid">
          <bgColor rgb="FFFFFF00"/>
        </patternFill>
      </fill>
    </dxf>
    <dxf>
      <font>
        <b/>
        <i val="0"/>
        <strike val="0"/>
        <u val="none"/>
        <color rgb="FFFF0000"/>
      </font>
      <fill>
        <patternFill patternType="solid">
          <bgColor rgb="FFFFFF00"/>
        </patternFill>
      </fill>
    </dxf>
    <dxf>
      <font>
        <b/>
        <i val="0"/>
        <strike val="0"/>
        <u val="none"/>
        <color rgb="FF00B0F0"/>
      </font>
      <fill>
        <patternFill patternType="solid">
          <bgColor rgb="FFFFFF00"/>
        </patternFill>
      </fill>
    </dxf>
    <dxf>
      <font>
        <b/>
        <i val="0"/>
        <strike val="0"/>
        <u val="none"/>
        <color theme="0"/>
      </font>
      <fill>
        <patternFill>
          <bgColor rgb="FFFF3399"/>
        </patternFill>
      </fill>
    </dxf>
    <dxf>
      <font>
        <b/>
        <i val="0"/>
        <strike val="0"/>
        <u val="none"/>
        <color theme="0"/>
      </font>
      <fill>
        <patternFill>
          <bgColor rgb="FFFF3399"/>
        </patternFill>
      </fill>
    </dxf>
    <dxf>
      <font>
        <b/>
        <i/>
        <strike val="0"/>
        <u val="none"/>
        <color theme="5" tint="-0.24994659260841701"/>
      </font>
      <fill>
        <patternFill>
          <bgColor rgb="FFFFFF00"/>
        </patternFill>
      </fill>
    </dxf>
    <dxf>
      <font>
        <b/>
        <i/>
        <strike val="0"/>
        <u val="none"/>
        <color rgb="FFFF0000"/>
      </font>
      <fill>
        <patternFill>
          <bgColor rgb="FFFFFF00"/>
        </patternFill>
      </fill>
    </dxf>
    <dxf>
      <font>
        <b/>
        <i val="0"/>
        <strike val="0"/>
        <u val="none"/>
        <color auto="1"/>
      </font>
      <fill>
        <patternFill patternType="solid">
          <bgColor theme="9" tint="0.59996337778862885"/>
        </patternFill>
      </fill>
    </dxf>
    <dxf>
      <font>
        <b/>
        <i/>
        <strike val="0"/>
        <u val="none"/>
        <color auto="1"/>
      </font>
      <fill>
        <patternFill patternType="solid">
          <bgColor rgb="FF00FF00"/>
        </patternFill>
      </fill>
    </dxf>
    <dxf>
      <font>
        <b/>
        <i/>
        <strike val="0"/>
        <u val="none"/>
        <color auto="1"/>
      </font>
      <fill>
        <patternFill patternType="solid">
          <bgColor rgb="FF00FF00"/>
        </patternFill>
      </fill>
    </dxf>
    <dxf>
      <font>
        <b/>
        <i val="0"/>
        <strike val="0"/>
        <u val="none"/>
        <color rgb="FFFF0000"/>
      </font>
      <fill>
        <patternFill>
          <bgColor rgb="FF00B0F0"/>
        </patternFill>
      </fill>
    </dxf>
    <dxf>
      <font>
        <b/>
        <i val="0"/>
        <strike val="0"/>
        <u val="none"/>
        <color rgb="FFFF0000"/>
      </font>
      <fill>
        <patternFill>
          <bgColor rgb="FF00B0F0"/>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rgb="FFFFC000"/>
      </font>
      <fill>
        <patternFill patternType="solid">
          <bgColor theme="7" tint="0.79998168889431442"/>
        </patternFill>
      </fill>
    </dxf>
    <dxf>
      <font>
        <b/>
        <i/>
        <strike val="0"/>
        <u val="none"/>
        <color rgb="FFFFC000"/>
      </font>
      <fill>
        <patternFill patternType="solid">
          <bgColor theme="7" tint="0.79998168889431442"/>
        </patternFill>
      </fill>
    </dxf>
    <dxf>
      <font>
        <b/>
        <i val="0"/>
        <strike val="0"/>
        <u val="none"/>
        <color rgb="FF00B050"/>
      </font>
      <fill>
        <patternFill>
          <bgColor rgb="FFEAF1AB"/>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9966FF"/>
      </font>
      <fill>
        <patternFill>
          <bgColor rgb="FFB1DDEB"/>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00B0F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CC99FF"/>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7" tint="0.39991454817346722"/>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theme="9" tint="-0.2499465926084170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4" tint="0.3999450666829432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rgb="FF7E1389"/>
      </font>
      <fill>
        <patternFill>
          <bgColor rgb="FFFFAFB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rgb="FFEB2403"/>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1" tint="0.49998474074526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0"/>
      </font>
      <fill>
        <patternFill>
          <bgColor theme="5" tint="-0.2499465926084170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0"/>
      </font>
      <fill>
        <patternFill>
          <bgColor rgb="FFF632C7"/>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rgb="FF99FF33"/>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FF0000"/>
      </font>
      <fill>
        <patternFill patternType="solid">
          <bgColor theme="9" tint="0.59996337778862885"/>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7ED882"/>
        </patternFill>
      </fill>
      <border>
        <left style="thin">
          <color theme="0" tint="-0.14996795556505021"/>
        </left>
        <right style="thin">
          <color theme="0" tint="-0.14996795556505021"/>
        </right>
        <top style="thin">
          <color theme="0" tint="-0.14996795556505021"/>
        </top>
        <bottom style="thin">
          <color theme="0" tint="-0.14996795556505021"/>
        </bottom>
      </border>
    </dxf>
    <dxf>
      <font>
        <strike val="0"/>
        <color rgb="FF9C0006"/>
      </font>
      <fill>
        <patternFill>
          <bgColor theme="7" tint="0.39994506668294322"/>
        </patternFill>
      </fill>
    </dxf>
    <dxf>
      <font>
        <b/>
        <i val="0"/>
        <strike val="0"/>
        <u val="none"/>
        <color theme="0"/>
      </font>
      <fill>
        <patternFill patternType="solid">
          <bgColor theme="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FF99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patternType="solid">
          <bgColor rgb="FFFF99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rgb="FF92E7F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FF66CC"/>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0070C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1"/>
      </font>
      <fill>
        <patternFill>
          <bgColor rgb="FFFFFF00"/>
        </patternFill>
      </fill>
      <border>
        <left style="thin">
          <color theme="0" tint="-0.14996795556505021"/>
        </left>
        <right style="thin">
          <color theme="0" tint="-0.14996795556505021"/>
        </right>
        <top style="thin">
          <color theme="0" tint="-0.14996795556505021"/>
        </top>
        <bottom style="thin">
          <color theme="0" tint="-0.14996795556505021"/>
        </bottom>
      </border>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color auto="1"/>
      </font>
      <fill>
        <patternFill>
          <bgColor theme="9"/>
        </patternFill>
      </fill>
      <border>
        <left style="thin">
          <color theme="0" tint="-0.14996795556505021"/>
        </left>
        <right style="thin">
          <color theme="0" tint="-0.14996795556505021"/>
        </right>
        <top style="thin">
          <color theme="0" tint="-0.14996795556505021"/>
        </top>
        <bottom style="thin">
          <color theme="0" tint="-0.14996795556505021"/>
        </bottom>
      </border>
    </dxf>
    <dxf>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FF0000"/>
      </font>
      <fill>
        <patternFill patternType="solid">
          <bgColor theme="9" tint="0.59996337778862885"/>
        </patternFill>
      </fill>
      <border>
        <left style="thin">
          <color theme="0" tint="-0.14996795556505021"/>
        </left>
        <right style="thin">
          <color theme="0" tint="-0.14996795556505021"/>
        </right>
        <top style="thin">
          <color theme="0" tint="-0.14996795556505021"/>
        </top>
        <bottom style="thin">
          <color theme="0" tint="-0.14996795556505021"/>
        </bottom>
      </border>
    </dxf>
    <dxf>
      <font>
        <color auto="1"/>
      </font>
      <fill>
        <patternFill>
          <bgColor theme="9"/>
        </patternFill>
      </fill>
    </dxf>
    <dxf>
      <fill>
        <patternFill>
          <bgColor rgb="FFFF0000"/>
        </patternFill>
      </fill>
    </dxf>
    <dxf>
      <font>
        <b/>
        <i val="0"/>
        <strike val="0"/>
        <u val="none"/>
        <color theme="5" tint="-0.24994659260841701"/>
      </font>
      <fill>
        <patternFill patternType="solid">
          <bgColor rgb="FFFFFF00"/>
        </patternFill>
      </fill>
    </dxf>
    <dxf>
      <font>
        <b/>
        <i val="0"/>
        <strike val="0"/>
        <u val="none"/>
        <color rgb="FFFF0000"/>
      </font>
      <fill>
        <patternFill patternType="solid">
          <bgColor rgb="FFFFFF00"/>
        </patternFill>
      </fill>
    </dxf>
    <dxf>
      <font>
        <b/>
        <i val="0"/>
        <strike val="0"/>
        <u val="none"/>
        <color rgb="FF00B0F0"/>
      </font>
      <fill>
        <patternFill patternType="solid">
          <bgColor rgb="FFFFFF00"/>
        </patternFill>
      </fill>
    </dxf>
    <dxf>
      <font>
        <b/>
        <i val="0"/>
        <strike val="0"/>
        <u val="none"/>
        <color theme="0"/>
      </font>
      <fill>
        <patternFill>
          <bgColor rgb="FFFF3399"/>
        </patternFill>
      </fill>
    </dxf>
    <dxf>
      <font>
        <b/>
        <i val="0"/>
        <strike val="0"/>
        <u val="none"/>
        <color theme="0"/>
      </font>
      <fill>
        <patternFill>
          <bgColor rgb="FFFF3399"/>
        </patternFill>
      </fill>
    </dxf>
    <dxf>
      <font>
        <b/>
        <i/>
        <strike val="0"/>
        <u val="none"/>
        <color theme="5" tint="-0.24994659260841701"/>
      </font>
      <fill>
        <patternFill>
          <bgColor rgb="FFFFFF00"/>
        </patternFill>
      </fill>
    </dxf>
    <dxf>
      <font>
        <b/>
        <i/>
        <strike val="0"/>
        <u val="none"/>
        <color rgb="FFFF0000"/>
      </font>
      <fill>
        <patternFill>
          <bgColor rgb="FFFFFF00"/>
        </patternFill>
      </fill>
    </dxf>
    <dxf>
      <font>
        <b/>
        <i val="0"/>
        <strike val="0"/>
        <u val="none"/>
        <color auto="1"/>
      </font>
      <fill>
        <patternFill patternType="solid">
          <bgColor theme="9" tint="0.59996337778862885"/>
        </patternFill>
      </fill>
    </dxf>
    <dxf>
      <font>
        <b/>
        <i/>
        <strike val="0"/>
        <u val="none"/>
        <color auto="1"/>
      </font>
      <fill>
        <patternFill patternType="solid">
          <bgColor rgb="FF00FF00"/>
        </patternFill>
      </fill>
    </dxf>
    <dxf>
      <font>
        <b/>
        <i/>
        <strike val="0"/>
        <u val="none"/>
        <color auto="1"/>
      </font>
      <fill>
        <patternFill patternType="solid">
          <bgColor rgb="FF00FF00"/>
        </patternFill>
      </fill>
    </dxf>
    <dxf>
      <font>
        <b/>
        <i val="0"/>
        <strike val="0"/>
        <u val="none"/>
        <color rgb="FFFF0000"/>
      </font>
      <fill>
        <patternFill>
          <bgColor rgb="FF00B0F0"/>
        </patternFill>
      </fill>
    </dxf>
    <dxf>
      <font>
        <b/>
        <i val="0"/>
        <strike val="0"/>
        <u val="none"/>
        <color rgb="FFFF0000"/>
      </font>
      <fill>
        <patternFill>
          <bgColor rgb="FF00B0F0"/>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rgb="FFFFC000"/>
      </font>
      <fill>
        <patternFill patternType="solid">
          <bgColor theme="7" tint="0.79998168889431442"/>
        </patternFill>
      </fill>
    </dxf>
    <dxf>
      <font>
        <b/>
        <i/>
        <strike val="0"/>
        <u val="none"/>
        <color rgb="FFFFC000"/>
      </font>
      <fill>
        <patternFill patternType="solid">
          <bgColor theme="7" tint="0.79998168889431442"/>
        </patternFill>
      </fill>
    </dxf>
    <dxf>
      <font>
        <b val="0"/>
        <i/>
        <strike val="0"/>
        <u val="none"/>
        <color rgb="FFFF0000"/>
      </font>
      <fill>
        <patternFill>
          <bgColor theme="8" tint="0.59996337778862885"/>
        </patternFill>
      </fill>
    </dxf>
    <dxf>
      <font>
        <b val="0"/>
        <i/>
        <strike val="0"/>
        <u val="none"/>
        <color rgb="FFFF0000"/>
      </font>
      <fill>
        <patternFill>
          <bgColor theme="8" tint="0.59996337778862885"/>
        </patternFill>
      </fill>
    </dxf>
    <dxf>
      <font>
        <b/>
        <i val="0"/>
        <strike val="0"/>
        <u val="none"/>
        <color theme="0"/>
      </font>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00B0F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CC99FF"/>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7" tint="0.39991454817346722"/>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theme="9" tint="-0.2499465926084170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4" tint="0.3999450666829432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rgb="FF7E1389"/>
      </font>
      <fill>
        <patternFill>
          <bgColor rgb="FFFFAFB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rgb="FFEB2403"/>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1" tint="0.49998474074526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0"/>
      </font>
      <fill>
        <patternFill>
          <bgColor theme="5" tint="-0.2499465926084170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0"/>
      </font>
      <fill>
        <patternFill>
          <bgColor rgb="FFF632C7"/>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rgb="FF99FF33"/>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FF0000"/>
      </font>
      <fill>
        <patternFill patternType="none">
          <bgColor auto="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7ED882"/>
        </patternFill>
      </fill>
      <border>
        <left style="thin">
          <color theme="0" tint="-0.14996795556505021"/>
        </left>
        <right style="thin">
          <color theme="0" tint="-0.14996795556505021"/>
        </right>
        <top style="thin">
          <color theme="0" tint="-0.14996795556505021"/>
        </top>
        <bottom style="thin">
          <color theme="0" tint="-0.14996795556505021"/>
        </bottom>
      </border>
    </dxf>
    <dxf>
      <font>
        <strike val="0"/>
        <color rgb="FF9C0006"/>
      </font>
      <fill>
        <patternFill>
          <bgColor theme="7" tint="0.39994506668294322"/>
        </patternFill>
      </fill>
    </dxf>
    <dxf>
      <font>
        <b/>
        <i val="0"/>
        <strike val="0"/>
        <u val="none"/>
        <color theme="0"/>
      </font>
      <fill>
        <patternFill patternType="solid">
          <bgColor theme="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FF99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patternType="solid">
          <bgColor rgb="FFFF99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rgb="FF92E7F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FF66CC"/>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0070C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1"/>
      </font>
      <fill>
        <patternFill>
          <bgColor rgb="FFFFFF00"/>
        </patternFill>
      </fill>
      <border>
        <left style="thin">
          <color theme="0" tint="-0.14996795556505021"/>
        </left>
        <right style="thin">
          <color theme="0" tint="-0.14996795556505021"/>
        </right>
        <top style="thin">
          <color theme="0" tint="-0.14996795556505021"/>
        </top>
        <bottom style="thin">
          <color theme="0" tint="-0.14996795556505021"/>
        </bottom>
      </border>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val="0"/>
        <u val="double"/>
        <color auto="1"/>
      </font>
      <fill>
        <patternFill patternType="darkTrellis">
          <fgColor theme="5" tint="0.39994506668294322"/>
        </patternFill>
      </fill>
      <border>
        <left style="thin">
          <color auto="1"/>
        </left>
        <right style="thin">
          <color auto="1"/>
        </right>
        <top style="thin">
          <color auto="1"/>
        </top>
        <bottom style="thin">
          <color auto="1"/>
        </bottom>
      </border>
    </dxf>
    <dxf>
      <font>
        <b/>
        <i val="0"/>
        <strike val="0"/>
        <u/>
      </font>
      <fill>
        <patternFill patternType="darkTrellis">
          <fgColor theme="9" tint="0.59996337778862885"/>
          <bgColor auto="1"/>
        </patternFill>
      </fill>
      <border>
        <left style="thin">
          <color auto="1"/>
        </left>
        <right style="thin">
          <color auto="1"/>
        </right>
        <top style="thin">
          <color auto="1"/>
        </top>
        <bottom style="thin">
          <color auto="1"/>
        </bottom>
      </border>
    </dxf>
    <dxf>
      <font>
        <b/>
        <i val="0"/>
        <u val="double"/>
        <color auto="1"/>
      </font>
      <fill>
        <patternFill patternType="darkTrellis">
          <fgColor theme="5" tint="0.39994506668294322"/>
        </patternFill>
      </fill>
      <border>
        <left style="thin">
          <color auto="1"/>
        </left>
        <right style="thin">
          <color auto="1"/>
        </right>
        <top style="thin">
          <color auto="1"/>
        </top>
        <bottom style="thin">
          <color auto="1"/>
        </bottom>
      </border>
    </dxf>
    <dxf>
      <font>
        <b/>
        <i val="0"/>
        <strike val="0"/>
        <u/>
      </font>
      <fill>
        <patternFill patternType="darkTrellis">
          <fgColor theme="9" tint="0.59996337778862885"/>
          <bgColor auto="1"/>
        </patternFill>
      </fill>
      <border>
        <left style="thin">
          <color auto="1"/>
        </left>
        <right style="thin">
          <color auto="1"/>
        </right>
        <top style="thin">
          <color auto="1"/>
        </top>
        <bottom style="thin">
          <color auto="1"/>
        </bottom>
      </border>
    </dxf>
    <dxf>
      <font>
        <b/>
        <i val="0"/>
        <strike val="0"/>
        <u val="none"/>
        <color theme="5" tint="-0.24994659260841701"/>
      </font>
      <fill>
        <patternFill patternType="solid">
          <bgColor rgb="FFFFFF00"/>
        </patternFill>
      </fill>
    </dxf>
    <dxf>
      <font>
        <b/>
        <i val="0"/>
        <strike val="0"/>
        <u val="none"/>
        <color rgb="FFFF0000"/>
      </font>
      <fill>
        <patternFill patternType="solid">
          <bgColor rgb="FFFFFF00"/>
        </patternFill>
      </fill>
    </dxf>
    <dxf>
      <font>
        <b/>
        <i val="0"/>
        <strike val="0"/>
        <u val="none"/>
        <color rgb="FF00B0F0"/>
      </font>
      <fill>
        <patternFill patternType="solid">
          <bgColor rgb="FFFFFF00"/>
        </patternFill>
      </fill>
    </dxf>
    <dxf>
      <font>
        <b/>
        <i val="0"/>
        <strike val="0"/>
        <u val="none"/>
        <color theme="0"/>
      </font>
      <fill>
        <patternFill>
          <bgColor rgb="FFFF3399"/>
        </patternFill>
      </fill>
    </dxf>
    <dxf>
      <font>
        <b/>
        <i val="0"/>
        <strike val="0"/>
        <u val="none"/>
        <color theme="0"/>
      </font>
      <fill>
        <patternFill>
          <bgColor rgb="FFFF3399"/>
        </patternFill>
      </fill>
    </dxf>
    <dxf>
      <font>
        <b/>
        <i/>
        <strike val="0"/>
        <u val="none"/>
        <color theme="5" tint="-0.24994659260841701"/>
      </font>
      <fill>
        <patternFill>
          <bgColor rgb="FFFFFF00"/>
        </patternFill>
      </fill>
    </dxf>
    <dxf>
      <font>
        <b/>
        <i/>
        <strike val="0"/>
        <u val="none"/>
        <color rgb="FFFF0000"/>
      </font>
      <fill>
        <patternFill>
          <bgColor rgb="FFFFFF00"/>
        </patternFill>
      </fill>
    </dxf>
    <dxf>
      <font>
        <b/>
        <i val="0"/>
        <strike val="0"/>
        <u val="none"/>
        <color auto="1"/>
      </font>
      <fill>
        <patternFill patternType="solid">
          <bgColor theme="9" tint="0.59996337778862885"/>
        </patternFill>
      </fill>
    </dxf>
    <dxf>
      <font>
        <b/>
        <i/>
        <strike val="0"/>
        <u val="none"/>
        <color auto="1"/>
      </font>
      <fill>
        <patternFill patternType="solid">
          <bgColor rgb="FF00FF00"/>
        </patternFill>
      </fill>
    </dxf>
    <dxf>
      <font>
        <b/>
        <i/>
        <strike val="0"/>
        <u val="none"/>
        <color auto="1"/>
      </font>
      <fill>
        <patternFill patternType="solid">
          <bgColor rgb="FF00FF00"/>
        </patternFill>
      </fill>
    </dxf>
    <dxf>
      <font>
        <b/>
        <i val="0"/>
        <strike val="0"/>
        <u val="none"/>
        <color rgb="FFFF0000"/>
      </font>
      <fill>
        <patternFill>
          <bgColor rgb="FF00B0F0"/>
        </patternFill>
      </fill>
    </dxf>
    <dxf>
      <font>
        <b/>
        <i val="0"/>
        <strike val="0"/>
        <u val="none"/>
        <color rgb="FFFF0000"/>
      </font>
      <fill>
        <patternFill>
          <bgColor rgb="FF00B0F0"/>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rgb="FFFFC000"/>
      </font>
      <fill>
        <patternFill patternType="solid">
          <bgColor theme="7" tint="0.79998168889431442"/>
        </patternFill>
      </fill>
    </dxf>
    <dxf>
      <font>
        <b/>
        <i/>
        <strike val="0"/>
        <u val="none"/>
        <color rgb="FFFFC000"/>
      </font>
      <fill>
        <patternFill patternType="solid">
          <bgColor theme="7" tint="0.79998168889431442"/>
        </patternFill>
      </fill>
    </dxf>
    <dxf>
      <font>
        <b/>
        <i val="0"/>
        <strike val="0"/>
        <u val="none"/>
        <color rgb="FF00B050"/>
      </font>
      <fill>
        <patternFill>
          <bgColor rgb="FFEAF1AB"/>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9966FF"/>
      </font>
      <fill>
        <patternFill>
          <bgColor rgb="FFB1DDEB"/>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00B0F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CC99FF"/>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7" tint="0.39991454817346722"/>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theme="9" tint="-0.2499465926084170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4" tint="0.3999450666829432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rgb="FF7E1389"/>
      </font>
      <fill>
        <patternFill>
          <bgColor rgb="FFFFAFB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rgb="FFEB2403"/>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1" tint="0.49998474074526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0"/>
      </font>
      <fill>
        <patternFill>
          <bgColor theme="5" tint="-0.2499465926084170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0"/>
      </font>
      <fill>
        <patternFill>
          <bgColor rgb="FFF632C7"/>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rgb="FF99FF33"/>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FF0000"/>
      </font>
      <fill>
        <patternFill patternType="solid">
          <bgColor theme="9" tint="0.59996337778862885"/>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7ED882"/>
        </patternFill>
      </fill>
      <border>
        <left style="thin">
          <color theme="0" tint="-0.14996795556505021"/>
        </left>
        <right style="thin">
          <color theme="0" tint="-0.14996795556505021"/>
        </right>
        <top style="thin">
          <color theme="0" tint="-0.14996795556505021"/>
        </top>
        <bottom style="thin">
          <color theme="0" tint="-0.14996795556505021"/>
        </bottom>
      </border>
    </dxf>
    <dxf>
      <font>
        <strike val="0"/>
        <color rgb="FF9C0006"/>
      </font>
      <fill>
        <patternFill>
          <bgColor theme="7" tint="0.39994506668294322"/>
        </patternFill>
      </fill>
    </dxf>
    <dxf>
      <font>
        <b/>
        <i val="0"/>
        <strike val="0"/>
        <u val="none"/>
        <color theme="0"/>
      </font>
      <fill>
        <patternFill patternType="solid">
          <bgColor theme="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FF99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patternType="solid">
          <bgColor rgb="FFFF99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rgb="FF92E7F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FF66CC"/>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0070C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1"/>
      </font>
      <fill>
        <patternFill>
          <bgColor rgb="FFFFFF00"/>
        </patternFill>
      </fill>
      <border>
        <left style="thin">
          <color theme="0" tint="-0.14996795556505021"/>
        </left>
        <right style="thin">
          <color theme="0" tint="-0.14996795556505021"/>
        </right>
        <top style="thin">
          <color theme="0" tint="-0.14996795556505021"/>
        </top>
        <bottom style="thin">
          <color theme="0" tint="-0.14996795556505021"/>
        </bottom>
      </border>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color auto="1"/>
      </font>
      <fill>
        <patternFill>
          <bgColor theme="9"/>
        </patternFill>
      </fill>
      <border>
        <left style="thin">
          <color theme="0" tint="-0.14996795556505021"/>
        </left>
        <right style="thin">
          <color theme="0" tint="-0.14996795556505021"/>
        </right>
        <top style="thin">
          <color theme="0" tint="-0.14996795556505021"/>
        </top>
        <bottom style="thin">
          <color theme="0" tint="-0.14996795556505021"/>
        </bottom>
      </border>
    </dxf>
    <dxf>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border>
    </dxf>
    <dxf>
      <font>
        <color rgb="FF9C0006"/>
      </font>
      <fill>
        <patternFill>
          <bgColor rgb="FFFFC7CE"/>
        </patternFill>
      </fill>
    </dxf>
    <dxf>
      <font>
        <color rgb="FF002060"/>
      </font>
      <fill>
        <patternFill>
          <bgColor theme="8" tint="0.59996337778862885"/>
        </patternFill>
      </fill>
    </dxf>
    <dxf>
      <font>
        <color rgb="FF9C5700"/>
      </font>
      <fill>
        <patternFill>
          <bgColor rgb="FFFFEB9C"/>
        </patternFill>
      </fill>
    </dxf>
    <dxf>
      <font>
        <color rgb="FF002060"/>
      </font>
      <fill>
        <patternFill>
          <bgColor rgb="FFB1F4FD"/>
        </patternFill>
      </fill>
    </dxf>
    <dxf>
      <font>
        <color rgb="FF002060"/>
      </font>
      <fill>
        <patternFill>
          <bgColor rgb="FFB1F4FD"/>
        </patternFill>
      </fill>
    </dxf>
    <dxf>
      <font>
        <b/>
        <i val="0"/>
        <u val="double"/>
        <color auto="1"/>
      </font>
      <fill>
        <patternFill patternType="darkTrellis">
          <fgColor theme="5" tint="0.39994506668294322"/>
        </patternFill>
      </fill>
      <border>
        <left style="thin">
          <color auto="1"/>
        </left>
        <right style="thin">
          <color auto="1"/>
        </right>
        <top style="thin">
          <color auto="1"/>
        </top>
        <bottom style="thin">
          <color auto="1"/>
        </bottom>
      </border>
    </dxf>
    <dxf>
      <font>
        <b/>
        <i val="0"/>
        <strike val="0"/>
        <u/>
      </font>
      <fill>
        <patternFill patternType="darkTrellis">
          <fgColor theme="9" tint="0.59996337778862885"/>
          <bgColor auto="1"/>
        </patternFill>
      </fill>
      <border>
        <left style="thin">
          <color auto="1"/>
        </left>
        <right style="thin">
          <color auto="1"/>
        </right>
        <top style="thin">
          <color auto="1"/>
        </top>
        <bottom style="thin">
          <color auto="1"/>
        </bottom>
      </border>
    </dxf>
    <dxf>
      <font>
        <b/>
        <i val="0"/>
        <strike val="0"/>
        <u val="none"/>
        <color theme="5" tint="-0.24994659260841701"/>
      </font>
      <fill>
        <patternFill patternType="solid">
          <bgColor rgb="FFFFFF00"/>
        </patternFill>
      </fill>
    </dxf>
    <dxf>
      <font>
        <b/>
        <i val="0"/>
        <strike val="0"/>
        <u val="none"/>
        <color rgb="FFFF0000"/>
      </font>
      <fill>
        <patternFill patternType="solid">
          <bgColor rgb="FFFFFF00"/>
        </patternFill>
      </fill>
    </dxf>
    <dxf>
      <font>
        <b/>
        <i val="0"/>
        <strike val="0"/>
        <u val="none"/>
        <color rgb="FF00B0F0"/>
      </font>
      <fill>
        <patternFill patternType="solid">
          <bgColor rgb="FFFFFF00"/>
        </patternFill>
      </fill>
    </dxf>
    <dxf>
      <font>
        <b/>
        <i val="0"/>
        <strike val="0"/>
        <u val="none"/>
        <color theme="0"/>
      </font>
      <fill>
        <patternFill>
          <bgColor rgb="FFFF3399"/>
        </patternFill>
      </fill>
    </dxf>
    <dxf>
      <font>
        <b/>
        <i val="0"/>
        <strike val="0"/>
        <u val="none"/>
        <color theme="0"/>
      </font>
      <fill>
        <patternFill>
          <bgColor rgb="FFFF3399"/>
        </patternFill>
      </fill>
    </dxf>
    <dxf>
      <font>
        <b/>
        <i/>
        <strike val="0"/>
        <u val="none"/>
        <color theme="5" tint="-0.24994659260841701"/>
      </font>
      <fill>
        <patternFill>
          <bgColor rgb="FFFFFF00"/>
        </patternFill>
      </fill>
    </dxf>
    <dxf>
      <font>
        <b/>
        <i/>
        <strike val="0"/>
        <u val="none"/>
        <color rgb="FFFF0000"/>
      </font>
      <fill>
        <patternFill>
          <bgColor rgb="FFFFFF00"/>
        </patternFill>
      </fill>
    </dxf>
    <dxf>
      <font>
        <b/>
        <i val="0"/>
        <strike val="0"/>
        <u val="none"/>
        <color auto="1"/>
      </font>
      <fill>
        <patternFill patternType="solid">
          <bgColor theme="9" tint="0.59996337778862885"/>
        </patternFill>
      </fill>
    </dxf>
    <dxf>
      <font>
        <b/>
        <i/>
        <strike val="0"/>
        <u val="none"/>
        <color auto="1"/>
      </font>
      <fill>
        <patternFill patternType="solid">
          <bgColor rgb="FF00FF00"/>
        </patternFill>
      </fill>
    </dxf>
    <dxf>
      <font>
        <b/>
        <i/>
        <strike val="0"/>
        <u val="none"/>
        <color auto="1"/>
      </font>
      <fill>
        <patternFill patternType="solid">
          <bgColor rgb="FF00FF00"/>
        </patternFill>
      </fill>
    </dxf>
    <dxf>
      <font>
        <b/>
        <i val="0"/>
        <strike val="0"/>
        <u val="none"/>
        <color rgb="FFFF0000"/>
      </font>
      <fill>
        <patternFill>
          <bgColor rgb="FF00B0F0"/>
        </patternFill>
      </fill>
    </dxf>
    <dxf>
      <font>
        <b/>
        <i val="0"/>
        <strike val="0"/>
        <u val="none"/>
        <color rgb="FFFF0000"/>
      </font>
      <fill>
        <patternFill>
          <bgColor rgb="FF00B0F0"/>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rgb="FFFFC000"/>
      </font>
      <fill>
        <patternFill patternType="solid">
          <bgColor theme="7" tint="0.79998168889431442"/>
        </patternFill>
      </fill>
    </dxf>
    <dxf>
      <font>
        <b/>
        <i/>
        <strike val="0"/>
        <u val="none"/>
        <color rgb="FFFFC000"/>
      </font>
      <fill>
        <patternFill patternType="solid">
          <bgColor theme="7" tint="0.79998168889431442"/>
        </patternFill>
      </fill>
    </dxf>
    <dxf>
      <font>
        <b/>
        <i val="0"/>
        <strike val="0"/>
        <u val="none"/>
        <color rgb="FF00B050"/>
      </font>
      <fill>
        <patternFill>
          <bgColor rgb="FFEAF1AB"/>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9966FF"/>
      </font>
      <fill>
        <patternFill>
          <bgColor rgb="FFB1DDEB"/>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00B0F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CC99FF"/>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7" tint="0.39991454817346722"/>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theme="9" tint="-0.2499465926084170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4" tint="0.3999450666829432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rgb="FF7E1389"/>
      </font>
      <fill>
        <patternFill>
          <bgColor rgb="FFFFAFB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rgb="FFEB2403"/>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1" tint="0.49998474074526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0"/>
      </font>
      <fill>
        <patternFill>
          <bgColor theme="5" tint="-0.2499465926084170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0"/>
      </font>
      <fill>
        <patternFill>
          <bgColor rgb="FFF632C7"/>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rgb="FF99FF33"/>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FF0000"/>
      </font>
      <fill>
        <patternFill patternType="solid">
          <bgColor theme="9" tint="0.59996337778862885"/>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7ED882"/>
        </patternFill>
      </fill>
      <border>
        <left style="thin">
          <color theme="0" tint="-0.14996795556505021"/>
        </left>
        <right style="thin">
          <color theme="0" tint="-0.14996795556505021"/>
        </right>
        <top style="thin">
          <color theme="0" tint="-0.14996795556505021"/>
        </top>
        <bottom style="thin">
          <color theme="0" tint="-0.14996795556505021"/>
        </bottom>
      </border>
    </dxf>
    <dxf>
      <font>
        <strike val="0"/>
        <color rgb="FF9C0006"/>
      </font>
      <fill>
        <patternFill>
          <bgColor theme="7" tint="0.39994506668294322"/>
        </patternFill>
      </fill>
    </dxf>
    <dxf>
      <font>
        <b/>
        <i val="0"/>
        <strike val="0"/>
        <u val="none"/>
        <color theme="0"/>
      </font>
      <fill>
        <patternFill patternType="solid">
          <bgColor theme="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FF99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patternType="solid">
          <bgColor rgb="FFFF99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rgb="FF92E7F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FF66CC"/>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0070C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1"/>
      </font>
      <fill>
        <patternFill>
          <bgColor rgb="FFFFFF00"/>
        </patternFill>
      </fill>
      <border>
        <left style="thin">
          <color theme="0" tint="-0.14996795556505021"/>
        </left>
        <right style="thin">
          <color theme="0" tint="-0.14996795556505021"/>
        </right>
        <top style="thin">
          <color theme="0" tint="-0.14996795556505021"/>
        </top>
        <bottom style="thin">
          <color theme="0" tint="-0.14996795556505021"/>
        </bottom>
      </border>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color auto="1"/>
      </font>
      <fill>
        <patternFill>
          <bgColor theme="9"/>
        </patternFill>
      </fill>
      <border>
        <left style="thin">
          <color theme="0" tint="-0.14996795556505021"/>
        </left>
        <right style="thin">
          <color theme="0" tint="-0.14996795556505021"/>
        </right>
        <top style="thin">
          <color theme="0" tint="-0.14996795556505021"/>
        </top>
        <bottom style="thin">
          <color theme="0" tint="-0.14996795556505021"/>
        </bottom>
      </border>
    </dxf>
    <dxf>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border>
    </dxf>
    <dxf>
      <font>
        <color rgb="FF9C0006"/>
      </font>
      <fill>
        <patternFill>
          <bgColor rgb="FFFFC7CE"/>
        </patternFill>
      </fill>
    </dxf>
    <dxf>
      <font>
        <color rgb="FF002060"/>
      </font>
      <fill>
        <patternFill>
          <bgColor theme="8" tint="0.59996337778862885"/>
        </patternFill>
      </fill>
    </dxf>
    <dxf>
      <font>
        <color rgb="FF9C5700"/>
      </font>
      <fill>
        <patternFill>
          <bgColor rgb="FFFFEB9C"/>
        </patternFill>
      </fill>
    </dxf>
    <dxf>
      <font>
        <color rgb="FF002060"/>
      </font>
      <fill>
        <patternFill>
          <bgColor rgb="FFB1F4FD"/>
        </patternFill>
      </fill>
    </dxf>
    <dxf>
      <font>
        <color rgb="FF002060"/>
      </font>
      <fill>
        <patternFill>
          <bgColor rgb="FFB1F4FD"/>
        </patternFill>
      </fill>
    </dxf>
    <dxf>
      <font>
        <b/>
        <i val="0"/>
        <strike val="0"/>
        <u val="none"/>
        <color theme="5" tint="-0.24994659260841701"/>
      </font>
      <fill>
        <patternFill patternType="solid">
          <bgColor rgb="FFFFFF00"/>
        </patternFill>
      </fill>
    </dxf>
    <dxf>
      <font>
        <b/>
        <i val="0"/>
        <strike val="0"/>
        <u val="none"/>
        <color rgb="FFFF0000"/>
      </font>
      <fill>
        <patternFill patternType="solid">
          <bgColor rgb="FFFFFF00"/>
        </patternFill>
      </fill>
    </dxf>
    <dxf>
      <font>
        <b/>
        <i val="0"/>
        <strike val="0"/>
        <u val="none"/>
        <color rgb="FF00B0F0"/>
      </font>
      <fill>
        <patternFill patternType="solid">
          <bgColor rgb="FFFFFF00"/>
        </patternFill>
      </fill>
    </dxf>
    <dxf>
      <font>
        <b/>
        <i val="0"/>
        <strike val="0"/>
        <u val="none"/>
        <color theme="0"/>
      </font>
      <fill>
        <patternFill>
          <bgColor rgb="FFFF3399"/>
        </patternFill>
      </fill>
    </dxf>
    <dxf>
      <font>
        <b/>
        <i val="0"/>
        <strike val="0"/>
        <u val="none"/>
        <color theme="0"/>
      </font>
      <fill>
        <patternFill>
          <bgColor rgb="FFFF3399"/>
        </patternFill>
      </fill>
    </dxf>
    <dxf>
      <font>
        <b/>
        <i/>
        <strike val="0"/>
        <u val="none"/>
        <color theme="5" tint="-0.24994659260841701"/>
      </font>
      <fill>
        <patternFill>
          <bgColor rgb="FFFFFF00"/>
        </patternFill>
      </fill>
    </dxf>
    <dxf>
      <font>
        <b/>
        <i/>
        <strike val="0"/>
        <u val="none"/>
        <color rgb="FFFF0000"/>
      </font>
      <fill>
        <patternFill>
          <bgColor rgb="FFFFFF00"/>
        </patternFill>
      </fill>
    </dxf>
    <dxf>
      <font>
        <b/>
        <i val="0"/>
        <strike val="0"/>
        <u val="none"/>
        <color auto="1"/>
      </font>
      <fill>
        <patternFill patternType="solid">
          <bgColor theme="9" tint="0.59996337778862885"/>
        </patternFill>
      </fill>
    </dxf>
    <dxf>
      <font>
        <b/>
        <i/>
        <strike val="0"/>
        <u val="none"/>
        <color auto="1"/>
      </font>
      <fill>
        <patternFill patternType="solid">
          <bgColor rgb="FF00FF00"/>
        </patternFill>
      </fill>
    </dxf>
    <dxf>
      <font>
        <b/>
        <i/>
        <strike val="0"/>
        <u val="none"/>
        <color auto="1"/>
      </font>
      <fill>
        <patternFill patternType="solid">
          <bgColor rgb="FF00FF00"/>
        </patternFill>
      </fill>
    </dxf>
    <dxf>
      <font>
        <b/>
        <i val="0"/>
        <strike val="0"/>
        <u val="none"/>
        <color rgb="FFFF0000"/>
      </font>
      <fill>
        <patternFill>
          <bgColor rgb="FF00B0F0"/>
        </patternFill>
      </fill>
    </dxf>
    <dxf>
      <font>
        <b/>
        <i val="0"/>
        <strike val="0"/>
        <u val="none"/>
        <color rgb="FFFF0000"/>
      </font>
      <fill>
        <patternFill>
          <bgColor rgb="FF00B0F0"/>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rgb="FFFFC000"/>
      </font>
      <fill>
        <patternFill patternType="solid">
          <bgColor theme="7" tint="0.79998168889431442"/>
        </patternFill>
      </fill>
    </dxf>
    <dxf>
      <font>
        <b/>
        <i/>
        <strike val="0"/>
        <u val="none"/>
        <color rgb="FFFFC000"/>
      </font>
      <fill>
        <patternFill patternType="solid">
          <bgColor theme="7" tint="0.79998168889431442"/>
        </patternFill>
      </fill>
    </dxf>
    <dxf>
      <font>
        <b/>
        <i val="0"/>
        <strike val="0"/>
        <u val="none"/>
        <color rgb="FF00B050"/>
      </font>
      <fill>
        <patternFill>
          <bgColor rgb="FFEAF1AB"/>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9966FF"/>
      </font>
      <fill>
        <patternFill>
          <bgColor rgb="FFB1DDEB"/>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00B0F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CC99FF"/>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7" tint="0.39991454817346722"/>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theme="9" tint="-0.2499465926084170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4" tint="0.3999450666829432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rgb="FF7E1389"/>
      </font>
      <fill>
        <patternFill>
          <bgColor rgb="FFFFAFB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rgb="FFEB2403"/>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1" tint="0.49998474074526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0"/>
      </font>
      <fill>
        <patternFill>
          <bgColor theme="5" tint="-0.2499465926084170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0"/>
      </font>
      <fill>
        <patternFill>
          <bgColor rgb="FFF632C7"/>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rgb="FF99FF33"/>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FF0000"/>
      </font>
      <fill>
        <patternFill patternType="solid">
          <bgColor theme="9" tint="0.59996337778862885"/>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7ED882"/>
        </patternFill>
      </fill>
      <border>
        <left style="thin">
          <color theme="0" tint="-0.14996795556505021"/>
        </left>
        <right style="thin">
          <color theme="0" tint="-0.14996795556505021"/>
        </right>
        <top style="thin">
          <color theme="0" tint="-0.14996795556505021"/>
        </top>
        <bottom style="thin">
          <color theme="0" tint="-0.14996795556505021"/>
        </bottom>
      </border>
    </dxf>
    <dxf>
      <font>
        <strike val="0"/>
        <color rgb="FF9C0006"/>
      </font>
      <fill>
        <patternFill>
          <bgColor theme="7" tint="0.39994506668294322"/>
        </patternFill>
      </fill>
    </dxf>
    <dxf>
      <font>
        <b/>
        <i val="0"/>
        <strike val="0"/>
        <u val="none"/>
        <color theme="0"/>
      </font>
      <fill>
        <patternFill patternType="solid">
          <bgColor theme="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FF99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patternType="solid">
          <bgColor rgb="FFFF99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rgb="FF92E7F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FF66CC"/>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0070C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1"/>
      </font>
      <fill>
        <patternFill>
          <bgColor rgb="FFFFFF00"/>
        </patternFill>
      </fill>
      <border>
        <left style="thin">
          <color theme="0" tint="-0.14996795556505021"/>
        </left>
        <right style="thin">
          <color theme="0" tint="-0.14996795556505021"/>
        </right>
        <top style="thin">
          <color theme="0" tint="-0.14996795556505021"/>
        </top>
        <bottom style="thin">
          <color theme="0" tint="-0.14996795556505021"/>
        </bottom>
      </border>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color auto="1"/>
      </font>
      <fill>
        <patternFill>
          <bgColor theme="9"/>
        </patternFill>
      </fill>
      <border>
        <left style="thin">
          <color theme="0" tint="-0.14996795556505021"/>
        </left>
        <right style="thin">
          <color theme="0" tint="-0.14996795556505021"/>
        </right>
        <top style="thin">
          <color theme="0" tint="-0.14996795556505021"/>
        </top>
        <bottom style="thin">
          <color theme="0" tint="-0.14996795556505021"/>
        </bottom>
      </border>
    </dxf>
    <dxf>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5" tint="-0.24994659260841701"/>
      </font>
      <fill>
        <patternFill patternType="solid">
          <bgColor rgb="FFFFFF00"/>
        </patternFill>
      </fill>
    </dxf>
    <dxf>
      <font>
        <b/>
        <i val="0"/>
        <strike val="0"/>
        <u val="none"/>
        <color rgb="FFFF0000"/>
      </font>
      <fill>
        <patternFill patternType="solid">
          <bgColor rgb="FFFFFF00"/>
        </patternFill>
      </fill>
    </dxf>
    <dxf>
      <font>
        <b/>
        <i val="0"/>
        <strike val="0"/>
        <u val="none"/>
        <color rgb="FF00B0F0"/>
      </font>
      <fill>
        <patternFill patternType="solid">
          <bgColor rgb="FFFFFF00"/>
        </patternFill>
      </fill>
    </dxf>
    <dxf>
      <font>
        <b/>
        <i val="0"/>
        <strike val="0"/>
        <u val="none"/>
        <color theme="0"/>
      </font>
      <fill>
        <patternFill>
          <bgColor rgb="FFFF3399"/>
        </patternFill>
      </fill>
    </dxf>
    <dxf>
      <font>
        <b/>
        <i val="0"/>
        <strike val="0"/>
        <u val="none"/>
        <color theme="0"/>
      </font>
      <fill>
        <patternFill>
          <bgColor rgb="FFFF3399"/>
        </patternFill>
      </fill>
    </dxf>
    <dxf>
      <font>
        <b/>
        <i/>
        <strike val="0"/>
        <u val="none"/>
        <color theme="5" tint="-0.24994659260841701"/>
      </font>
      <fill>
        <patternFill>
          <bgColor rgb="FFFFFF00"/>
        </patternFill>
      </fill>
    </dxf>
    <dxf>
      <font>
        <b/>
        <i/>
        <strike val="0"/>
        <u val="none"/>
        <color rgb="FFFF0000"/>
      </font>
      <fill>
        <patternFill>
          <bgColor rgb="FFFFFF00"/>
        </patternFill>
      </fill>
    </dxf>
    <dxf>
      <font>
        <b/>
        <i val="0"/>
        <strike val="0"/>
        <u val="none"/>
        <color auto="1"/>
      </font>
      <fill>
        <patternFill patternType="solid">
          <bgColor theme="9" tint="0.59996337778862885"/>
        </patternFill>
      </fill>
    </dxf>
    <dxf>
      <font>
        <b/>
        <i/>
        <strike val="0"/>
        <u val="none"/>
        <color auto="1"/>
      </font>
      <fill>
        <patternFill patternType="solid">
          <bgColor rgb="FF00FF00"/>
        </patternFill>
      </fill>
    </dxf>
    <dxf>
      <font>
        <b/>
        <i/>
        <strike val="0"/>
        <u val="none"/>
        <color auto="1"/>
      </font>
      <fill>
        <patternFill patternType="solid">
          <bgColor rgb="FF00FF00"/>
        </patternFill>
      </fill>
    </dxf>
    <dxf>
      <font>
        <b/>
        <i val="0"/>
        <strike val="0"/>
        <u val="none"/>
        <color rgb="FFFF0000"/>
      </font>
      <fill>
        <patternFill>
          <bgColor rgb="FF00B0F0"/>
        </patternFill>
      </fill>
    </dxf>
    <dxf>
      <font>
        <b/>
        <i val="0"/>
        <strike val="0"/>
        <u val="none"/>
        <color rgb="FFFF0000"/>
      </font>
      <fill>
        <patternFill>
          <bgColor rgb="FF00B0F0"/>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rgb="FFFFC000"/>
      </font>
      <fill>
        <patternFill patternType="solid">
          <bgColor theme="7" tint="0.79998168889431442"/>
        </patternFill>
      </fill>
    </dxf>
    <dxf>
      <font>
        <b/>
        <i/>
        <strike val="0"/>
        <u val="none"/>
        <color rgb="FFFFC000"/>
      </font>
      <fill>
        <patternFill patternType="solid">
          <bgColor theme="7" tint="0.79998168889431442"/>
        </patternFill>
      </fill>
    </dxf>
    <dxf>
      <font>
        <b val="0"/>
        <i/>
        <strike val="0"/>
        <u val="none"/>
        <color rgb="FFFF0000"/>
      </font>
      <fill>
        <patternFill>
          <bgColor theme="8" tint="0.59996337778862885"/>
        </patternFill>
      </fill>
    </dxf>
    <dxf>
      <font>
        <b val="0"/>
        <i/>
        <strike val="0"/>
        <u val="none"/>
        <color rgb="FFFF0000"/>
      </font>
      <fill>
        <patternFill>
          <bgColor theme="8" tint="0.59996337778862885"/>
        </patternFill>
      </fill>
    </dxf>
    <dxf>
      <font>
        <b/>
        <i val="0"/>
        <strike val="0"/>
        <u val="none"/>
        <color theme="0"/>
      </font>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00B0F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CC99FF"/>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7" tint="0.39991454817346722"/>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theme="9" tint="-0.2499465926084170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4" tint="0.3999450666829432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rgb="FF7E1389"/>
      </font>
      <fill>
        <patternFill>
          <bgColor rgb="FFFFAFB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rgb="FFEB2403"/>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1" tint="0.49998474074526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0"/>
      </font>
      <fill>
        <patternFill>
          <bgColor theme="5" tint="-0.2499465926084170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0"/>
      </font>
      <fill>
        <patternFill>
          <bgColor rgb="FFF632C7"/>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rgb="FF99FF33"/>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FF0000"/>
      </font>
      <fill>
        <patternFill patternType="solid">
          <bgColor theme="9" tint="0.59996337778862885"/>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7ED882"/>
        </patternFill>
      </fill>
      <border>
        <left style="thin">
          <color theme="0" tint="-0.14996795556505021"/>
        </left>
        <right style="thin">
          <color theme="0" tint="-0.14996795556505021"/>
        </right>
        <top style="thin">
          <color theme="0" tint="-0.14996795556505021"/>
        </top>
        <bottom style="thin">
          <color theme="0" tint="-0.14996795556505021"/>
        </bottom>
      </border>
    </dxf>
    <dxf>
      <font>
        <strike val="0"/>
        <color rgb="FF9C0006"/>
      </font>
      <fill>
        <patternFill>
          <bgColor theme="7" tint="0.39994506668294322"/>
        </patternFill>
      </fill>
    </dxf>
    <dxf>
      <font>
        <b/>
        <i val="0"/>
        <strike val="0"/>
        <u val="none"/>
        <color theme="0"/>
      </font>
      <fill>
        <patternFill patternType="solid">
          <bgColor theme="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FF99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patternType="solid">
          <bgColor rgb="FFFF99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rgb="FF92E7F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FF66CC"/>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0070C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1"/>
      </font>
      <fill>
        <patternFill>
          <bgColor rgb="FFFFFF00"/>
        </patternFill>
      </fill>
      <border>
        <left style="thin">
          <color theme="0" tint="-0.14996795556505021"/>
        </left>
        <right style="thin">
          <color theme="0" tint="-0.14996795556505021"/>
        </right>
        <top style="thin">
          <color theme="0" tint="-0.14996795556505021"/>
        </top>
        <bottom style="thin">
          <color theme="0" tint="-0.14996795556505021"/>
        </bottom>
      </border>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color auto="1"/>
      </font>
      <fill>
        <patternFill>
          <bgColor theme="9"/>
        </patternFill>
      </fill>
      <border>
        <left style="thin">
          <color theme="0" tint="-0.14996795556505021"/>
        </left>
        <right style="thin">
          <color theme="0" tint="-0.14996795556505021"/>
        </right>
        <top style="thin">
          <color theme="0" tint="-0.14996795556505021"/>
        </top>
        <bottom style="thin">
          <color theme="0" tint="-0.14996795556505021"/>
        </bottom>
      </border>
    </dxf>
    <dxf>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u val="double"/>
        <color auto="1"/>
      </font>
      <fill>
        <patternFill patternType="darkTrellis">
          <fgColor theme="5" tint="0.39994506668294322"/>
        </patternFill>
      </fill>
      <border>
        <left style="thin">
          <color auto="1"/>
        </left>
        <right style="thin">
          <color auto="1"/>
        </right>
        <top style="thin">
          <color auto="1"/>
        </top>
        <bottom style="thin">
          <color auto="1"/>
        </bottom>
      </border>
    </dxf>
    <dxf>
      <font>
        <b/>
        <i val="0"/>
        <strike val="0"/>
        <u/>
      </font>
      <fill>
        <patternFill patternType="darkTrellis">
          <fgColor theme="9" tint="0.59996337778862885"/>
          <bgColor auto="1"/>
        </patternFill>
      </fill>
      <border>
        <left style="thin">
          <color auto="1"/>
        </left>
        <right style="thin">
          <color auto="1"/>
        </right>
        <top style="thin">
          <color auto="1"/>
        </top>
        <bottom style="thin">
          <color auto="1"/>
        </bottom>
      </border>
    </dxf>
    <dxf>
      <font>
        <b/>
        <i val="0"/>
        <strike val="0"/>
        <u val="none"/>
        <color theme="5" tint="-0.24994659260841701"/>
      </font>
      <fill>
        <patternFill patternType="solid">
          <bgColor rgb="FFFFFF00"/>
        </patternFill>
      </fill>
    </dxf>
    <dxf>
      <font>
        <b/>
        <i val="0"/>
        <strike val="0"/>
        <u val="none"/>
        <color rgb="FFFF0000"/>
      </font>
      <fill>
        <patternFill patternType="solid">
          <bgColor rgb="FFFFFF00"/>
        </patternFill>
      </fill>
    </dxf>
    <dxf>
      <font>
        <b/>
        <i val="0"/>
        <strike val="0"/>
        <u val="none"/>
        <color rgb="FF00B0F0"/>
      </font>
      <fill>
        <patternFill patternType="solid">
          <bgColor rgb="FFFFFF00"/>
        </patternFill>
      </fill>
    </dxf>
    <dxf>
      <font>
        <b/>
        <i val="0"/>
        <strike val="0"/>
        <u val="none"/>
        <color theme="0"/>
      </font>
      <fill>
        <patternFill>
          <bgColor rgb="FFFF3399"/>
        </patternFill>
      </fill>
    </dxf>
    <dxf>
      <font>
        <b/>
        <i val="0"/>
        <strike val="0"/>
        <u val="none"/>
        <color theme="0"/>
      </font>
      <fill>
        <patternFill>
          <bgColor rgb="FFFF3399"/>
        </patternFill>
      </fill>
    </dxf>
    <dxf>
      <font>
        <b/>
        <i/>
        <strike val="0"/>
        <u val="none"/>
        <color theme="5" tint="-0.24994659260841701"/>
      </font>
      <fill>
        <patternFill>
          <bgColor rgb="FFFFFF00"/>
        </patternFill>
      </fill>
    </dxf>
    <dxf>
      <font>
        <b/>
        <i/>
        <strike val="0"/>
        <u val="none"/>
        <color rgb="FFFF0000"/>
      </font>
      <fill>
        <patternFill>
          <bgColor rgb="FFFFFF00"/>
        </patternFill>
      </fill>
    </dxf>
    <dxf>
      <font>
        <b/>
        <i val="0"/>
        <strike val="0"/>
        <u val="none"/>
        <color auto="1"/>
      </font>
      <fill>
        <patternFill patternType="solid">
          <bgColor theme="9" tint="0.59996337778862885"/>
        </patternFill>
      </fill>
    </dxf>
    <dxf>
      <font>
        <b/>
        <i/>
        <strike val="0"/>
        <u val="none"/>
        <color auto="1"/>
      </font>
      <fill>
        <patternFill patternType="solid">
          <bgColor rgb="FF00FF00"/>
        </patternFill>
      </fill>
    </dxf>
    <dxf>
      <font>
        <b/>
        <i/>
        <strike val="0"/>
        <u val="none"/>
        <color auto="1"/>
      </font>
      <fill>
        <patternFill patternType="solid">
          <bgColor rgb="FF00FF00"/>
        </patternFill>
      </fill>
    </dxf>
    <dxf>
      <font>
        <b/>
        <i val="0"/>
        <strike val="0"/>
        <u val="none"/>
        <color rgb="FFFF0000"/>
      </font>
      <fill>
        <patternFill>
          <bgColor rgb="FF00B0F0"/>
        </patternFill>
      </fill>
    </dxf>
    <dxf>
      <font>
        <b/>
        <i val="0"/>
        <strike val="0"/>
        <u val="none"/>
        <color rgb="FFFF0000"/>
      </font>
      <fill>
        <patternFill>
          <bgColor rgb="FF00B0F0"/>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rgb="FFFFC000"/>
      </font>
      <fill>
        <patternFill patternType="solid">
          <bgColor theme="7" tint="0.79998168889431442"/>
        </patternFill>
      </fill>
    </dxf>
    <dxf>
      <font>
        <b/>
        <i/>
        <strike val="0"/>
        <u val="none"/>
        <color rgb="FFFFC000"/>
      </font>
      <fill>
        <patternFill patternType="solid">
          <bgColor theme="7" tint="0.79998168889431442"/>
        </patternFill>
      </fill>
    </dxf>
    <dxf>
      <font>
        <b val="0"/>
        <i/>
        <strike val="0"/>
        <u val="none"/>
        <color rgb="FFFF0000"/>
      </font>
      <fill>
        <patternFill>
          <bgColor theme="8" tint="0.59996337778862885"/>
        </patternFill>
      </fill>
    </dxf>
    <dxf>
      <font>
        <b val="0"/>
        <i/>
        <strike val="0"/>
        <u val="none"/>
        <color rgb="FFFF0000"/>
      </font>
      <fill>
        <patternFill>
          <bgColor theme="8" tint="0.59996337778862885"/>
        </patternFill>
      </fill>
    </dxf>
    <dxf>
      <font>
        <b/>
        <i val="0"/>
        <strike val="0"/>
        <u val="none"/>
        <color theme="0"/>
      </font>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00B0F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CC99FF"/>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7" tint="0.39991454817346722"/>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theme="9" tint="-0.2499465926084170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4" tint="0.3999450666829432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rgb="FF7E1389"/>
      </font>
      <fill>
        <patternFill>
          <bgColor rgb="FFFFAFB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rgb="FFEB2403"/>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1" tint="0.49998474074526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0"/>
      </font>
      <fill>
        <patternFill>
          <bgColor theme="5" tint="-0.2499465926084170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0"/>
      </font>
      <fill>
        <patternFill>
          <bgColor rgb="FFF632C7"/>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rgb="FF99FF33"/>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FF0000"/>
      </font>
      <fill>
        <patternFill patternType="none">
          <bgColor auto="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7ED882"/>
        </patternFill>
      </fill>
      <border>
        <left style="thin">
          <color theme="0" tint="-0.14996795556505021"/>
        </left>
        <right style="thin">
          <color theme="0" tint="-0.14996795556505021"/>
        </right>
        <top style="thin">
          <color theme="0" tint="-0.14996795556505021"/>
        </top>
        <bottom style="thin">
          <color theme="0" tint="-0.14996795556505021"/>
        </bottom>
      </border>
    </dxf>
    <dxf>
      <font>
        <strike val="0"/>
        <color rgb="FF9C0006"/>
      </font>
      <fill>
        <patternFill>
          <bgColor theme="7" tint="0.39994506668294322"/>
        </patternFill>
      </fill>
    </dxf>
    <dxf>
      <font>
        <b/>
        <i val="0"/>
        <strike val="0"/>
        <u val="none"/>
        <color theme="0"/>
      </font>
      <fill>
        <patternFill patternType="solid">
          <bgColor theme="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FF99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patternType="solid">
          <bgColor rgb="FFFF99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rgb="FF92E7F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FF66CC"/>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0070C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1"/>
      </font>
      <fill>
        <patternFill>
          <bgColor rgb="FFFFFF00"/>
        </patternFill>
      </fill>
      <border>
        <left style="thin">
          <color theme="0" tint="-0.14996795556505021"/>
        </left>
        <right style="thin">
          <color theme="0" tint="-0.14996795556505021"/>
        </right>
        <top style="thin">
          <color theme="0" tint="-0.14996795556505021"/>
        </top>
        <bottom style="thin">
          <color theme="0" tint="-0.14996795556505021"/>
        </bottom>
      </border>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color rgb="FF9C0006"/>
      </font>
      <fill>
        <patternFill>
          <bgColor rgb="FFFFC7CE"/>
        </patternFill>
      </fill>
    </dxf>
    <dxf>
      <font>
        <color rgb="FF002060"/>
      </font>
      <fill>
        <patternFill>
          <bgColor theme="8" tint="0.59996337778862885"/>
        </patternFill>
      </fill>
    </dxf>
    <dxf>
      <font>
        <color rgb="FF9C5700"/>
      </font>
      <fill>
        <patternFill>
          <bgColor rgb="FFFFEB9C"/>
        </patternFill>
      </fill>
    </dxf>
    <dxf>
      <font>
        <color rgb="FF002060"/>
      </font>
      <fill>
        <patternFill>
          <bgColor rgb="FFB1F4FD"/>
        </patternFill>
      </fill>
    </dxf>
    <dxf>
      <font>
        <color rgb="FF002060"/>
      </font>
      <fill>
        <patternFill>
          <bgColor rgb="FFB1F4FD"/>
        </patternFill>
      </fill>
    </dxf>
    <dxf>
      <font>
        <b/>
        <i val="0"/>
        <strike val="0"/>
        <u val="none"/>
        <color theme="5" tint="-0.24994659260841701"/>
      </font>
      <fill>
        <patternFill patternType="solid">
          <bgColor rgb="FFFFFF00"/>
        </patternFill>
      </fill>
    </dxf>
    <dxf>
      <font>
        <b/>
        <i val="0"/>
        <strike val="0"/>
        <u val="none"/>
        <color rgb="FFFF0000"/>
      </font>
      <fill>
        <patternFill patternType="solid">
          <bgColor rgb="FFFFFF00"/>
        </patternFill>
      </fill>
    </dxf>
    <dxf>
      <font>
        <b/>
        <i val="0"/>
        <strike val="0"/>
        <u val="none"/>
        <color rgb="FF00B0F0"/>
      </font>
      <fill>
        <patternFill patternType="solid">
          <bgColor rgb="FFFFFF00"/>
        </patternFill>
      </fill>
    </dxf>
    <dxf>
      <font>
        <b/>
        <i val="0"/>
        <strike val="0"/>
        <u val="none"/>
        <color theme="0"/>
      </font>
      <fill>
        <patternFill>
          <bgColor rgb="FFFF3399"/>
        </patternFill>
      </fill>
    </dxf>
    <dxf>
      <font>
        <b/>
        <i val="0"/>
        <strike val="0"/>
        <u val="none"/>
        <color theme="0"/>
      </font>
      <fill>
        <patternFill>
          <bgColor rgb="FFFF3399"/>
        </patternFill>
      </fill>
    </dxf>
    <dxf>
      <font>
        <b/>
        <i/>
        <strike val="0"/>
        <u val="none"/>
        <color theme="5" tint="-0.24994659260841701"/>
      </font>
      <fill>
        <patternFill>
          <bgColor rgb="FFFFFF00"/>
        </patternFill>
      </fill>
    </dxf>
    <dxf>
      <font>
        <b/>
        <i/>
        <strike val="0"/>
        <u val="none"/>
        <color rgb="FFFF0000"/>
      </font>
      <fill>
        <patternFill>
          <bgColor rgb="FFFFFF00"/>
        </patternFill>
      </fill>
    </dxf>
    <dxf>
      <font>
        <b/>
        <i val="0"/>
        <strike val="0"/>
        <u val="none"/>
        <color auto="1"/>
      </font>
      <fill>
        <patternFill patternType="solid">
          <bgColor theme="9" tint="0.59996337778862885"/>
        </patternFill>
      </fill>
    </dxf>
    <dxf>
      <font>
        <b/>
        <i/>
        <strike val="0"/>
        <u val="none"/>
        <color auto="1"/>
      </font>
      <fill>
        <patternFill patternType="solid">
          <bgColor rgb="FF00FF00"/>
        </patternFill>
      </fill>
    </dxf>
    <dxf>
      <font>
        <b/>
        <i/>
        <strike val="0"/>
        <u val="none"/>
        <color auto="1"/>
      </font>
      <fill>
        <patternFill patternType="solid">
          <bgColor rgb="FF00FF00"/>
        </patternFill>
      </fill>
    </dxf>
    <dxf>
      <font>
        <b/>
        <i val="0"/>
        <strike val="0"/>
        <u val="none"/>
        <color rgb="FFFF0000"/>
      </font>
      <fill>
        <patternFill>
          <bgColor rgb="FF00B0F0"/>
        </patternFill>
      </fill>
    </dxf>
    <dxf>
      <font>
        <b/>
        <i val="0"/>
        <strike val="0"/>
        <u val="none"/>
        <color rgb="FFFF0000"/>
      </font>
      <fill>
        <patternFill>
          <bgColor rgb="FF00B0F0"/>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rgb="FFFFC000"/>
      </font>
      <fill>
        <patternFill patternType="solid">
          <bgColor theme="7" tint="0.79998168889431442"/>
        </patternFill>
      </fill>
    </dxf>
    <dxf>
      <font>
        <b/>
        <i/>
        <strike val="0"/>
        <u val="none"/>
        <color rgb="FFFFC000"/>
      </font>
      <fill>
        <patternFill patternType="solid">
          <bgColor theme="7" tint="0.79998168889431442"/>
        </patternFill>
      </fill>
    </dxf>
    <dxf>
      <font>
        <b val="0"/>
        <i/>
        <strike val="0"/>
        <u val="none"/>
        <color rgb="FFFF0000"/>
      </font>
      <fill>
        <patternFill>
          <bgColor theme="8" tint="0.59996337778862885"/>
        </patternFill>
      </fill>
    </dxf>
    <dxf>
      <font>
        <b val="0"/>
        <i/>
        <strike val="0"/>
        <u val="none"/>
        <color rgb="FFFF0000"/>
      </font>
      <fill>
        <patternFill>
          <bgColor theme="8" tint="0.59996337778862885"/>
        </patternFill>
      </fill>
    </dxf>
    <dxf>
      <font>
        <b/>
        <i val="0"/>
        <strike val="0"/>
        <u val="none"/>
        <color theme="0"/>
      </font>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00B0F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CC99FF"/>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7" tint="0.39991454817346722"/>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theme="9" tint="-0.2499465926084170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4" tint="0.3999450666829432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rgb="FF7E1389"/>
      </font>
      <fill>
        <patternFill>
          <bgColor rgb="FFFFAFB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rgb="FFEB2403"/>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1" tint="0.49998474074526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0"/>
      </font>
      <fill>
        <patternFill>
          <bgColor theme="5" tint="-0.2499465926084170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0"/>
      </font>
      <fill>
        <patternFill>
          <bgColor rgb="FFF632C7"/>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rgb="FF99FF33"/>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FF0000"/>
      </font>
      <fill>
        <patternFill patternType="none">
          <bgColor auto="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7ED882"/>
        </patternFill>
      </fill>
      <border>
        <left style="thin">
          <color theme="0" tint="-0.14996795556505021"/>
        </left>
        <right style="thin">
          <color theme="0" tint="-0.14996795556505021"/>
        </right>
        <top style="thin">
          <color theme="0" tint="-0.14996795556505021"/>
        </top>
        <bottom style="thin">
          <color theme="0" tint="-0.14996795556505021"/>
        </bottom>
      </border>
    </dxf>
    <dxf>
      <font>
        <strike val="0"/>
        <color rgb="FF9C0006"/>
      </font>
      <fill>
        <patternFill>
          <bgColor theme="7" tint="0.39994506668294322"/>
        </patternFill>
      </fill>
    </dxf>
    <dxf>
      <font>
        <b/>
        <i val="0"/>
        <strike val="0"/>
        <u val="none"/>
        <color theme="0"/>
      </font>
      <fill>
        <patternFill patternType="solid">
          <bgColor theme="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FF99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patternType="solid">
          <bgColor rgb="FFFF99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rgb="FF92E7F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FF66CC"/>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0070C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1"/>
      </font>
      <fill>
        <patternFill>
          <bgColor rgb="FFFFFF00"/>
        </patternFill>
      </fill>
      <border>
        <left style="thin">
          <color theme="0" tint="-0.14996795556505021"/>
        </left>
        <right style="thin">
          <color theme="0" tint="-0.14996795556505021"/>
        </right>
        <top style="thin">
          <color theme="0" tint="-0.14996795556505021"/>
        </top>
        <bottom style="thin">
          <color theme="0" tint="-0.14996795556505021"/>
        </bottom>
      </border>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val="0"/>
        <strike val="0"/>
        <u val="none"/>
        <color theme="5" tint="-0.24994659260841701"/>
      </font>
      <fill>
        <patternFill patternType="solid">
          <bgColor rgb="FFFFFF00"/>
        </patternFill>
      </fill>
    </dxf>
    <dxf>
      <font>
        <b/>
        <i val="0"/>
        <strike val="0"/>
        <u val="none"/>
        <color rgb="FFFF0000"/>
      </font>
      <fill>
        <patternFill patternType="solid">
          <bgColor rgb="FFFFFF00"/>
        </patternFill>
      </fill>
    </dxf>
    <dxf>
      <font>
        <b/>
        <i val="0"/>
        <strike val="0"/>
        <u val="none"/>
        <color rgb="FF00B0F0"/>
      </font>
      <fill>
        <patternFill patternType="solid">
          <bgColor rgb="FFFFFF00"/>
        </patternFill>
      </fill>
    </dxf>
    <dxf>
      <font>
        <b/>
        <i val="0"/>
        <strike val="0"/>
        <u val="none"/>
        <color theme="0"/>
      </font>
      <fill>
        <patternFill>
          <bgColor rgb="FFFF3399"/>
        </patternFill>
      </fill>
    </dxf>
    <dxf>
      <font>
        <b/>
        <i val="0"/>
        <strike val="0"/>
        <u val="none"/>
        <color theme="0"/>
      </font>
      <fill>
        <patternFill>
          <bgColor rgb="FFFF3399"/>
        </patternFill>
      </fill>
    </dxf>
    <dxf>
      <font>
        <b/>
        <i/>
        <strike val="0"/>
        <u val="none"/>
        <color theme="5" tint="-0.24994659260841701"/>
      </font>
      <fill>
        <patternFill>
          <bgColor rgb="FFFFFF00"/>
        </patternFill>
      </fill>
    </dxf>
    <dxf>
      <font>
        <b/>
        <i/>
        <strike val="0"/>
        <u val="none"/>
        <color rgb="FFFF0000"/>
      </font>
      <fill>
        <patternFill>
          <bgColor rgb="FFFFFF00"/>
        </patternFill>
      </fill>
    </dxf>
    <dxf>
      <font>
        <b/>
        <i val="0"/>
        <strike val="0"/>
        <u val="none"/>
        <color auto="1"/>
      </font>
      <fill>
        <patternFill patternType="solid">
          <bgColor theme="9" tint="0.59996337778862885"/>
        </patternFill>
      </fill>
    </dxf>
    <dxf>
      <font>
        <b/>
        <i/>
        <strike val="0"/>
        <u val="none"/>
        <color auto="1"/>
      </font>
      <fill>
        <patternFill patternType="solid">
          <bgColor rgb="FF00FF00"/>
        </patternFill>
      </fill>
    </dxf>
    <dxf>
      <font>
        <b/>
        <i/>
        <strike val="0"/>
        <u val="none"/>
        <color auto="1"/>
      </font>
      <fill>
        <patternFill patternType="solid">
          <bgColor rgb="FF00FF00"/>
        </patternFill>
      </fill>
    </dxf>
    <dxf>
      <font>
        <b/>
        <i val="0"/>
        <strike val="0"/>
        <u val="none"/>
        <color rgb="FFFF0000"/>
      </font>
      <fill>
        <patternFill>
          <bgColor rgb="FF00B0F0"/>
        </patternFill>
      </fill>
    </dxf>
    <dxf>
      <font>
        <b/>
        <i val="0"/>
        <strike val="0"/>
        <u val="none"/>
        <color rgb="FFFF0000"/>
      </font>
      <fill>
        <patternFill>
          <bgColor rgb="FF00B0F0"/>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rgb="FFFFC000"/>
      </font>
      <fill>
        <patternFill patternType="solid">
          <bgColor theme="7" tint="0.79998168889431442"/>
        </patternFill>
      </fill>
    </dxf>
    <dxf>
      <font>
        <b/>
        <i/>
        <strike val="0"/>
        <u val="none"/>
        <color rgb="FFFFC000"/>
      </font>
      <fill>
        <patternFill patternType="solid">
          <bgColor theme="7" tint="0.79998168889431442"/>
        </patternFill>
      </fill>
    </dxf>
    <dxf>
      <font>
        <b val="0"/>
        <i/>
        <strike val="0"/>
        <u val="none"/>
        <color rgb="FFFF0000"/>
      </font>
      <fill>
        <patternFill>
          <bgColor theme="8" tint="0.59996337778862885"/>
        </patternFill>
      </fill>
    </dxf>
    <dxf>
      <font>
        <b val="0"/>
        <i/>
        <strike val="0"/>
        <u val="none"/>
        <color rgb="FFFF0000"/>
      </font>
      <fill>
        <patternFill>
          <bgColor theme="8" tint="0.59996337778862885"/>
        </patternFill>
      </fill>
    </dxf>
    <dxf>
      <font>
        <b val="0"/>
        <i/>
        <strike val="0"/>
        <u val="none"/>
        <color rgb="FFFF0000"/>
      </font>
      <fill>
        <patternFill>
          <bgColor theme="8" tint="0.59996337778862885"/>
        </patternFill>
      </fill>
    </dxf>
    <dxf>
      <font>
        <b/>
        <i val="0"/>
        <strike val="0"/>
        <u val="none"/>
        <color rgb="FF00B0F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CC99FF"/>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7" tint="0.39991454817346722"/>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theme="9" tint="-0.2499465926084170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4" tint="0.3999450666829432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rgb="FF7E1389"/>
      </font>
      <fill>
        <patternFill>
          <bgColor rgb="FFFFAFB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rgb="FFEB2403"/>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1" tint="0.49998474074526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0"/>
      </font>
      <fill>
        <patternFill>
          <bgColor theme="5" tint="-0.2499465926084170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0"/>
      </font>
      <fill>
        <patternFill>
          <bgColor rgb="FFF632C7"/>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rgb="FF99FF33"/>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7ED882"/>
        </patternFill>
      </fill>
      <border>
        <left style="thin">
          <color theme="0" tint="-0.14996795556505021"/>
        </left>
        <right style="thin">
          <color theme="0" tint="-0.14996795556505021"/>
        </right>
        <top style="thin">
          <color theme="0" tint="-0.14996795556505021"/>
        </top>
        <bottom style="thin">
          <color theme="0" tint="-0.14996795556505021"/>
        </bottom>
      </border>
    </dxf>
    <dxf>
      <font>
        <strike val="0"/>
        <color rgb="FF9C0006"/>
      </font>
      <fill>
        <patternFill>
          <bgColor theme="7" tint="0.39994506668294322"/>
        </patternFill>
      </fill>
    </dxf>
    <dxf>
      <font>
        <b/>
        <i val="0"/>
        <strike val="0"/>
        <u val="none"/>
        <color theme="0"/>
      </font>
      <fill>
        <patternFill patternType="solid">
          <bgColor theme="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FF99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patternType="solid">
          <bgColor rgb="FFFF99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rgb="FF92E7F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FF66CC"/>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0070C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1"/>
      </font>
      <fill>
        <patternFill>
          <bgColor rgb="FFFFFF00"/>
        </patternFill>
      </fill>
      <border>
        <left style="thin">
          <color theme="0" tint="-0.14996795556505021"/>
        </left>
        <right style="thin">
          <color theme="0" tint="-0.14996795556505021"/>
        </right>
        <top style="thin">
          <color theme="0" tint="-0.14996795556505021"/>
        </top>
        <bottom style="thin">
          <color theme="0" tint="-0.14996795556505021"/>
        </bottom>
      </border>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val="0"/>
        <u val="double"/>
        <color auto="1"/>
      </font>
      <fill>
        <patternFill patternType="darkTrellis">
          <fgColor theme="5" tint="0.39994506668294322"/>
        </patternFill>
      </fill>
      <border>
        <left style="thin">
          <color auto="1"/>
        </left>
        <right style="thin">
          <color auto="1"/>
        </right>
        <top style="thin">
          <color auto="1"/>
        </top>
        <bottom style="thin">
          <color auto="1"/>
        </bottom>
      </border>
    </dxf>
    <dxf>
      <font>
        <b/>
        <i val="0"/>
        <strike val="0"/>
        <u/>
      </font>
      <fill>
        <patternFill patternType="darkTrellis">
          <fgColor theme="9" tint="0.59996337778862885"/>
          <bgColor auto="1"/>
        </patternFill>
      </fill>
      <border>
        <left style="thin">
          <color auto="1"/>
        </left>
        <right style="thin">
          <color auto="1"/>
        </right>
        <top style="thin">
          <color auto="1"/>
        </top>
        <bottom style="thin">
          <color auto="1"/>
        </bottom>
      </border>
    </dxf>
    <dxf>
      <font>
        <b/>
        <i val="0"/>
        <strike val="0"/>
        <u val="none"/>
        <color theme="5" tint="-0.24994659260841701"/>
      </font>
      <fill>
        <patternFill patternType="solid">
          <bgColor rgb="FFFFFF00"/>
        </patternFill>
      </fill>
    </dxf>
    <dxf>
      <font>
        <b/>
        <i val="0"/>
        <strike val="0"/>
        <u val="none"/>
        <color rgb="FFFF0000"/>
      </font>
      <fill>
        <patternFill patternType="solid">
          <bgColor rgb="FFFFFF00"/>
        </patternFill>
      </fill>
    </dxf>
    <dxf>
      <font>
        <b/>
        <i val="0"/>
        <strike val="0"/>
        <u val="none"/>
        <color rgb="FF00B0F0"/>
      </font>
      <fill>
        <patternFill patternType="solid">
          <bgColor rgb="FFFFFF00"/>
        </patternFill>
      </fill>
    </dxf>
    <dxf>
      <font>
        <b/>
        <i val="0"/>
        <strike val="0"/>
        <u val="none"/>
        <color theme="0"/>
      </font>
      <fill>
        <patternFill>
          <bgColor rgb="FFFF3399"/>
        </patternFill>
      </fill>
    </dxf>
    <dxf>
      <font>
        <b/>
        <i val="0"/>
        <strike val="0"/>
        <u val="none"/>
        <color theme="0"/>
      </font>
      <fill>
        <patternFill>
          <bgColor rgb="FFFF3399"/>
        </patternFill>
      </fill>
    </dxf>
    <dxf>
      <font>
        <b/>
        <i/>
        <strike val="0"/>
        <u val="none"/>
        <color theme="5" tint="-0.24994659260841701"/>
      </font>
      <fill>
        <patternFill>
          <bgColor rgb="FFFFFF00"/>
        </patternFill>
      </fill>
    </dxf>
    <dxf>
      <font>
        <b/>
        <i/>
        <strike val="0"/>
        <u val="none"/>
        <color rgb="FFFF0000"/>
      </font>
      <fill>
        <patternFill>
          <bgColor rgb="FFFFFF00"/>
        </patternFill>
      </fill>
    </dxf>
    <dxf>
      <font>
        <b/>
        <i val="0"/>
        <strike val="0"/>
        <u val="none"/>
        <color auto="1"/>
      </font>
      <fill>
        <patternFill patternType="solid">
          <bgColor theme="9" tint="0.59996337778862885"/>
        </patternFill>
      </fill>
    </dxf>
    <dxf>
      <font>
        <b/>
        <i/>
        <strike val="0"/>
        <u val="none"/>
        <color auto="1"/>
      </font>
      <fill>
        <patternFill patternType="solid">
          <bgColor rgb="FF00FF00"/>
        </patternFill>
      </fill>
    </dxf>
    <dxf>
      <font>
        <b/>
        <i/>
        <strike val="0"/>
        <u val="none"/>
        <color auto="1"/>
      </font>
      <fill>
        <patternFill patternType="solid">
          <bgColor rgb="FF00FF00"/>
        </patternFill>
      </fill>
    </dxf>
    <dxf>
      <font>
        <b/>
        <i val="0"/>
        <strike val="0"/>
        <u val="none"/>
        <color rgb="FFFF0000"/>
      </font>
      <fill>
        <patternFill>
          <bgColor rgb="FF00B0F0"/>
        </patternFill>
      </fill>
    </dxf>
    <dxf>
      <font>
        <b/>
        <i val="0"/>
        <strike val="0"/>
        <u val="none"/>
        <color rgb="FFFF0000"/>
      </font>
      <fill>
        <patternFill>
          <bgColor rgb="FF00B0F0"/>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rgb="FFFFC000"/>
      </font>
      <fill>
        <patternFill patternType="solid">
          <bgColor theme="7" tint="0.79998168889431442"/>
        </patternFill>
      </fill>
    </dxf>
    <dxf>
      <font>
        <b/>
        <i/>
        <strike val="0"/>
        <u val="none"/>
        <color rgb="FFFFC000"/>
      </font>
      <fill>
        <patternFill patternType="solid">
          <bgColor theme="7" tint="0.79998168889431442"/>
        </patternFill>
      </fill>
    </dxf>
    <dxf>
      <font>
        <b/>
        <i val="0"/>
        <strike val="0"/>
        <u val="none"/>
        <color rgb="FF00B050"/>
      </font>
      <fill>
        <patternFill>
          <bgColor rgb="FFEAF1AB"/>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9966FF"/>
      </font>
      <fill>
        <patternFill>
          <bgColor rgb="FFB1DDEB"/>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00B0F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CC99FF"/>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7" tint="0.39991454817346722"/>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theme="9" tint="-0.2499465926084170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4" tint="0.3999450666829432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rgb="FF7E1389"/>
      </font>
      <fill>
        <patternFill>
          <bgColor rgb="FFFFAFB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rgb="FFEB2403"/>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1" tint="0.49998474074526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0"/>
      </font>
      <fill>
        <patternFill>
          <bgColor theme="5" tint="-0.2499465926084170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0"/>
      </font>
      <fill>
        <patternFill>
          <bgColor rgb="FFF632C7"/>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rgb="FF99FF33"/>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FF0000"/>
      </font>
      <fill>
        <patternFill patternType="solid">
          <bgColor theme="9" tint="0.59996337778862885"/>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7ED882"/>
        </patternFill>
      </fill>
      <border>
        <left style="thin">
          <color theme="0" tint="-0.14996795556505021"/>
        </left>
        <right style="thin">
          <color theme="0" tint="-0.14996795556505021"/>
        </right>
        <top style="thin">
          <color theme="0" tint="-0.14996795556505021"/>
        </top>
        <bottom style="thin">
          <color theme="0" tint="-0.14996795556505021"/>
        </bottom>
      </border>
    </dxf>
    <dxf>
      <font>
        <strike val="0"/>
        <color rgb="FF9C0006"/>
      </font>
      <fill>
        <patternFill>
          <bgColor theme="7" tint="0.39994506668294322"/>
        </patternFill>
      </fill>
    </dxf>
    <dxf>
      <font>
        <b/>
        <i val="0"/>
        <strike val="0"/>
        <u val="none"/>
        <color theme="0"/>
      </font>
      <fill>
        <patternFill patternType="solid">
          <bgColor theme="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FF99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patternType="solid">
          <bgColor rgb="FFFF99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rgb="FF92E7F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FF66CC"/>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0070C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1"/>
      </font>
      <fill>
        <patternFill>
          <bgColor rgb="FFFFFF00"/>
        </patternFill>
      </fill>
      <border>
        <left style="thin">
          <color theme="0" tint="-0.14996795556505021"/>
        </left>
        <right style="thin">
          <color theme="0" tint="-0.14996795556505021"/>
        </right>
        <top style="thin">
          <color theme="0" tint="-0.14996795556505021"/>
        </top>
        <bottom style="thin">
          <color theme="0" tint="-0.14996795556505021"/>
        </bottom>
      </border>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b/>
        <i/>
        <strike val="0"/>
        <u val="none"/>
        <color theme="0" tint="-0.499984740745262"/>
      </font>
      <fill>
        <patternFill patternType="solid">
          <bgColor theme="7" tint="0.79998168889431442"/>
        </patternFill>
      </fill>
    </dxf>
    <dxf>
      <font>
        <color auto="1"/>
      </font>
      <fill>
        <patternFill>
          <bgColor theme="9"/>
        </patternFill>
      </fill>
      <border>
        <left style="thin">
          <color theme="0" tint="-0.14996795556505021"/>
        </left>
        <right style="thin">
          <color theme="0" tint="-0.14996795556505021"/>
        </right>
        <top style="thin">
          <color theme="0" tint="-0.14996795556505021"/>
        </top>
        <bottom style="thin">
          <color theme="0" tint="-0.14996795556505021"/>
        </bottom>
      </border>
    </dxf>
    <dxf>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border>
    </dxf>
    <dxf>
      <font>
        <color rgb="FF9C0006"/>
      </font>
      <fill>
        <patternFill>
          <bgColor rgb="FFFFC7CE"/>
        </patternFill>
      </fill>
    </dxf>
    <dxf>
      <font>
        <color rgb="FF002060"/>
      </font>
      <fill>
        <patternFill>
          <bgColor theme="8" tint="0.59996337778862885"/>
        </patternFill>
      </fill>
    </dxf>
    <dxf>
      <font>
        <color rgb="FF9C5700"/>
      </font>
      <fill>
        <patternFill>
          <bgColor rgb="FFFFEB9C"/>
        </patternFill>
      </fill>
    </dxf>
    <dxf>
      <font>
        <color rgb="FF002060"/>
      </font>
      <fill>
        <patternFill>
          <bgColor rgb="FFB1F4FD"/>
        </patternFill>
      </fill>
    </dxf>
    <dxf>
      <font>
        <color rgb="FF002060"/>
      </font>
      <fill>
        <patternFill>
          <bgColor rgb="FFB1F4FD"/>
        </patternFill>
      </fill>
    </dxf>
    <dxf>
      <font>
        <b/>
        <i val="0"/>
        <strike val="0"/>
        <u val="none"/>
        <color theme="0"/>
      </font>
      <fill>
        <patternFill>
          <bgColor rgb="FFFF3399"/>
        </patternFill>
      </fill>
    </dxf>
    <dxf>
      <font>
        <b/>
        <i val="0"/>
        <strike val="0"/>
        <u val="none"/>
        <color theme="0"/>
      </font>
      <fill>
        <patternFill>
          <bgColor rgb="FFFF3399"/>
        </patternFill>
      </fill>
    </dxf>
    <dxf>
      <font>
        <b/>
        <i/>
        <strike val="0"/>
        <u val="none"/>
        <color auto="1"/>
      </font>
      <fill>
        <patternFill patternType="solid">
          <bgColor rgb="FF00FF00"/>
        </patternFill>
      </fill>
    </dxf>
    <dxf>
      <font>
        <b/>
        <i val="0"/>
        <strike val="0"/>
        <u val="none"/>
        <color rgb="FFFF0000"/>
      </font>
      <fill>
        <patternFill>
          <bgColor rgb="FF00B0F0"/>
        </patternFill>
      </fill>
    </dxf>
    <dxf>
      <font>
        <b/>
        <i val="0"/>
        <strike val="0"/>
        <u val="none"/>
        <color rgb="FF00B050"/>
      </font>
      <fill>
        <patternFill>
          <bgColor rgb="FFEAF1AB"/>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9966FF"/>
      </font>
      <fill>
        <patternFill>
          <bgColor rgb="FFB1DDEB"/>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00B0F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CC99FF"/>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7" tint="0.39991454817346722"/>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theme="9" tint="-0.2499465926084170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4" tint="0.3999450666829432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rgb="FF7E1389"/>
      </font>
      <fill>
        <patternFill>
          <bgColor rgb="FFFFAFB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rgb="FFEB2403"/>
      </font>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1" tint="0.49998474074526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1"/>
      </font>
      <fill>
        <patternFill>
          <bgColor theme="9" tint="0.39994506668294322"/>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0"/>
      </font>
      <fill>
        <patternFill>
          <bgColor theme="5" tint="-0.2499465926084170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color theme="0"/>
      </font>
      <fill>
        <patternFill>
          <bgColor rgb="FFF632C7"/>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rgb="FF99FF33"/>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rgb="FFFF0000"/>
      </font>
      <fill>
        <patternFill patternType="solid">
          <bgColor theme="9" tint="0.59996337778862885"/>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bgColor rgb="FF7ED882"/>
        </patternFill>
      </fill>
      <border>
        <left style="thin">
          <color theme="0" tint="-0.14996795556505021"/>
        </left>
        <right style="thin">
          <color theme="0" tint="-0.14996795556505021"/>
        </right>
        <top style="thin">
          <color theme="0" tint="-0.14996795556505021"/>
        </top>
        <bottom style="thin">
          <color theme="0" tint="-0.14996795556505021"/>
        </bottom>
      </border>
    </dxf>
    <dxf>
      <font>
        <strike val="0"/>
        <color rgb="FF9C0006"/>
      </font>
      <fill>
        <patternFill>
          <bgColor theme="7" tint="0.39994506668294322"/>
        </patternFill>
      </fill>
    </dxf>
    <dxf>
      <font>
        <b/>
        <i val="0"/>
        <strike val="0"/>
        <u val="none"/>
        <color theme="0"/>
      </font>
      <fill>
        <patternFill patternType="solid">
          <bgColor theme="1"/>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FF99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patternType="solid">
          <bgColor rgb="FFFF990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1"/>
      </font>
      <fill>
        <patternFill>
          <bgColor rgb="FF92E7F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FF66CC"/>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strike val="0"/>
        <u val="none"/>
        <color theme="0"/>
      </font>
      <fill>
        <patternFill patternType="solid">
          <bgColor rgb="FF0070C0"/>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1"/>
      </font>
      <fill>
        <patternFill>
          <bgColor rgb="FFFFFF00"/>
        </patternFill>
      </fill>
      <border>
        <left style="thin">
          <color theme="0" tint="-0.14996795556505021"/>
        </left>
        <right style="thin">
          <color theme="0" tint="-0.14996795556505021"/>
        </right>
        <top style="thin">
          <color theme="0" tint="-0.14996795556505021"/>
        </top>
        <bottom style="thin">
          <color theme="0" tint="-0.14996795556505021"/>
        </bottom>
      </border>
    </dxf>
    <dxf>
      <font>
        <color auto="1"/>
      </font>
      <fill>
        <patternFill>
          <bgColor theme="9" tint="0.59996337778862885"/>
        </patternFill>
      </fill>
      <border>
        <left style="thin">
          <color theme="2"/>
        </left>
        <right style="thin">
          <color theme="2"/>
        </right>
        <top style="thin">
          <color theme="2"/>
        </top>
        <bottom style="thin">
          <color theme="2"/>
        </bottom>
      </border>
    </dxf>
    <dxf>
      <fill>
        <patternFill>
          <bgColor rgb="FF00B050"/>
        </patternFill>
      </fill>
      <border>
        <left style="thin">
          <color theme="0" tint="-0.24994659260841701"/>
        </left>
        <right style="thin">
          <color theme="0" tint="-0.24994659260841701"/>
        </right>
        <top style="thin">
          <color theme="0" tint="-0.24994659260841701"/>
        </top>
        <bottom style="thin">
          <color theme="0" tint="-0.24994659260841701"/>
        </bottom>
      </border>
    </dxf>
    <dxf>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rgb="FFFFFF0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b/>
        <i val="0"/>
        <color rgb="FF00B050"/>
      </font>
    </dxf>
    <dxf>
      <font>
        <b/>
        <i val="0"/>
      </font>
      <fill>
        <patternFill>
          <bgColor rgb="FF62A0D8"/>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00B050"/>
        </patternFill>
      </fill>
    </dxf>
    <dxf>
      <fill>
        <patternFill>
          <bgColor rgb="FFFF000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b/>
        <i val="0"/>
        <u val="double"/>
        <color auto="1"/>
      </font>
      <fill>
        <patternFill patternType="darkTrellis">
          <fgColor theme="5" tint="0.39994506668294322"/>
        </patternFill>
      </fill>
      <border>
        <left style="thin">
          <color auto="1"/>
        </left>
        <right style="thin">
          <color auto="1"/>
        </right>
        <top style="thin">
          <color auto="1"/>
        </top>
        <bottom style="thin">
          <color auto="1"/>
        </bottom>
      </border>
    </dxf>
    <dxf>
      <font>
        <b/>
        <i val="0"/>
        <strike val="0"/>
        <u/>
      </font>
      <fill>
        <patternFill patternType="darkTrellis">
          <fgColor theme="9" tint="0.59996337778862885"/>
          <bgColor auto="1"/>
        </patternFill>
      </fill>
      <border>
        <left style="thin">
          <color auto="1"/>
        </left>
        <right style="thin">
          <color auto="1"/>
        </right>
        <top style="thin">
          <color auto="1"/>
        </top>
        <bottom style="thin">
          <color auto="1"/>
        </bottom>
      </border>
    </dxf>
    <dxf>
      <font>
        <b/>
        <i val="0"/>
        <u/>
      </font>
      <fill>
        <patternFill patternType="darkTrellis">
          <fgColor rgb="FF00B0F0"/>
        </patternFill>
      </fill>
    </dxf>
    <dxf>
      <font>
        <b/>
        <i val="0"/>
        <u/>
        <color rgb="FF00B050"/>
      </font>
      <fill>
        <patternFill patternType="none">
          <fgColor auto="1"/>
          <bgColor auto="1"/>
        </patternFill>
      </fill>
    </dxf>
  </dxfs>
  <tableStyles count="0" defaultTableStyle="TableStyleMedium2" defaultPivotStyle="PivotStyleLight16"/>
  <colors>
    <mruColors>
      <color rgb="FF62A0D8"/>
      <color rgb="FFF5F274"/>
      <color rgb="FFBEBADA"/>
      <color rgb="FFAEB2BB"/>
      <color rgb="FF1B294D"/>
      <color rgb="FF10182D"/>
      <color rgb="FFEAF1AB"/>
      <color rgb="FF004586"/>
      <color rgb="FFB6D7A8"/>
      <color rgb="FFB45F0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26" Type="http://schemas.microsoft.com/office/2006/relationships/vbaProject" Target="vbaProject.bin"/><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800" b="0" i="0" u="none" strike="noStrike" kern="1200" cap="all" baseline="0">
                <a:solidFill>
                  <a:schemeClr val="lt1"/>
                </a:solidFill>
                <a:effectLst>
                  <a:glow rad="228600">
                    <a:schemeClr val="accent3">
                      <a:satMod val="175000"/>
                      <a:alpha val="40000"/>
                    </a:schemeClr>
                  </a:glow>
                </a:effectLst>
                <a:latin typeface="+mn-lt"/>
                <a:ea typeface="+mn-ea"/>
                <a:cs typeface="+mn-cs"/>
              </a:defRPr>
            </a:pPr>
            <a:r>
              <a:rPr lang="en-US" sz="2800">
                <a:effectLst>
                  <a:glow rad="228600">
                    <a:schemeClr val="accent3">
                      <a:satMod val="175000"/>
                      <a:alpha val="40000"/>
                    </a:schemeClr>
                  </a:glow>
                </a:effectLst>
              </a:rPr>
              <a:t>LEADS TOTAL</a:t>
            </a:r>
          </a:p>
        </c:rich>
      </c:tx>
      <c:layout>
        <c:manualLayout>
          <c:xMode val="edge"/>
          <c:yMode val="edge"/>
          <c:x val="0.35511062579509933"/>
          <c:y val="2.1574077003941282E-3"/>
        </c:manualLayout>
      </c:layout>
      <c:overlay val="0"/>
      <c:spPr>
        <a:noFill/>
        <a:ln>
          <a:noFill/>
        </a:ln>
        <a:effectLst/>
      </c:spPr>
      <c:txPr>
        <a:bodyPr rot="0" spcFirstLastPara="1" vertOverflow="ellipsis" vert="horz" wrap="square" anchor="ctr" anchorCtr="1"/>
        <a:lstStyle/>
        <a:p>
          <a:pPr>
            <a:defRPr sz="2800" b="0" i="0" u="none" strike="noStrike" kern="1200" cap="all" baseline="0">
              <a:solidFill>
                <a:schemeClr val="lt1"/>
              </a:solidFill>
              <a:effectLst>
                <a:glow rad="228600">
                  <a:schemeClr val="accent3">
                    <a:satMod val="175000"/>
                    <a:alpha val="40000"/>
                  </a:schemeClr>
                </a:glow>
              </a:effectLst>
              <a:latin typeface="+mn-lt"/>
              <a:ea typeface="+mn-ea"/>
              <a:cs typeface="+mn-cs"/>
            </a:defRPr>
          </a:pPr>
          <a:endParaRPr lang="en-US"/>
        </a:p>
      </c:txPr>
    </c:title>
    <c:autoTitleDeleted val="0"/>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2.3847094492256478E-2"/>
          <c:y val="0.16602986003438491"/>
          <c:w val="0.73919640510756535"/>
          <c:h val="0.78910186093444012"/>
        </c:manualLayout>
      </c:layout>
      <c:bar3DChart>
        <c:barDir val="col"/>
        <c:grouping val="clustered"/>
        <c:varyColors val="0"/>
        <c:ser>
          <c:idx val="0"/>
          <c:order val="0"/>
          <c:tx>
            <c:strRef>
              <c:f>WCL!$B$1</c:f>
              <c:strCache>
                <c:ptCount val="1"/>
                <c:pt idx="0">
                  <c:v>Prospect -Email Sent</c:v>
                </c:pt>
              </c:strCache>
            </c:strRef>
          </c:tx>
          <c:spPr>
            <a:solidFill>
              <a:schemeClr val="bg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dLbls>
            <c:spPr>
              <a:solidFill>
                <a:srgbClr val="5B9BD5">
                  <a:lumMod val="8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val>
            <c:numRef>
              <c:f>WCL!$C$1</c:f>
              <c:numCache>
                <c:formatCode>General</c:formatCode>
                <c:ptCount val="1"/>
                <c:pt idx="0">
                  <c:v>0</c:v>
                </c:pt>
              </c:numCache>
            </c:numRef>
          </c:val>
          <c:extLst>
            <c:ext xmlns:c16="http://schemas.microsoft.com/office/drawing/2014/chart" uri="{C3380CC4-5D6E-409C-BE32-E72D297353CC}">
              <c16:uniqueId val="{00000000-FA37-4C50-85EB-909A6F92B7D9}"/>
            </c:ext>
          </c:extLst>
        </c:ser>
        <c:ser>
          <c:idx val="1"/>
          <c:order val="1"/>
          <c:tx>
            <c:strRef>
              <c:f>WCL!$B$2</c:f>
              <c:strCache>
                <c:ptCount val="1"/>
                <c:pt idx="0">
                  <c:v>Responded</c:v>
                </c:pt>
              </c:strCache>
            </c:strRef>
          </c:tx>
          <c:spPr>
            <a:solidFill>
              <a:srgbClr val="FFFF00">
                <a:alpha val="88000"/>
              </a:srgbClr>
            </a:solidFill>
            <a:ln>
              <a:solidFill>
                <a:schemeClr val="accent2">
                  <a:lumMod val="50000"/>
                </a:schemeClr>
              </a:solidFill>
            </a:ln>
            <a:effectLst/>
            <a:scene3d>
              <a:camera prst="orthographicFront"/>
              <a:lightRig rig="threePt" dir="t"/>
            </a:scene3d>
            <a:sp3d prstMaterial="flat">
              <a:contourClr>
                <a:schemeClr val="accent2">
                  <a:lumMod val="50000"/>
                </a:schemeClr>
              </a:contourClr>
            </a:sp3d>
          </c:spPr>
          <c:invertIfNegative val="0"/>
          <c:dLbls>
            <c:spPr>
              <a:solidFill>
                <a:schemeClr val="accent2">
                  <a:alpha val="30000"/>
                </a:schemeClr>
              </a:solidFill>
              <a:ln>
                <a:solidFill>
                  <a:schemeClr val="lt1">
                    <a:alpha val="50000"/>
                  </a:scheme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val>
            <c:numRef>
              <c:f>WCL!$C$2</c:f>
              <c:numCache>
                <c:formatCode>General</c:formatCode>
                <c:ptCount val="1"/>
                <c:pt idx="0">
                  <c:v>0</c:v>
                </c:pt>
              </c:numCache>
            </c:numRef>
          </c:val>
          <c:extLst>
            <c:ext xmlns:c16="http://schemas.microsoft.com/office/drawing/2014/chart" uri="{C3380CC4-5D6E-409C-BE32-E72D297353CC}">
              <c16:uniqueId val="{00000000-5C95-4221-9029-5C931393BA07}"/>
            </c:ext>
          </c:extLst>
        </c:ser>
        <c:ser>
          <c:idx val="2"/>
          <c:order val="2"/>
          <c:tx>
            <c:strRef>
              <c:f>WCL!$B$3</c:f>
              <c:strCache>
                <c:ptCount val="1"/>
                <c:pt idx="0">
                  <c:v>STOP!</c:v>
                </c:pt>
              </c:strCache>
            </c:strRef>
          </c:tx>
          <c:spPr>
            <a:solidFill>
              <a:srgbClr val="FF0000">
                <a:alpha val="88000"/>
              </a:srgbClr>
            </a:solidFill>
            <a:ln>
              <a:solidFill>
                <a:schemeClr val="accent3">
                  <a:lumMod val="50000"/>
                </a:schemeClr>
              </a:solidFill>
            </a:ln>
            <a:effectLst/>
            <a:scene3d>
              <a:camera prst="orthographicFront"/>
              <a:lightRig rig="threePt" dir="t"/>
            </a:scene3d>
            <a:sp3d prstMaterial="flat">
              <a:contourClr>
                <a:schemeClr val="accent3">
                  <a:lumMod val="50000"/>
                </a:schemeClr>
              </a:contourClr>
            </a:sp3d>
          </c:spPr>
          <c:invertIfNegative val="0"/>
          <c:dLbls>
            <c:spPr>
              <a:solidFill>
                <a:srgbClr val="4472C4">
                  <a:lumMod val="8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val>
            <c:numRef>
              <c:f>WCL!$C$3</c:f>
              <c:numCache>
                <c:formatCode>General</c:formatCode>
                <c:ptCount val="1"/>
                <c:pt idx="0">
                  <c:v>0</c:v>
                </c:pt>
              </c:numCache>
            </c:numRef>
          </c:val>
          <c:extLst>
            <c:ext xmlns:c16="http://schemas.microsoft.com/office/drawing/2014/chart" uri="{C3380CC4-5D6E-409C-BE32-E72D297353CC}">
              <c16:uniqueId val="{00000001-5C95-4221-9029-5C931393BA07}"/>
            </c:ext>
          </c:extLst>
        </c:ser>
        <c:ser>
          <c:idx val="3"/>
          <c:order val="3"/>
          <c:tx>
            <c:strRef>
              <c:f>WCL!$B$4</c:f>
              <c:strCache>
                <c:ptCount val="1"/>
                <c:pt idx="0">
                  <c:v>Not Interested</c:v>
                </c:pt>
              </c:strCache>
            </c:strRef>
          </c:tx>
          <c:spPr>
            <a:solidFill>
              <a:srgbClr val="FF0000">
                <a:alpha val="88000"/>
              </a:srgbClr>
            </a:solidFill>
            <a:ln>
              <a:solidFill>
                <a:schemeClr val="accent4">
                  <a:lumMod val="50000"/>
                </a:schemeClr>
              </a:solidFill>
            </a:ln>
            <a:effectLst/>
            <a:scene3d>
              <a:camera prst="orthographicFront"/>
              <a:lightRig rig="threePt" dir="t"/>
            </a:scene3d>
            <a:sp3d prstMaterial="flat">
              <a:contourClr>
                <a:schemeClr val="accent4">
                  <a:lumMod val="50000"/>
                </a:schemeClr>
              </a:contourClr>
            </a:sp3d>
          </c:spPr>
          <c:invertIfNegative val="0"/>
          <c:dPt>
            <c:idx val="0"/>
            <c:invertIfNegative val="0"/>
            <c:bubble3D val="0"/>
            <c:spPr>
              <a:solidFill>
                <a:srgbClr val="B6D7A8">
                  <a:alpha val="88000"/>
                </a:srgbClr>
              </a:solidFill>
              <a:ln>
                <a:solidFill>
                  <a:schemeClr val="accent4">
                    <a:lumMod val="50000"/>
                  </a:schemeClr>
                </a:solidFill>
              </a:ln>
              <a:effectLst/>
              <a:scene3d>
                <a:camera prst="orthographicFront"/>
                <a:lightRig rig="threePt" dir="t"/>
              </a:scene3d>
              <a:sp3d prstMaterial="flat">
                <a:contourClr>
                  <a:schemeClr val="accent4">
                    <a:lumMod val="50000"/>
                  </a:schemeClr>
                </a:contourClr>
              </a:sp3d>
            </c:spPr>
            <c:extLst>
              <c:ext xmlns:c16="http://schemas.microsoft.com/office/drawing/2014/chart" uri="{C3380CC4-5D6E-409C-BE32-E72D297353CC}">
                <c16:uniqueId val="{00000001-70B8-4829-AE5E-45575D45F237}"/>
              </c:ext>
            </c:extLst>
          </c:dPt>
          <c:dLbls>
            <c:spPr>
              <a:solidFill>
                <a:srgbClr val="70AD47">
                  <a:lumMod val="80000"/>
                  <a:lumOff val="2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val>
            <c:numRef>
              <c:f>WCL!$C$4</c:f>
              <c:numCache>
                <c:formatCode>General</c:formatCode>
                <c:ptCount val="1"/>
                <c:pt idx="0">
                  <c:v>0</c:v>
                </c:pt>
              </c:numCache>
            </c:numRef>
          </c:val>
          <c:extLst>
            <c:ext xmlns:c16="http://schemas.microsoft.com/office/drawing/2014/chart" uri="{C3380CC4-5D6E-409C-BE32-E72D297353CC}">
              <c16:uniqueId val="{00000002-5C95-4221-9029-5C931393BA07}"/>
            </c:ext>
          </c:extLst>
        </c:ser>
        <c:ser>
          <c:idx val="4"/>
          <c:order val="4"/>
          <c:tx>
            <c:strRef>
              <c:f>WCL!$B$5</c:f>
              <c:strCache>
                <c:ptCount val="1"/>
                <c:pt idx="0">
                  <c:v>DNQ</c:v>
                </c:pt>
              </c:strCache>
            </c:strRef>
          </c:tx>
          <c:spPr>
            <a:solidFill>
              <a:srgbClr val="FFC7CE">
                <a:alpha val="88000"/>
              </a:srgbClr>
            </a:solidFill>
            <a:ln>
              <a:solidFill>
                <a:schemeClr val="accent5">
                  <a:lumMod val="50000"/>
                </a:schemeClr>
              </a:solidFill>
            </a:ln>
            <a:effectLst/>
            <a:scene3d>
              <a:camera prst="orthographicFront"/>
              <a:lightRig rig="threePt" dir="t"/>
            </a:scene3d>
            <a:sp3d prstMaterial="flat">
              <a:contourClr>
                <a:schemeClr val="accent5">
                  <a:lumMod val="50000"/>
                </a:schemeClr>
              </a:contourClr>
            </a:sp3d>
          </c:spPr>
          <c:invertIfNegative val="0"/>
          <c:dLbls>
            <c:spPr>
              <a:solidFill>
                <a:srgbClr val="FFC000">
                  <a:lumMod val="6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val>
            <c:numRef>
              <c:f>WCL!$C$5</c:f>
              <c:numCache>
                <c:formatCode>General</c:formatCode>
                <c:ptCount val="1"/>
                <c:pt idx="0">
                  <c:v>0</c:v>
                </c:pt>
              </c:numCache>
            </c:numRef>
          </c:val>
          <c:extLst>
            <c:ext xmlns:c16="http://schemas.microsoft.com/office/drawing/2014/chart" uri="{C3380CC4-5D6E-409C-BE32-E72D297353CC}">
              <c16:uniqueId val="{00000003-5C95-4221-9029-5C931393BA07}"/>
            </c:ext>
          </c:extLst>
        </c:ser>
        <c:ser>
          <c:idx val="5"/>
          <c:order val="5"/>
          <c:tx>
            <c:strRef>
              <c:f>WCL!$B$6</c:f>
              <c:strCache>
                <c:ptCount val="1"/>
                <c:pt idx="0">
                  <c:v>LOCKED!</c:v>
                </c:pt>
              </c:strCache>
            </c:strRef>
          </c:tx>
          <c:spPr>
            <a:solidFill>
              <a:srgbClr val="4A86E8">
                <a:alpha val="88000"/>
              </a:srgbClr>
            </a:solidFill>
            <a:ln>
              <a:solidFill>
                <a:schemeClr val="accent6">
                  <a:lumMod val="50000"/>
                </a:schemeClr>
              </a:solidFill>
            </a:ln>
            <a:effectLst/>
            <a:scene3d>
              <a:camera prst="orthographicFront"/>
              <a:lightRig rig="threePt" dir="t"/>
            </a:scene3d>
            <a:sp3d prstMaterial="flat">
              <a:contourClr>
                <a:schemeClr val="accent6">
                  <a:lumMod val="50000"/>
                </a:schemeClr>
              </a:contourClr>
            </a:sp3d>
          </c:spPr>
          <c:invertIfNegative val="0"/>
          <c:dLbls>
            <c:spPr>
              <a:solidFill>
                <a:srgbClr val="FFC000">
                  <a:lumMod val="80000"/>
                  <a:lumOff val="2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val>
            <c:numRef>
              <c:f>WCL!$C$6</c:f>
              <c:numCache>
                <c:formatCode>General</c:formatCode>
                <c:ptCount val="1"/>
                <c:pt idx="0">
                  <c:v>0</c:v>
                </c:pt>
              </c:numCache>
            </c:numRef>
          </c:val>
          <c:extLst>
            <c:ext xmlns:c16="http://schemas.microsoft.com/office/drawing/2014/chart" uri="{C3380CC4-5D6E-409C-BE32-E72D297353CC}">
              <c16:uniqueId val="{00000004-5C95-4221-9029-5C931393BA07}"/>
            </c:ext>
          </c:extLst>
        </c:ser>
        <c:ser>
          <c:idx val="6"/>
          <c:order val="6"/>
          <c:tx>
            <c:strRef>
              <c:f>WCL!$B$7</c:f>
              <c:strCache>
                <c:ptCount val="1"/>
                <c:pt idx="0">
                  <c:v>FIGURE - Link Sent!</c:v>
                </c:pt>
              </c:strCache>
            </c:strRef>
          </c:tx>
          <c:spPr>
            <a:solidFill>
              <a:schemeClr val="tx1">
                <a:alpha val="88000"/>
              </a:schemeClr>
            </a:solidFill>
            <a:ln>
              <a:solidFill>
                <a:schemeClr val="accent1">
                  <a:lumMod val="60000"/>
                  <a:lumMod val="50000"/>
                </a:schemeClr>
              </a:solidFill>
            </a:ln>
            <a:effectLst/>
            <a:scene3d>
              <a:camera prst="orthographicFront"/>
              <a:lightRig rig="threePt" dir="t"/>
            </a:scene3d>
            <a:sp3d prstMaterial="flat">
              <a:contourClr>
                <a:schemeClr val="accent1">
                  <a:lumMod val="60000"/>
                  <a:lumMod val="50000"/>
                </a:schemeClr>
              </a:contourClr>
            </a:sp3d>
          </c:spPr>
          <c:invertIfNegative val="0"/>
          <c:dLbls>
            <c:spPr>
              <a:solidFill>
                <a:srgbClr val="5B9BD5">
                  <a:lumMod val="80000"/>
                  <a:lumOff val="2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val>
            <c:numRef>
              <c:f>WCL!$C$7</c:f>
              <c:numCache>
                <c:formatCode>General</c:formatCode>
                <c:ptCount val="1"/>
                <c:pt idx="0">
                  <c:v>0</c:v>
                </c:pt>
              </c:numCache>
            </c:numRef>
          </c:val>
          <c:extLst>
            <c:ext xmlns:c16="http://schemas.microsoft.com/office/drawing/2014/chart" uri="{C3380CC4-5D6E-409C-BE32-E72D297353CC}">
              <c16:uniqueId val="{00000005-5C95-4221-9029-5C931393BA07}"/>
            </c:ext>
          </c:extLst>
        </c:ser>
        <c:ser>
          <c:idx val="7"/>
          <c:order val="7"/>
          <c:tx>
            <c:strRef>
              <c:f>WCL!$B$8</c:f>
              <c:strCache>
                <c:ptCount val="1"/>
                <c:pt idx="0">
                  <c:v>Future Deal</c:v>
                </c:pt>
              </c:strCache>
            </c:strRef>
          </c:tx>
          <c:spPr>
            <a:solidFill>
              <a:srgbClr val="D5A6BD">
                <a:alpha val="88000"/>
              </a:srgbClr>
            </a:solidFill>
            <a:ln>
              <a:solidFill>
                <a:schemeClr val="accent2">
                  <a:lumMod val="60000"/>
                  <a:lumMod val="50000"/>
                </a:schemeClr>
              </a:solidFill>
            </a:ln>
            <a:effectLst/>
            <a:scene3d>
              <a:camera prst="orthographicFront"/>
              <a:lightRig rig="threePt" dir="t"/>
            </a:scene3d>
            <a:sp3d prstMaterial="flat">
              <a:contourClr>
                <a:schemeClr val="accent2">
                  <a:lumMod val="60000"/>
                  <a:lumMod val="50000"/>
                </a:schemeClr>
              </a:contourClr>
            </a:sp3d>
          </c:spPr>
          <c:invertIfNegative val="0"/>
          <c:dPt>
            <c:idx val="0"/>
            <c:invertIfNegative val="0"/>
            <c:bubble3D val="0"/>
            <c:spPr>
              <a:solidFill>
                <a:srgbClr val="D5A6BD">
                  <a:alpha val="87843"/>
                </a:srgbClr>
              </a:solidFill>
              <a:ln>
                <a:solidFill>
                  <a:srgbClr val="D5A6BD"/>
                </a:solidFill>
              </a:ln>
              <a:effectLst/>
              <a:scene3d>
                <a:camera prst="orthographicFront"/>
                <a:lightRig rig="threePt" dir="t"/>
              </a:scene3d>
              <a:sp3d prstMaterial="flat">
                <a:contourClr>
                  <a:srgbClr val="D5A6BD"/>
                </a:contourClr>
              </a:sp3d>
            </c:spPr>
            <c:extLst>
              <c:ext xmlns:c16="http://schemas.microsoft.com/office/drawing/2014/chart" uri="{C3380CC4-5D6E-409C-BE32-E72D297353CC}">
                <c16:uniqueId val="{00000004-70B8-4829-AE5E-45575D45F237}"/>
              </c:ext>
            </c:extLst>
          </c:dPt>
          <c:dLbls>
            <c:spPr>
              <a:solidFill>
                <a:srgbClr val="ED7D31">
                  <a:lumMod val="80000"/>
                  <a:lumOff val="2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val>
            <c:numRef>
              <c:f>WCL!$C$8</c:f>
              <c:numCache>
                <c:formatCode>General</c:formatCode>
                <c:ptCount val="1"/>
                <c:pt idx="0">
                  <c:v>0</c:v>
                </c:pt>
              </c:numCache>
            </c:numRef>
          </c:val>
          <c:extLst>
            <c:ext xmlns:c16="http://schemas.microsoft.com/office/drawing/2014/chart" uri="{C3380CC4-5D6E-409C-BE32-E72D297353CC}">
              <c16:uniqueId val="{00000006-5C95-4221-9029-5C931393BA07}"/>
            </c:ext>
          </c:extLst>
        </c:ser>
        <c:ser>
          <c:idx val="8"/>
          <c:order val="8"/>
          <c:tx>
            <c:strRef>
              <c:f>WCL!$B$9</c:f>
              <c:strCache>
                <c:ptCount val="1"/>
                <c:pt idx="0">
                  <c:v>Communicating...</c:v>
                </c:pt>
              </c:strCache>
            </c:strRef>
          </c:tx>
          <c:spPr>
            <a:solidFill>
              <a:srgbClr val="70AD47">
                <a:alpha val="88000"/>
              </a:srgbClr>
            </a:solidFill>
            <a:ln>
              <a:solidFill>
                <a:schemeClr val="accent3">
                  <a:lumMod val="60000"/>
                  <a:lumMod val="50000"/>
                </a:schemeClr>
              </a:solidFill>
            </a:ln>
            <a:effectLst/>
            <a:scene3d>
              <a:camera prst="orthographicFront"/>
              <a:lightRig rig="threePt" dir="t"/>
            </a:scene3d>
            <a:sp3d prstMaterial="flat">
              <a:contourClr>
                <a:schemeClr val="accent3">
                  <a:lumMod val="60000"/>
                  <a:lumMod val="50000"/>
                </a:schemeClr>
              </a:contourClr>
            </a:sp3d>
          </c:spPr>
          <c:invertIfNegative val="0"/>
          <c:dLbls>
            <c:spPr>
              <a:solidFill>
                <a:srgbClr val="70AD47">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val>
            <c:numRef>
              <c:f>WCL!$C$9</c:f>
              <c:numCache>
                <c:formatCode>General</c:formatCode>
                <c:ptCount val="1"/>
                <c:pt idx="0">
                  <c:v>0</c:v>
                </c:pt>
              </c:numCache>
            </c:numRef>
          </c:val>
          <c:extLst>
            <c:ext xmlns:c16="http://schemas.microsoft.com/office/drawing/2014/chart" uri="{C3380CC4-5D6E-409C-BE32-E72D297353CC}">
              <c16:uniqueId val="{00000007-5C95-4221-9029-5C931393BA07}"/>
            </c:ext>
          </c:extLst>
        </c:ser>
        <c:ser>
          <c:idx val="9"/>
          <c:order val="9"/>
          <c:tx>
            <c:strRef>
              <c:f>WCL!$B$10</c:f>
              <c:strCache>
                <c:ptCount val="1"/>
                <c:pt idx="0">
                  <c:v>Appt Scheduled</c:v>
                </c:pt>
              </c:strCache>
            </c:strRef>
          </c:tx>
          <c:spPr>
            <a:solidFill>
              <a:srgbClr val="FF3399">
                <a:alpha val="88000"/>
              </a:srgbClr>
            </a:solidFill>
            <a:ln>
              <a:solidFill>
                <a:schemeClr val="accent4">
                  <a:lumMod val="60000"/>
                  <a:lumMod val="50000"/>
                </a:schemeClr>
              </a:solidFill>
            </a:ln>
            <a:effectLst/>
            <a:scene3d>
              <a:camera prst="orthographicFront"/>
              <a:lightRig rig="threePt" dir="t"/>
            </a:scene3d>
            <a:sp3d prstMaterial="flat">
              <a:contourClr>
                <a:schemeClr val="accent4">
                  <a:lumMod val="60000"/>
                  <a:lumMod val="50000"/>
                </a:schemeClr>
              </a:contourClr>
            </a:sp3d>
          </c:spPr>
          <c:invertIfNegative val="0"/>
          <c:dLbls>
            <c:spPr>
              <a:solidFill>
                <a:srgbClr val="FFC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val>
            <c:numRef>
              <c:f>WCL!$C$10</c:f>
              <c:numCache>
                <c:formatCode>General</c:formatCode>
                <c:ptCount val="1"/>
                <c:pt idx="0">
                  <c:v>0</c:v>
                </c:pt>
              </c:numCache>
            </c:numRef>
          </c:val>
          <c:extLst>
            <c:ext xmlns:c16="http://schemas.microsoft.com/office/drawing/2014/chart" uri="{C3380CC4-5D6E-409C-BE32-E72D297353CC}">
              <c16:uniqueId val="{00000008-5C95-4221-9029-5C931393BA07}"/>
            </c:ext>
          </c:extLst>
        </c:ser>
        <c:ser>
          <c:idx val="10"/>
          <c:order val="10"/>
          <c:tx>
            <c:strRef>
              <c:f>WCL!$B$11</c:f>
              <c:strCache>
                <c:ptCount val="1"/>
                <c:pt idx="0">
                  <c:v>Cancel-Decline</c:v>
                </c:pt>
              </c:strCache>
            </c:strRef>
          </c:tx>
          <c:spPr>
            <a:solidFill>
              <a:srgbClr val="FF0000">
                <a:alpha val="88000"/>
              </a:srgbClr>
            </a:solidFill>
            <a:ln>
              <a:solidFill>
                <a:schemeClr val="accent5">
                  <a:lumMod val="60000"/>
                  <a:lumMod val="50000"/>
                </a:schemeClr>
              </a:solidFill>
            </a:ln>
            <a:effectLst/>
            <a:scene3d>
              <a:camera prst="orthographicFront"/>
              <a:lightRig rig="threePt" dir="t"/>
            </a:scene3d>
            <a:sp3d prstMaterial="flat">
              <a:contourClr>
                <a:schemeClr val="accent5">
                  <a:lumMod val="60000"/>
                  <a:lumMod val="50000"/>
                </a:schemeClr>
              </a:contourClr>
            </a:sp3d>
          </c:spPr>
          <c:invertIfNegative val="0"/>
          <c:dLbls>
            <c:spPr>
              <a:solidFill>
                <a:srgbClr val="5B9BD5">
                  <a:lumMod val="60000"/>
                  <a:lumOff val="4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val>
            <c:numRef>
              <c:f>WCL!$C$11</c:f>
              <c:numCache>
                <c:formatCode>General</c:formatCode>
                <c:ptCount val="1"/>
                <c:pt idx="0">
                  <c:v>0</c:v>
                </c:pt>
              </c:numCache>
            </c:numRef>
          </c:val>
          <c:extLst>
            <c:ext xmlns:c16="http://schemas.microsoft.com/office/drawing/2014/chart" uri="{C3380CC4-5D6E-409C-BE32-E72D297353CC}">
              <c16:uniqueId val="{00000009-5C95-4221-9029-5C931393BA07}"/>
            </c:ext>
          </c:extLst>
        </c:ser>
        <c:ser>
          <c:idx val="11"/>
          <c:order val="11"/>
          <c:tx>
            <c:strRef>
              <c:f>WCL!$B$12</c:f>
              <c:strCache>
                <c:ptCount val="1"/>
                <c:pt idx="0">
                  <c:v>Hard Money Opportunity</c:v>
                </c:pt>
              </c:strCache>
            </c:strRef>
          </c:tx>
          <c:spPr>
            <a:solidFill>
              <a:srgbClr val="FFD966">
                <a:alpha val="88000"/>
              </a:srgbClr>
            </a:solidFill>
            <a:ln>
              <a:solidFill>
                <a:schemeClr val="accent6">
                  <a:lumMod val="60000"/>
                  <a:lumMod val="50000"/>
                </a:schemeClr>
              </a:solidFill>
            </a:ln>
            <a:effectLst/>
            <a:scene3d>
              <a:camera prst="orthographicFront"/>
              <a:lightRig rig="threePt" dir="t"/>
            </a:scene3d>
            <a:sp3d prstMaterial="flat">
              <a:contourClr>
                <a:schemeClr val="accent6">
                  <a:lumMod val="60000"/>
                  <a:lumMod val="50000"/>
                </a:schemeClr>
              </a:contourClr>
            </a:sp3d>
          </c:spPr>
          <c:invertIfNegative val="0"/>
          <c:dLbls>
            <c:spPr>
              <a:solidFill>
                <a:srgbClr val="A5A5A5">
                  <a:lumMod val="80000"/>
                  <a:lumOff val="2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val>
            <c:numRef>
              <c:f>WCL!$C$12</c:f>
              <c:numCache>
                <c:formatCode>General</c:formatCode>
                <c:ptCount val="1"/>
                <c:pt idx="0">
                  <c:v>0</c:v>
                </c:pt>
              </c:numCache>
            </c:numRef>
          </c:val>
          <c:extLst>
            <c:ext xmlns:c16="http://schemas.microsoft.com/office/drawing/2014/chart" uri="{C3380CC4-5D6E-409C-BE32-E72D297353CC}">
              <c16:uniqueId val="{0000000A-5C95-4221-9029-5C931393BA07}"/>
            </c:ext>
          </c:extLst>
        </c:ser>
        <c:ser>
          <c:idx val="12"/>
          <c:order val="12"/>
          <c:tx>
            <c:strRef>
              <c:f>WCL!$B$13</c:f>
              <c:strCache>
                <c:ptCount val="1"/>
                <c:pt idx="0">
                  <c:v>APP - Pitched &gt; Follow up</c:v>
                </c:pt>
              </c:strCache>
            </c:strRef>
          </c:tx>
          <c:spPr>
            <a:solidFill>
              <a:srgbClr val="00FF00">
                <a:alpha val="87843"/>
              </a:srgbClr>
            </a:solidFill>
            <a:ln>
              <a:solidFill>
                <a:srgbClr val="00FF00"/>
              </a:solidFill>
            </a:ln>
            <a:effectLst/>
            <a:scene3d>
              <a:camera prst="orthographicFront"/>
              <a:lightRig rig="threePt" dir="t"/>
            </a:scene3d>
            <a:sp3d prstMaterial="flat">
              <a:contourClr>
                <a:srgbClr val="00FF00"/>
              </a:contourClr>
            </a:sp3d>
          </c:spPr>
          <c:invertIfNegative val="0"/>
          <c:dLbls>
            <c:spPr>
              <a:solidFill>
                <a:srgbClr val="A5A5A5">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val>
            <c:numRef>
              <c:f>WCL!$C$13</c:f>
              <c:numCache>
                <c:formatCode>General</c:formatCode>
                <c:ptCount val="1"/>
                <c:pt idx="0">
                  <c:v>0</c:v>
                </c:pt>
              </c:numCache>
            </c:numRef>
          </c:val>
          <c:extLst>
            <c:ext xmlns:c16="http://schemas.microsoft.com/office/drawing/2014/chart" uri="{C3380CC4-5D6E-409C-BE32-E72D297353CC}">
              <c16:uniqueId val="{0000000B-5C95-4221-9029-5C931393BA07}"/>
            </c:ext>
          </c:extLst>
        </c:ser>
        <c:ser>
          <c:idx val="13"/>
          <c:order val="13"/>
          <c:tx>
            <c:strRef>
              <c:f>WCL!$B$14</c:f>
              <c:strCache>
                <c:ptCount val="1"/>
                <c:pt idx="0">
                  <c:v>Disclosures Sent!</c:v>
                </c:pt>
              </c:strCache>
            </c:strRef>
          </c:tx>
          <c:spPr>
            <a:solidFill>
              <a:srgbClr val="FF9900">
                <a:alpha val="88000"/>
              </a:srgbClr>
            </a:solidFill>
            <a:ln>
              <a:solidFill>
                <a:schemeClr val="accent2">
                  <a:lumMod val="80000"/>
                  <a:lumOff val="20000"/>
                  <a:lumMod val="50000"/>
                </a:schemeClr>
              </a:solidFill>
            </a:ln>
            <a:effectLst/>
            <a:scene3d>
              <a:camera prst="orthographicFront"/>
              <a:lightRig rig="threePt" dir="t"/>
            </a:scene3d>
            <a:sp3d prstMaterial="flat">
              <a:contourClr>
                <a:schemeClr val="accent2">
                  <a:lumMod val="80000"/>
                  <a:lumOff val="20000"/>
                  <a:lumMod val="50000"/>
                </a:schemeClr>
              </a:contourClr>
            </a:sp3d>
          </c:spPr>
          <c:invertIfNegative val="0"/>
          <c:dLbls>
            <c:spPr>
              <a:solidFill>
                <a:srgbClr val="A5A5A5">
                  <a:lumMod val="6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val>
            <c:numRef>
              <c:f>WCL!$C$14</c:f>
              <c:numCache>
                <c:formatCode>General</c:formatCode>
                <c:ptCount val="1"/>
                <c:pt idx="0">
                  <c:v>0</c:v>
                </c:pt>
              </c:numCache>
            </c:numRef>
          </c:val>
          <c:extLst>
            <c:ext xmlns:c16="http://schemas.microsoft.com/office/drawing/2014/chart" uri="{C3380CC4-5D6E-409C-BE32-E72D297353CC}">
              <c16:uniqueId val="{0000000C-5C95-4221-9029-5C931393BA07}"/>
            </c:ext>
          </c:extLst>
        </c:ser>
        <c:ser>
          <c:idx val="14"/>
          <c:order val="14"/>
          <c:tx>
            <c:strRef>
              <c:f>WCL!$B$15</c:f>
              <c:strCache>
                <c:ptCount val="1"/>
                <c:pt idx="0">
                  <c:v>Funded</c:v>
                </c:pt>
              </c:strCache>
            </c:strRef>
          </c:tx>
          <c:spPr>
            <a:solidFill>
              <a:srgbClr val="00B050">
                <a:alpha val="88000"/>
              </a:srgbClr>
            </a:solidFill>
            <a:ln>
              <a:solidFill>
                <a:schemeClr val="accent3">
                  <a:lumMod val="80000"/>
                  <a:lumOff val="20000"/>
                  <a:lumMod val="50000"/>
                </a:schemeClr>
              </a:solidFill>
            </a:ln>
            <a:effectLst/>
            <a:scene3d>
              <a:camera prst="orthographicFront"/>
              <a:lightRig rig="threePt" dir="t"/>
            </a:scene3d>
            <a:sp3d prstMaterial="flat">
              <a:contourClr>
                <a:schemeClr val="accent3">
                  <a:lumMod val="80000"/>
                  <a:lumOff val="20000"/>
                  <a:lumMod val="50000"/>
                </a:schemeClr>
              </a:contourClr>
            </a:sp3d>
          </c:spPr>
          <c:invertIfNegative val="0"/>
          <c:dLbls>
            <c:spPr>
              <a:solidFill>
                <a:srgbClr val="70AD47">
                  <a:lumMod val="8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val>
            <c:numRef>
              <c:f>WCL!$C$15</c:f>
              <c:numCache>
                <c:formatCode>General</c:formatCode>
                <c:ptCount val="1"/>
                <c:pt idx="0">
                  <c:v>0</c:v>
                </c:pt>
              </c:numCache>
            </c:numRef>
          </c:val>
          <c:extLst>
            <c:ext xmlns:c16="http://schemas.microsoft.com/office/drawing/2014/chart" uri="{C3380CC4-5D6E-409C-BE32-E72D297353CC}">
              <c16:uniqueId val="{0000000D-5C95-4221-9029-5C931393BA07}"/>
            </c:ext>
          </c:extLst>
        </c:ser>
        <c:ser>
          <c:idx val="15"/>
          <c:order val="15"/>
          <c:tx>
            <c:strRef>
              <c:f>WCL!$B$16</c:f>
              <c:strCache>
                <c:ptCount val="1"/>
                <c:pt idx="0">
                  <c:v>Purchase</c:v>
                </c:pt>
              </c:strCache>
            </c:strRef>
          </c:tx>
          <c:spPr>
            <a:solidFill>
              <a:srgbClr val="B6D7A8">
                <a:alpha val="88000"/>
              </a:srgbClr>
            </a:solidFill>
            <a:ln>
              <a:solidFill>
                <a:srgbClr val="B6D7A8"/>
              </a:solidFill>
            </a:ln>
            <a:effectLst/>
            <a:scene3d>
              <a:camera prst="orthographicFront"/>
              <a:lightRig rig="threePt" dir="t"/>
            </a:scene3d>
            <a:sp3d prstMaterial="flat">
              <a:contourClr>
                <a:srgbClr val="B6D7A8"/>
              </a:contourClr>
            </a:sp3d>
          </c:spPr>
          <c:invertIfNegative val="0"/>
          <c:dLbls>
            <c:spPr>
              <a:solidFill>
                <a:srgbClr val="ED7D31">
                  <a:lumMod val="8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val>
            <c:numRef>
              <c:f>WCL!$C$16</c:f>
              <c:numCache>
                <c:formatCode>General</c:formatCode>
                <c:ptCount val="1"/>
                <c:pt idx="0">
                  <c:v>0</c:v>
                </c:pt>
              </c:numCache>
            </c:numRef>
          </c:val>
          <c:extLst>
            <c:ext xmlns:c16="http://schemas.microsoft.com/office/drawing/2014/chart" uri="{C3380CC4-5D6E-409C-BE32-E72D297353CC}">
              <c16:uniqueId val="{0000000E-5C95-4221-9029-5C931393BA07}"/>
            </c:ext>
          </c:extLst>
        </c:ser>
        <c:ser>
          <c:idx val="16"/>
          <c:order val="16"/>
          <c:tx>
            <c:strRef>
              <c:f>WCL!$B$17</c:f>
              <c:strCache>
                <c:ptCount val="1"/>
                <c:pt idx="0">
                  <c:v>Reverse Mortgage Opportunity</c:v>
                </c:pt>
              </c:strCache>
            </c:strRef>
          </c:tx>
          <c:spPr>
            <a:solidFill>
              <a:srgbClr val="B45F06">
                <a:alpha val="87843"/>
              </a:srgbClr>
            </a:solidFill>
            <a:ln>
              <a:solidFill>
                <a:srgbClr val="B45F06"/>
              </a:solidFill>
            </a:ln>
            <a:effectLst/>
            <a:scene3d>
              <a:camera prst="orthographicFront"/>
              <a:lightRig rig="threePt" dir="t"/>
            </a:scene3d>
            <a:sp3d prstMaterial="flat">
              <a:contourClr>
                <a:srgbClr val="B45F06"/>
              </a:contourClr>
            </a:sp3d>
          </c:spPr>
          <c:invertIfNegative val="0"/>
          <c:dLbls>
            <c:spPr>
              <a:solidFill>
                <a:srgbClr val="A5A5A5">
                  <a:lumMod val="8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val>
            <c:numRef>
              <c:f>WCL!$C$17</c:f>
              <c:numCache>
                <c:formatCode>General</c:formatCode>
                <c:ptCount val="1"/>
                <c:pt idx="0">
                  <c:v>0</c:v>
                </c:pt>
              </c:numCache>
            </c:numRef>
          </c:val>
          <c:extLst>
            <c:ext xmlns:c16="http://schemas.microsoft.com/office/drawing/2014/chart" uri="{C3380CC4-5D6E-409C-BE32-E72D297353CC}">
              <c16:uniqueId val="{0000000F-5C95-4221-9029-5C931393BA07}"/>
            </c:ext>
          </c:extLst>
        </c:ser>
        <c:ser>
          <c:idx val="17"/>
          <c:order val="17"/>
          <c:tx>
            <c:strRef>
              <c:f>WCL!$B$18</c:f>
              <c:strCache>
                <c:ptCount val="1"/>
                <c:pt idx="0">
                  <c:v>*Thinking about it*</c:v>
                </c:pt>
              </c:strCache>
            </c:strRef>
          </c:tx>
          <c:spPr>
            <a:solidFill>
              <a:srgbClr val="FFF2CC">
                <a:alpha val="88000"/>
              </a:srgbClr>
            </a:solidFill>
            <a:ln>
              <a:solidFill>
                <a:schemeClr val="accent6">
                  <a:lumMod val="80000"/>
                  <a:lumOff val="20000"/>
                  <a:lumMod val="50000"/>
                </a:schemeClr>
              </a:solidFill>
            </a:ln>
            <a:effectLst/>
            <a:scene3d>
              <a:camera prst="orthographicFront"/>
              <a:lightRig rig="threePt" dir="t"/>
            </a:scene3d>
            <a:sp3d prstMaterial="flat">
              <a:contourClr>
                <a:schemeClr val="accent6">
                  <a:lumMod val="80000"/>
                  <a:lumOff val="20000"/>
                  <a:lumMod val="50000"/>
                </a:schemeClr>
              </a:contourClr>
            </a:sp3d>
          </c:spPr>
          <c:invertIfNegative val="0"/>
          <c:dLbls>
            <c:spPr>
              <a:solidFill>
                <a:srgbClr val="ED7D31">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val>
            <c:numRef>
              <c:f>WCL!$C$18</c:f>
              <c:numCache>
                <c:formatCode>General</c:formatCode>
                <c:ptCount val="1"/>
                <c:pt idx="0">
                  <c:v>0</c:v>
                </c:pt>
              </c:numCache>
            </c:numRef>
          </c:val>
          <c:extLst>
            <c:ext xmlns:c16="http://schemas.microsoft.com/office/drawing/2014/chart" uri="{C3380CC4-5D6E-409C-BE32-E72D297353CC}">
              <c16:uniqueId val="{00000010-5C95-4221-9029-5C931393BA07}"/>
            </c:ext>
          </c:extLst>
        </c:ser>
        <c:ser>
          <c:idx val="18"/>
          <c:order val="18"/>
          <c:tx>
            <c:strRef>
              <c:f>WCL!$B$19</c:f>
              <c:strCache>
                <c:ptCount val="1"/>
                <c:pt idx="0">
                  <c:v>Docs Received!</c:v>
                </c:pt>
              </c:strCache>
            </c:strRef>
          </c:tx>
          <c:spPr>
            <a:solidFill>
              <a:srgbClr val="00FFFF">
                <a:alpha val="88000"/>
              </a:srgbClr>
            </a:solidFill>
            <a:ln>
              <a:solidFill>
                <a:schemeClr val="accent1">
                  <a:lumMod val="80000"/>
                  <a:lumMod val="50000"/>
                </a:schemeClr>
              </a:solidFill>
            </a:ln>
            <a:effectLst/>
            <a:scene3d>
              <a:camera prst="orthographicFront"/>
              <a:lightRig rig="threePt" dir="t"/>
            </a:scene3d>
            <a:sp3d prstMaterial="flat">
              <a:contourClr>
                <a:schemeClr val="accent1">
                  <a:lumMod val="80000"/>
                  <a:lumMod val="50000"/>
                </a:schemeClr>
              </a:contourClr>
            </a:sp3d>
          </c:spPr>
          <c:invertIfNegative val="0"/>
          <c:dLbls>
            <c:spPr>
              <a:solidFill>
                <a:srgbClr val="4472C4">
                  <a:lumMod val="6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val>
            <c:numRef>
              <c:f>WCL!$C$19</c:f>
              <c:numCache>
                <c:formatCode>General</c:formatCode>
                <c:ptCount val="1"/>
                <c:pt idx="0">
                  <c:v>0</c:v>
                </c:pt>
              </c:numCache>
            </c:numRef>
          </c:val>
          <c:extLst>
            <c:ext xmlns:c16="http://schemas.microsoft.com/office/drawing/2014/chart" uri="{C3380CC4-5D6E-409C-BE32-E72D297353CC}">
              <c16:uniqueId val="{00000011-5C95-4221-9029-5C931393BA07}"/>
            </c:ext>
          </c:extLst>
        </c:ser>
        <c:ser>
          <c:idx val="19"/>
          <c:order val="19"/>
          <c:tx>
            <c:strRef>
              <c:f>WCL!$B$20</c:f>
              <c:strCache>
                <c:ptCount val="1"/>
                <c:pt idx="0">
                  <c:v>Verified Approval Letter</c:v>
                </c:pt>
              </c:strCache>
            </c:strRef>
          </c:tx>
          <c:spPr>
            <a:solidFill>
              <a:srgbClr val="999999">
                <a:alpha val="88000"/>
              </a:srgbClr>
            </a:solidFill>
            <a:ln>
              <a:solidFill>
                <a:schemeClr val="accent2">
                  <a:lumMod val="80000"/>
                  <a:lumMod val="50000"/>
                </a:schemeClr>
              </a:solidFill>
            </a:ln>
            <a:effectLst/>
            <a:scene3d>
              <a:camera prst="orthographicFront"/>
              <a:lightRig rig="threePt" dir="t"/>
            </a:scene3d>
            <a:sp3d prstMaterial="flat">
              <a:contourClr>
                <a:schemeClr val="accent2">
                  <a:lumMod val="80000"/>
                  <a:lumMod val="50000"/>
                </a:schemeClr>
              </a:contourClr>
            </a:sp3d>
          </c:spPr>
          <c:invertIfNegative val="0"/>
          <c:dPt>
            <c:idx val="0"/>
            <c:invertIfNegative val="0"/>
            <c:bubble3D val="0"/>
            <c:spPr>
              <a:solidFill>
                <a:srgbClr val="999999">
                  <a:alpha val="88000"/>
                </a:srgbClr>
              </a:solidFill>
              <a:ln>
                <a:solidFill>
                  <a:srgbClr val="999999"/>
                </a:solidFill>
              </a:ln>
              <a:effectLst/>
              <a:scene3d>
                <a:camera prst="orthographicFront"/>
                <a:lightRig rig="threePt" dir="t"/>
              </a:scene3d>
              <a:sp3d prstMaterial="flat">
                <a:contourClr>
                  <a:srgbClr val="999999"/>
                </a:contourClr>
              </a:sp3d>
            </c:spPr>
            <c:extLst>
              <c:ext xmlns:c16="http://schemas.microsoft.com/office/drawing/2014/chart" uri="{C3380CC4-5D6E-409C-BE32-E72D297353CC}">
                <c16:uniqueId val="{00000003-70B8-4829-AE5E-45575D45F237}"/>
              </c:ext>
            </c:extLst>
          </c:dPt>
          <c:dLbls>
            <c:spPr>
              <a:solidFill>
                <a:srgbClr val="ED7D31">
                  <a:lumMod val="8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val>
            <c:numRef>
              <c:f>WCL!$C$20</c:f>
              <c:numCache>
                <c:formatCode>General</c:formatCode>
                <c:ptCount val="1"/>
                <c:pt idx="0">
                  <c:v>0</c:v>
                </c:pt>
              </c:numCache>
            </c:numRef>
          </c:val>
          <c:extLst>
            <c:ext xmlns:c16="http://schemas.microsoft.com/office/drawing/2014/chart" uri="{C3380CC4-5D6E-409C-BE32-E72D297353CC}">
              <c16:uniqueId val="{00000012-5C95-4221-9029-5C931393BA07}"/>
            </c:ext>
          </c:extLst>
        </c:ser>
        <c:ser>
          <c:idx val="20"/>
          <c:order val="20"/>
          <c:tx>
            <c:strRef>
              <c:f>WCL!$B$21</c:f>
              <c:strCache>
                <c:ptCount val="1"/>
                <c:pt idx="0">
                  <c:v>Commercial/Business Loan</c:v>
                </c:pt>
              </c:strCache>
            </c:strRef>
          </c:tx>
          <c:spPr>
            <a:solidFill>
              <a:srgbClr val="B4C6E7">
                <a:alpha val="88000"/>
              </a:srgbClr>
            </a:solidFill>
            <a:ln>
              <a:solidFill>
                <a:schemeClr val="accent3">
                  <a:lumMod val="80000"/>
                  <a:lumMod val="50000"/>
                </a:schemeClr>
              </a:solidFill>
            </a:ln>
            <a:effectLst/>
            <a:scene3d>
              <a:camera prst="orthographicFront"/>
              <a:lightRig rig="threePt" dir="t"/>
            </a:scene3d>
            <a:sp3d prstMaterial="flat">
              <a:contourClr>
                <a:schemeClr val="accent3">
                  <a:lumMod val="80000"/>
                  <a:lumMod val="50000"/>
                </a:schemeClr>
              </a:contourClr>
            </a:sp3d>
          </c:spPr>
          <c:invertIfNegative val="0"/>
          <c:dLbls>
            <c:spPr>
              <a:solidFill>
                <a:srgbClr val="4472C4">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val>
            <c:numRef>
              <c:f>WCL!$C$21</c:f>
              <c:numCache>
                <c:formatCode>General</c:formatCode>
                <c:ptCount val="1"/>
                <c:pt idx="0">
                  <c:v>0</c:v>
                </c:pt>
              </c:numCache>
            </c:numRef>
          </c:val>
          <c:extLst>
            <c:ext xmlns:c16="http://schemas.microsoft.com/office/drawing/2014/chart" uri="{C3380CC4-5D6E-409C-BE32-E72D297353CC}">
              <c16:uniqueId val="{00000013-5C95-4221-9029-5C931393BA07}"/>
            </c:ext>
          </c:extLst>
        </c:ser>
        <c:ser>
          <c:idx val="21"/>
          <c:order val="21"/>
          <c:tx>
            <c:strRef>
              <c:f>WCL!$B$22</c:f>
              <c:strCache>
                <c:ptCount val="1"/>
                <c:pt idx="0">
                  <c:v>Credit - Wayfinder</c:v>
                </c:pt>
              </c:strCache>
            </c:strRef>
          </c:tx>
          <c:spPr>
            <a:solidFill>
              <a:srgbClr val="6AA84F">
                <a:alpha val="88000"/>
              </a:srgbClr>
            </a:solidFill>
            <a:ln>
              <a:solidFill>
                <a:schemeClr val="accent4">
                  <a:lumMod val="80000"/>
                  <a:lumMod val="50000"/>
                </a:schemeClr>
              </a:solidFill>
            </a:ln>
            <a:effectLst/>
            <a:scene3d>
              <a:camera prst="orthographicFront"/>
              <a:lightRig rig="threePt" dir="t"/>
            </a:scene3d>
            <a:sp3d prstMaterial="flat">
              <a:contourClr>
                <a:schemeClr val="accent4">
                  <a:lumMod val="80000"/>
                  <a:lumMod val="50000"/>
                </a:schemeClr>
              </a:contourClr>
            </a:sp3d>
          </c:spPr>
          <c:invertIfNegative val="0"/>
          <c:dLbls>
            <c:spPr>
              <a:solidFill>
                <a:srgbClr val="5B9BD5">
                  <a:lumMod val="6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val>
            <c:numRef>
              <c:f>WCL!$C$22</c:f>
              <c:numCache>
                <c:formatCode>General</c:formatCode>
                <c:ptCount val="1"/>
                <c:pt idx="0">
                  <c:v>0</c:v>
                </c:pt>
              </c:numCache>
            </c:numRef>
          </c:val>
          <c:extLst>
            <c:ext xmlns:c16="http://schemas.microsoft.com/office/drawing/2014/chart" uri="{C3380CC4-5D6E-409C-BE32-E72D297353CC}">
              <c16:uniqueId val="{00000014-5C95-4221-9029-5C931393BA07}"/>
            </c:ext>
          </c:extLst>
        </c:ser>
        <c:ser>
          <c:idx val="22"/>
          <c:order val="22"/>
          <c:tx>
            <c:strRef>
              <c:f>WCL!$B$23</c:f>
              <c:strCache>
                <c:ptCount val="1"/>
                <c:pt idx="0">
                  <c:v>Disclosures Going Out...</c:v>
                </c:pt>
              </c:strCache>
            </c:strRef>
          </c:tx>
          <c:spPr>
            <a:solidFill>
              <a:srgbClr val="FF9900">
                <a:alpha val="87843"/>
              </a:srgbClr>
            </a:solidFill>
            <a:ln>
              <a:solidFill>
                <a:schemeClr val="accent5">
                  <a:lumMod val="80000"/>
                  <a:lumMod val="50000"/>
                </a:schemeClr>
              </a:solidFill>
            </a:ln>
            <a:effectLst/>
            <a:scene3d>
              <a:camera prst="orthographicFront"/>
              <a:lightRig rig="threePt" dir="t"/>
            </a:scene3d>
            <a:sp3d prstMaterial="flat">
              <a:contourClr>
                <a:schemeClr val="accent5">
                  <a:lumMod val="80000"/>
                  <a:lumMod val="50000"/>
                </a:schemeClr>
              </a:contourClr>
            </a:sp3d>
          </c:spPr>
          <c:invertIfNegative val="0"/>
          <c:dLbls>
            <c:spPr>
              <a:solidFill>
                <a:srgbClr val="ED7D31">
                  <a:lumMod val="6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val>
            <c:numRef>
              <c:f>WCL!$C$23</c:f>
              <c:numCache>
                <c:formatCode>General</c:formatCode>
                <c:ptCount val="1"/>
                <c:pt idx="0">
                  <c:v>0</c:v>
                </c:pt>
              </c:numCache>
            </c:numRef>
          </c:val>
          <c:extLst>
            <c:ext xmlns:c16="http://schemas.microsoft.com/office/drawing/2014/chart" uri="{C3380CC4-5D6E-409C-BE32-E72D297353CC}">
              <c16:uniqueId val="{00000015-5C95-4221-9029-5C931393BA07}"/>
            </c:ext>
          </c:extLst>
        </c:ser>
        <c:ser>
          <c:idx val="23"/>
          <c:order val="23"/>
          <c:tx>
            <c:strRef>
              <c:f>WCL!$B$24</c:f>
              <c:strCache>
                <c:ptCount val="1"/>
                <c:pt idx="0">
                  <c:v>E-signed!</c:v>
                </c:pt>
              </c:strCache>
            </c:strRef>
          </c:tx>
          <c:spPr>
            <a:solidFill>
              <a:srgbClr val="FF00FF">
                <a:alpha val="88000"/>
              </a:srgbClr>
            </a:solidFill>
            <a:ln>
              <a:solidFill>
                <a:schemeClr val="accent6">
                  <a:lumMod val="80000"/>
                  <a:lumMod val="50000"/>
                </a:schemeClr>
              </a:solidFill>
            </a:ln>
            <a:effectLst/>
            <a:scene3d>
              <a:camera prst="orthographicFront"/>
              <a:lightRig rig="threePt" dir="t"/>
            </a:scene3d>
            <a:sp3d prstMaterial="flat">
              <a:contourClr>
                <a:schemeClr val="accent6">
                  <a:lumMod val="80000"/>
                  <a:lumMod val="50000"/>
                </a:schemeClr>
              </a:contourClr>
            </a:sp3d>
          </c:spPr>
          <c:invertIfNegative val="0"/>
          <c:dLbls>
            <c:spPr>
              <a:solidFill>
                <a:srgbClr val="70AD47">
                  <a:lumMod val="6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val>
            <c:numRef>
              <c:f>WCL!$C$24</c:f>
              <c:numCache>
                <c:formatCode>General</c:formatCode>
                <c:ptCount val="1"/>
                <c:pt idx="0">
                  <c:v>0</c:v>
                </c:pt>
              </c:numCache>
            </c:numRef>
          </c:val>
          <c:extLst>
            <c:ext xmlns:c16="http://schemas.microsoft.com/office/drawing/2014/chart" uri="{C3380CC4-5D6E-409C-BE32-E72D297353CC}">
              <c16:uniqueId val="{00000016-5C95-4221-9029-5C931393BA07}"/>
            </c:ext>
          </c:extLst>
        </c:ser>
        <c:ser>
          <c:idx val="24"/>
          <c:order val="24"/>
          <c:tx>
            <c:strRef>
              <c:f>WCL!$B$25</c:f>
              <c:strCache>
                <c:ptCount val="1"/>
                <c:pt idx="0">
                  <c:v>Match or Beat</c:v>
                </c:pt>
              </c:strCache>
            </c:strRef>
          </c:tx>
          <c:spPr>
            <a:solidFill>
              <a:srgbClr val="FFF2CC">
                <a:alpha val="88000"/>
              </a:srgbClr>
            </a:solidFill>
            <a:ln>
              <a:solidFill>
                <a:schemeClr val="accent1">
                  <a:lumMod val="60000"/>
                  <a:lumOff val="40000"/>
                  <a:lumMod val="50000"/>
                </a:schemeClr>
              </a:solidFill>
            </a:ln>
            <a:effectLst/>
            <a:scene3d>
              <a:camera prst="orthographicFront"/>
              <a:lightRig rig="threePt" dir="t"/>
            </a:scene3d>
            <a:sp3d prstMaterial="flat">
              <a:contourClr>
                <a:schemeClr val="accent1">
                  <a:lumMod val="60000"/>
                  <a:lumOff val="40000"/>
                  <a:lumMod val="50000"/>
                </a:schemeClr>
              </a:contourClr>
            </a:sp3d>
          </c:spPr>
          <c:invertIfNegative val="0"/>
          <c:dLbls>
            <c:spPr>
              <a:solidFill>
                <a:srgbClr val="4472C4">
                  <a:lumMod val="80000"/>
                  <a:lumOff val="2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val>
            <c:numRef>
              <c:f>WCL!$C$25</c:f>
              <c:numCache>
                <c:formatCode>General</c:formatCode>
                <c:ptCount val="1"/>
                <c:pt idx="0">
                  <c:v>0</c:v>
                </c:pt>
              </c:numCache>
            </c:numRef>
          </c:val>
          <c:extLst>
            <c:ext xmlns:c16="http://schemas.microsoft.com/office/drawing/2014/chart" uri="{C3380CC4-5D6E-409C-BE32-E72D297353CC}">
              <c16:uniqueId val="{00000017-5C95-4221-9029-5C931393BA07}"/>
            </c:ext>
          </c:extLst>
        </c:ser>
        <c:ser>
          <c:idx val="25"/>
          <c:order val="25"/>
          <c:tx>
            <c:strRef>
              <c:f>WCL!$B$26</c:f>
              <c:strCache>
                <c:ptCount val="1"/>
                <c:pt idx="0">
                  <c:v>No Benefit</c:v>
                </c:pt>
              </c:strCache>
            </c:strRef>
          </c:tx>
          <c:spPr>
            <a:solidFill>
              <a:schemeClr val="accent2">
                <a:lumMod val="60000"/>
                <a:lumOff val="40000"/>
                <a:alpha val="88000"/>
              </a:schemeClr>
            </a:solidFill>
            <a:ln>
              <a:solidFill>
                <a:schemeClr val="accent2">
                  <a:lumMod val="60000"/>
                  <a:lumOff val="40000"/>
                  <a:lumMod val="50000"/>
                </a:schemeClr>
              </a:solidFill>
            </a:ln>
            <a:effectLst/>
            <a:scene3d>
              <a:camera prst="orthographicFront"/>
              <a:lightRig rig="threePt" dir="t"/>
            </a:scene3d>
            <a:sp3d prstMaterial="flat">
              <a:contourClr>
                <a:schemeClr val="accent2">
                  <a:lumMod val="60000"/>
                  <a:lumOff val="40000"/>
                  <a:lumMod val="50000"/>
                </a:schemeClr>
              </a:contourClr>
            </a:sp3d>
          </c:spPr>
          <c:invertIfNegative val="0"/>
          <c:dPt>
            <c:idx val="0"/>
            <c:invertIfNegative val="0"/>
            <c:bubble3D val="0"/>
            <c:spPr>
              <a:solidFill>
                <a:srgbClr val="B4C6E7">
                  <a:alpha val="88000"/>
                </a:srgbClr>
              </a:solidFill>
              <a:ln>
                <a:solidFill>
                  <a:srgbClr val="B4C6E7"/>
                </a:solidFill>
              </a:ln>
              <a:effectLst/>
              <a:scene3d>
                <a:camera prst="orthographicFront"/>
                <a:lightRig rig="threePt" dir="t"/>
              </a:scene3d>
              <a:sp3d prstMaterial="flat">
                <a:contourClr>
                  <a:srgbClr val="B4C6E7"/>
                </a:contourClr>
              </a:sp3d>
            </c:spPr>
            <c:extLst>
              <c:ext xmlns:c16="http://schemas.microsoft.com/office/drawing/2014/chart" uri="{C3380CC4-5D6E-409C-BE32-E72D297353CC}">
                <c16:uniqueId val="{00000002-70B8-4829-AE5E-45575D45F237}"/>
              </c:ext>
            </c:extLst>
          </c:dPt>
          <c:dLbls>
            <c:spPr>
              <a:solidFill>
                <a:srgbClr val="ED7D31">
                  <a:lumMod val="60000"/>
                  <a:lumOff val="4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val>
            <c:numRef>
              <c:f>WCL!$C$26</c:f>
              <c:numCache>
                <c:formatCode>General</c:formatCode>
                <c:ptCount val="1"/>
                <c:pt idx="0">
                  <c:v>0</c:v>
                </c:pt>
              </c:numCache>
            </c:numRef>
          </c:val>
          <c:extLst>
            <c:ext xmlns:c16="http://schemas.microsoft.com/office/drawing/2014/chart" uri="{C3380CC4-5D6E-409C-BE32-E72D297353CC}">
              <c16:uniqueId val="{00000000-FB1E-41AD-B15E-CD361568DAE2}"/>
            </c:ext>
          </c:extLst>
        </c:ser>
        <c:ser>
          <c:idx val="26"/>
          <c:order val="26"/>
          <c:tx>
            <c:strRef>
              <c:f>WCL!$B$27</c:f>
              <c:strCache>
                <c:ptCount val="1"/>
                <c:pt idx="0">
                  <c:v>Went With Another Lender</c:v>
                </c:pt>
              </c:strCache>
            </c:strRef>
          </c:tx>
          <c:spPr>
            <a:solidFill>
              <a:srgbClr val="FFE8A7">
                <a:alpha val="88000"/>
              </a:srgbClr>
            </a:solidFill>
            <a:ln>
              <a:solidFill>
                <a:schemeClr val="accent3">
                  <a:lumMod val="60000"/>
                  <a:lumOff val="40000"/>
                  <a:lumMod val="50000"/>
                </a:schemeClr>
              </a:solidFill>
            </a:ln>
            <a:effectLst/>
            <a:scene3d>
              <a:camera prst="orthographicFront"/>
              <a:lightRig rig="threePt" dir="t"/>
            </a:scene3d>
            <a:sp3d prstMaterial="flat">
              <a:contourClr>
                <a:schemeClr val="accent3">
                  <a:lumMod val="60000"/>
                  <a:lumOff val="40000"/>
                  <a:lumMod val="50000"/>
                </a:schemeClr>
              </a:contourClr>
            </a:sp3d>
          </c:spPr>
          <c:invertIfNegative val="0"/>
          <c:dPt>
            <c:idx val="0"/>
            <c:invertIfNegative val="0"/>
            <c:bubble3D val="0"/>
            <c:spPr>
              <a:solidFill>
                <a:srgbClr val="B6D7A8">
                  <a:alpha val="88000"/>
                </a:srgbClr>
              </a:solidFill>
              <a:ln>
                <a:solidFill>
                  <a:srgbClr val="B6D7A8"/>
                </a:solidFill>
              </a:ln>
              <a:effectLst/>
              <a:scene3d>
                <a:camera prst="orthographicFront"/>
                <a:lightRig rig="threePt" dir="t"/>
              </a:scene3d>
              <a:sp3d prstMaterial="flat">
                <a:contourClr>
                  <a:srgbClr val="B6D7A8"/>
                </a:contourClr>
              </a:sp3d>
            </c:spPr>
            <c:extLst>
              <c:ext xmlns:c16="http://schemas.microsoft.com/office/drawing/2014/chart" uri="{C3380CC4-5D6E-409C-BE32-E72D297353CC}">
                <c16:uniqueId val="{00000000-70B8-4829-AE5E-45575D45F237}"/>
              </c:ext>
            </c:extLst>
          </c:dPt>
          <c:dLbls>
            <c:spPr>
              <a:solidFill>
                <a:srgbClr val="A5A5A5">
                  <a:lumMod val="60000"/>
                  <a:lumOff val="4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val>
            <c:numRef>
              <c:f>WCL!$C$27</c:f>
              <c:numCache>
                <c:formatCode>General</c:formatCode>
                <c:ptCount val="1"/>
                <c:pt idx="0">
                  <c:v>0</c:v>
                </c:pt>
              </c:numCache>
            </c:numRef>
          </c:val>
          <c:extLst>
            <c:ext xmlns:c16="http://schemas.microsoft.com/office/drawing/2014/chart" uri="{C3380CC4-5D6E-409C-BE32-E72D297353CC}">
              <c16:uniqueId val="{00000001-FB1E-41AD-B15E-CD361568DAE2}"/>
            </c:ext>
          </c:extLst>
        </c:ser>
        <c:ser>
          <c:idx val="27"/>
          <c:order val="27"/>
          <c:tx>
            <c:strRef>
              <c:f>WCL!$B$28</c:f>
              <c:strCache>
                <c:ptCount val="1"/>
                <c:pt idx="0">
                  <c:v>Submitted to Underwriting</c:v>
                </c:pt>
              </c:strCache>
            </c:strRef>
          </c:tx>
          <c:spPr>
            <a:solidFill>
              <a:schemeClr val="accent4">
                <a:lumMod val="60000"/>
                <a:lumOff val="40000"/>
                <a:alpha val="88000"/>
              </a:schemeClr>
            </a:solidFill>
            <a:ln>
              <a:solidFill>
                <a:schemeClr val="accent4">
                  <a:lumMod val="60000"/>
                  <a:lumOff val="40000"/>
                  <a:lumMod val="50000"/>
                </a:schemeClr>
              </a:solidFill>
            </a:ln>
            <a:effectLst/>
            <a:scene3d>
              <a:camera prst="orthographicFront"/>
              <a:lightRig rig="threePt" dir="t"/>
            </a:scene3d>
            <a:sp3d prstMaterial="flat">
              <a:contourClr>
                <a:schemeClr val="accent4">
                  <a:lumMod val="60000"/>
                  <a:lumOff val="40000"/>
                  <a:lumMod val="50000"/>
                </a:schemeClr>
              </a:contourClr>
            </a:sp3d>
          </c:spPr>
          <c:invertIfNegative val="0"/>
          <c:dLbls>
            <c:spPr>
              <a:solidFill>
                <a:srgbClr val="FFC000">
                  <a:lumMod val="60000"/>
                  <a:lumOff val="4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val>
            <c:numRef>
              <c:f>WCL!$C$28</c:f>
              <c:numCache>
                <c:formatCode>General</c:formatCode>
                <c:ptCount val="1"/>
                <c:pt idx="0">
                  <c:v>0</c:v>
                </c:pt>
              </c:numCache>
            </c:numRef>
          </c:val>
          <c:extLst>
            <c:ext xmlns:c16="http://schemas.microsoft.com/office/drawing/2014/chart" uri="{C3380CC4-5D6E-409C-BE32-E72D297353CC}">
              <c16:uniqueId val="{0000000A-81A8-4016-9911-71AEEF04E83B}"/>
            </c:ext>
          </c:extLst>
        </c:ser>
        <c:ser>
          <c:idx val="28"/>
          <c:order val="28"/>
          <c:tx>
            <c:strRef>
              <c:f>WCL!$B$29</c:f>
              <c:strCache>
                <c:ptCount val="1"/>
                <c:pt idx="0">
                  <c:v>Clear to Close</c:v>
                </c:pt>
              </c:strCache>
            </c:strRef>
          </c:tx>
          <c:spPr>
            <a:solidFill>
              <a:srgbClr val="92D050">
                <a:alpha val="88000"/>
              </a:srgbClr>
            </a:solidFill>
            <a:ln>
              <a:solidFill>
                <a:schemeClr val="accent5">
                  <a:lumMod val="60000"/>
                  <a:lumOff val="40000"/>
                  <a:lumMod val="50000"/>
                </a:schemeClr>
              </a:solidFill>
            </a:ln>
            <a:effectLst/>
            <a:scene3d>
              <a:camera prst="orthographicFront"/>
              <a:lightRig rig="threePt" dir="t"/>
            </a:scene3d>
            <a:sp3d prstMaterial="flat">
              <a:contourClr>
                <a:schemeClr val="accent5">
                  <a:lumMod val="60000"/>
                  <a:lumOff val="40000"/>
                  <a:lumMod val="50000"/>
                </a:schemeClr>
              </a:contourClr>
            </a:sp3d>
          </c:spPr>
          <c:invertIfNegative val="0"/>
          <c:dPt>
            <c:idx val="0"/>
            <c:invertIfNegative val="0"/>
            <c:bubble3D val="0"/>
            <c:spPr>
              <a:solidFill>
                <a:srgbClr val="92D050">
                  <a:alpha val="88000"/>
                </a:srgbClr>
              </a:solidFill>
              <a:ln>
                <a:solidFill>
                  <a:srgbClr val="92D050"/>
                </a:solidFill>
              </a:ln>
              <a:effectLst/>
              <a:scene3d>
                <a:camera prst="orthographicFront"/>
                <a:lightRig rig="threePt" dir="t"/>
              </a:scene3d>
              <a:sp3d prstMaterial="flat">
                <a:contourClr>
                  <a:srgbClr val="92D050"/>
                </a:contourClr>
              </a:sp3d>
            </c:spPr>
            <c:extLst>
              <c:ext xmlns:c16="http://schemas.microsoft.com/office/drawing/2014/chart" uri="{C3380CC4-5D6E-409C-BE32-E72D297353CC}">
                <c16:uniqueId val="{00000010-81A8-4016-9911-71AEEF04E83B}"/>
              </c:ext>
            </c:extLst>
          </c:dPt>
          <c:dLbls>
            <c:spPr>
              <a:solidFill>
                <a:srgbClr val="4472C4">
                  <a:lumMod val="60000"/>
                  <a:lumOff val="4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val>
            <c:numRef>
              <c:f>WCL!$C$29</c:f>
              <c:numCache>
                <c:formatCode>General</c:formatCode>
                <c:ptCount val="1"/>
                <c:pt idx="0">
                  <c:v>0</c:v>
                </c:pt>
              </c:numCache>
            </c:numRef>
          </c:val>
          <c:extLst>
            <c:ext xmlns:c16="http://schemas.microsoft.com/office/drawing/2014/chart" uri="{C3380CC4-5D6E-409C-BE32-E72D297353CC}">
              <c16:uniqueId val="{0000000B-81A8-4016-9911-71AEEF04E83B}"/>
            </c:ext>
          </c:extLst>
        </c:ser>
        <c:ser>
          <c:idx val="29"/>
          <c:order val="29"/>
          <c:tx>
            <c:strRef>
              <c:f>WCL!$B$30</c:f>
              <c:strCache>
                <c:ptCount val="1"/>
                <c:pt idx="0">
                  <c:v>Suspended-Restructure</c:v>
                </c:pt>
              </c:strCache>
            </c:strRef>
          </c:tx>
          <c:spPr>
            <a:solidFill>
              <a:srgbClr val="FF0000">
                <a:alpha val="88000"/>
              </a:srgbClr>
            </a:solidFill>
            <a:ln>
              <a:solidFill>
                <a:srgbClr val="FF0000"/>
              </a:solidFill>
            </a:ln>
            <a:effectLst/>
            <a:scene3d>
              <a:camera prst="orthographicFront"/>
              <a:lightRig rig="threePt" dir="t"/>
            </a:scene3d>
            <a:sp3d prstMaterial="flat">
              <a:contourClr>
                <a:srgbClr val="FF0000"/>
              </a:contourClr>
            </a:sp3d>
          </c:spPr>
          <c:invertIfNegative val="0"/>
          <c:dLbls>
            <c:spPr>
              <a:solidFill>
                <a:srgbClr val="70AD47">
                  <a:lumMod val="60000"/>
                  <a:lumOff val="4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val>
            <c:numRef>
              <c:f>WCL!$C$30</c:f>
              <c:numCache>
                <c:formatCode>General</c:formatCode>
                <c:ptCount val="1"/>
                <c:pt idx="0">
                  <c:v>0</c:v>
                </c:pt>
              </c:numCache>
            </c:numRef>
          </c:val>
          <c:extLst>
            <c:ext xmlns:c16="http://schemas.microsoft.com/office/drawing/2014/chart" uri="{C3380CC4-5D6E-409C-BE32-E72D297353CC}">
              <c16:uniqueId val="{0000000C-81A8-4016-9911-71AEEF04E83B}"/>
            </c:ext>
          </c:extLst>
        </c:ser>
        <c:ser>
          <c:idx val="30"/>
          <c:order val="30"/>
          <c:tx>
            <c:strRef>
              <c:f>WCL!$B$31</c:f>
              <c:strCache>
                <c:ptCount val="1"/>
                <c:pt idx="0">
                  <c:v>Potential Cancel</c:v>
                </c:pt>
              </c:strCache>
            </c:strRef>
          </c:tx>
          <c:spPr>
            <a:solidFill>
              <a:srgbClr val="FF0000">
                <a:alpha val="88000"/>
              </a:srgbClr>
            </a:solidFill>
            <a:ln>
              <a:solidFill>
                <a:srgbClr val="FF0000"/>
              </a:solidFill>
            </a:ln>
            <a:effectLst/>
            <a:scene3d>
              <a:camera prst="orthographicFront"/>
              <a:lightRig rig="threePt" dir="t"/>
            </a:scene3d>
            <a:sp3d prstMaterial="flat">
              <a:contourClr>
                <a:srgbClr val="FF0000"/>
              </a:contourClr>
            </a:sp3d>
          </c:spPr>
          <c:invertIfNegative val="0"/>
          <c:dLbls>
            <c:spPr>
              <a:solidFill>
                <a:srgbClr val="5B9BD5">
                  <a:lumMod val="5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val>
            <c:numRef>
              <c:f>WCL!$C$31</c:f>
              <c:numCache>
                <c:formatCode>General</c:formatCode>
                <c:ptCount val="1"/>
                <c:pt idx="0">
                  <c:v>0</c:v>
                </c:pt>
              </c:numCache>
            </c:numRef>
          </c:val>
          <c:extLst>
            <c:ext xmlns:c16="http://schemas.microsoft.com/office/drawing/2014/chart" uri="{C3380CC4-5D6E-409C-BE32-E72D297353CC}">
              <c16:uniqueId val="{0000000D-81A8-4016-9911-71AEEF04E83B}"/>
            </c:ext>
          </c:extLst>
        </c:ser>
        <c:ser>
          <c:idx val="31"/>
          <c:order val="31"/>
          <c:tx>
            <c:strRef>
              <c:f>WCL!$B$32</c:f>
              <c:strCache>
                <c:ptCount val="1"/>
                <c:pt idx="0">
                  <c:v>Conditionally Approved</c:v>
                </c:pt>
              </c:strCache>
            </c:strRef>
          </c:tx>
          <c:spPr>
            <a:solidFill>
              <a:schemeClr val="accent2">
                <a:lumMod val="20000"/>
                <a:lumOff val="80000"/>
                <a:alpha val="88000"/>
              </a:schemeClr>
            </a:solidFill>
            <a:ln>
              <a:solidFill>
                <a:schemeClr val="accent2">
                  <a:lumMod val="20000"/>
                  <a:lumOff val="80000"/>
                </a:schemeClr>
              </a:solidFill>
            </a:ln>
            <a:effectLst/>
            <a:scene3d>
              <a:camera prst="orthographicFront"/>
              <a:lightRig rig="threePt" dir="t"/>
            </a:scene3d>
            <a:sp3d prstMaterial="flat">
              <a:contourClr>
                <a:schemeClr val="accent2">
                  <a:lumMod val="20000"/>
                  <a:lumOff val="80000"/>
                </a:schemeClr>
              </a:contourClr>
            </a:sp3d>
          </c:spPr>
          <c:invertIfNegative val="0"/>
          <c:dLbls>
            <c:spPr>
              <a:solidFill>
                <a:srgbClr val="ED7D31">
                  <a:lumMod val="5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val>
            <c:numRef>
              <c:f>WCL!$C$32</c:f>
              <c:numCache>
                <c:formatCode>General</c:formatCode>
                <c:ptCount val="1"/>
                <c:pt idx="0">
                  <c:v>0</c:v>
                </c:pt>
              </c:numCache>
            </c:numRef>
          </c:val>
          <c:extLst>
            <c:ext xmlns:c16="http://schemas.microsoft.com/office/drawing/2014/chart" uri="{C3380CC4-5D6E-409C-BE32-E72D297353CC}">
              <c16:uniqueId val="{0000000E-81A8-4016-9911-71AEEF04E83B}"/>
            </c:ext>
          </c:extLst>
        </c:ser>
        <c:ser>
          <c:idx val="32"/>
          <c:order val="32"/>
          <c:tx>
            <c:strRef>
              <c:f>WCL!$B$33</c:f>
              <c:strCache>
                <c:ptCount val="1"/>
                <c:pt idx="0">
                  <c:v>Quote Sent</c:v>
                </c:pt>
              </c:strCache>
            </c:strRef>
          </c:tx>
          <c:spPr>
            <a:solidFill>
              <a:srgbClr val="92D050">
                <a:alpha val="88000"/>
              </a:srgbClr>
            </a:solidFill>
            <a:ln>
              <a:solidFill>
                <a:srgbClr val="92D050"/>
              </a:solidFill>
            </a:ln>
            <a:effectLst/>
            <a:scene3d>
              <a:camera prst="orthographicFront"/>
              <a:lightRig rig="threePt" dir="t"/>
            </a:scene3d>
            <a:sp3d prstMaterial="flat">
              <a:contourClr>
                <a:srgbClr val="92D050"/>
              </a:contourClr>
            </a:sp3d>
          </c:spPr>
          <c:invertIfNegative val="0"/>
          <c:dLbls>
            <c:spPr>
              <a:solidFill>
                <a:srgbClr val="A5A5A5">
                  <a:lumMod val="5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val>
            <c:numRef>
              <c:f>WCL!$C$33</c:f>
              <c:numCache>
                <c:formatCode>General</c:formatCode>
                <c:ptCount val="1"/>
                <c:pt idx="0">
                  <c:v>1</c:v>
                </c:pt>
              </c:numCache>
            </c:numRef>
          </c:val>
          <c:extLst>
            <c:ext xmlns:c16="http://schemas.microsoft.com/office/drawing/2014/chart" uri="{C3380CC4-5D6E-409C-BE32-E72D297353CC}">
              <c16:uniqueId val="{0000000F-81A8-4016-9911-71AEEF04E83B}"/>
            </c:ext>
          </c:extLst>
        </c:ser>
        <c:dLbls>
          <c:showLegendKey val="0"/>
          <c:showVal val="1"/>
          <c:showCatName val="0"/>
          <c:showSerName val="0"/>
          <c:showPercent val="0"/>
          <c:showBubbleSize val="0"/>
        </c:dLbls>
        <c:gapWidth val="84"/>
        <c:gapDepth val="53"/>
        <c:shape val="box"/>
        <c:axId val="812459016"/>
        <c:axId val="812459344"/>
        <c:axId val="0"/>
      </c:bar3DChart>
      <c:catAx>
        <c:axId val="812459016"/>
        <c:scaling>
          <c:orientation val="minMax"/>
        </c:scaling>
        <c:delete val="1"/>
        <c:axPos val="b"/>
        <c:numFmt formatCode="General" sourceLinked="1"/>
        <c:majorTickMark val="none"/>
        <c:minorTickMark val="none"/>
        <c:tickLblPos val="nextTo"/>
        <c:crossAx val="812459344"/>
        <c:crosses val="autoZero"/>
        <c:auto val="1"/>
        <c:lblAlgn val="ctr"/>
        <c:lblOffset val="100"/>
        <c:noMultiLvlLbl val="0"/>
      </c:catAx>
      <c:valAx>
        <c:axId val="812459344"/>
        <c:scaling>
          <c:orientation val="minMax"/>
        </c:scaling>
        <c:delete val="1"/>
        <c:axPos val="l"/>
        <c:numFmt formatCode="General" sourceLinked="1"/>
        <c:majorTickMark val="out"/>
        <c:minorTickMark val="none"/>
        <c:tickLblPos val="nextTo"/>
        <c:crossAx val="812459016"/>
        <c:crosses val="autoZero"/>
        <c:crossBetween val="between"/>
      </c:valAx>
      <c:spPr>
        <a:noFill/>
        <a:ln>
          <a:noFill/>
        </a:ln>
        <a:effectLst/>
      </c:spPr>
    </c:plotArea>
    <c:legend>
      <c:legendPos val="t"/>
      <c:layout>
        <c:manualLayout>
          <c:xMode val="edge"/>
          <c:yMode val="edge"/>
          <c:x val="0.69070982696498973"/>
          <c:y val="1.4420803373993363E-2"/>
          <c:w val="0.3092901913721296"/>
          <c:h val="0.90353562175494295"/>
        </c:manualLayout>
      </c:layout>
      <c:overlay val="0"/>
      <c:spPr>
        <a:noFill/>
        <a:ln>
          <a:noFill/>
        </a:ln>
        <a:effectLst/>
      </c:spPr>
      <c:txPr>
        <a:bodyPr rot="0" spcFirstLastPara="1" vertOverflow="ellipsis" vert="horz" wrap="square" anchor="ctr" anchorCtr="1"/>
        <a:lstStyle/>
        <a:p>
          <a:pPr>
            <a:defRPr sz="1100" b="1" i="0" u="none" strike="noStrike" kern="1200" baseline="0">
              <a:solidFill>
                <a:schemeClr val="lt1">
                  <a:lumMod val="75000"/>
                </a:schemeClr>
              </a:solidFill>
              <a:latin typeface="+mn-lt"/>
              <a:ea typeface="+mn-ea"/>
              <a:cs typeface="+mn-cs"/>
            </a:defRPr>
          </a:pPr>
          <a:endParaRPr lang="en-US"/>
        </a:p>
      </c:txPr>
    </c:legend>
    <c:plotVisOnly val="1"/>
    <c:dispBlanksAs val="gap"/>
    <c:showDLblsOverMax val="0"/>
  </c:chart>
  <c:spPr>
    <a:noFill/>
    <a:ln w="6350"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4"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5.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83820</xdr:colOff>
          <xdr:row>0</xdr:row>
          <xdr:rowOff>60960</xdr:rowOff>
        </xdr:from>
        <xdr:to>
          <xdr:col>3</xdr:col>
          <xdr:colOff>571500</xdr:colOff>
          <xdr:row>0</xdr:row>
          <xdr:rowOff>800100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sng" strike="noStrike" baseline="0">
                  <a:solidFill>
                    <a:srgbClr val="003366"/>
                  </a:solidFill>
                  <a:latin typeface="Calibri"/>
                  <a:ea typeface="Calibri"/>
                  <a:cs typeface="Calibri"/>
                </a:rPr>
                <a:t>Add New Lead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83820</xdr:colOff>
          <xdr:row>0</xdr:row>
          <xdr:rowOff>845820</xdr:rowOff>
        </xdr:from>
        <xdr:to>
          <xdr:col>1</xdr:col>
          <xdr:colOff>1249680</xdr:colOff>
          <xdr:row>0</xdr:row>
          <xdr:rowOff>1813560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3366"/>
                  </a:solidFill>
                  <a:latin typeface="Calibri"/>
                  <a:ea typeface="Calibri"/>
                  <a:cs typeface="Calibri"/>
                </a:rPr>
                <a:t>Move to Hot Hot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1257300</xdr:colOff>
          <xdr:row>0</xdr:row>
          <xdr:rowOff>845820</xdr:rowOff>
        </xdr:from>
        <xdr:to>
          <xdr:col>3</xdr:col>
          <xdr:colOff>571500</xdr:colOff>
          <xdr:row>0</xdr:row>
          <xdr:rowOff>1813560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3366"/>
                  </a:solidFill>
                  <a:latin typeface="Calibri"/>
                  <a:ea typeface="Calibri"/>
                  <a:cs typeface="Calibri"/>
                </a:rPr>
                <a:t>Move to Active Pipeline </a:t>
              </a:r>
            </a:p>
          </xdr:txBody>
        </xdr:sp>
        <xdr:clientData fPrintsWithSheet="0"/>
      </xdr:twoCellAnchor>
    </mc:Choice>
    <mc:Fallback/>
  </mc:AlternateContent>
  <xdr:twoCellAnchor editAs="absolute">
    <xdr:from>
      <xdr:col>3</xdr:col>
      <xdr:colOff>810586</xdr:colOff>
      <xdr:row>0</xdr:row>
      <xdr:rowOff>153147</xdr:rowOff>
    </xdr:from>
    <xdr:to>
      <xdr:col>31</xdr:col>
      <xdr:colOff>134470</xdr:colOff>
      <xdr:row>1</xdr:row>
      <xdr:rowOff>4703</xdr:rowOff>
    </xdr:to>
    <xdr:grpSp>
      <xdr:nvGrpSpPr>
        <xdr:cNvPr id="4" name="Group 1">
          <a:extLst>
            <a:ext uri="{FF2B5EF4-FFF2-40B4-BE49-F238E27FC236}">
              <a16:creationId xmlns:a16="http://schemas.microsoft.com/office/drawing/2014/main" id="{00000000-0008-0000-0000-000002000000}"/>
            </a:ext>
          </a:extLst>
        </xdr:cNvPr>
        <xdr:cNvGrpSpPr/>
      </xdr:nvGrpSpPr>
      <xdr:grpSpPr>
        <a:xfrm>
          <a:off x="4206929" y="153147"/>
          <a:ext cx="26570827" cy="1745670"/>
          <a:chOff x="4008438" y="63500"/>
          <a:chExt cx="15571739" cy="2287535"/>
        </a:xfrm>
      </xdr:grpSpPr>
      <xdr:graphicFrame macro="">
        <xdr:nvGraphicFramePr>
          <xdr:cNvPr id="5"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4117395" y="75620"/>
          <a:ext cx="15462782" cy="2275415"/>
        </xdr:xfrm>
        <a:graphic>
          <a:graphicData uri="http://schemas.openxmlformats.org/drawingml/2006/chart">
            <c:chart xmlns:c="http://schemas.openxmlformats.org/drawingml/2006/chart" xmlns:r="http://schemas.openxmlformats.org/officeDocument/2006/relationships" r:id="rId1"/>
          </a:graphicData>
        </a:graphic>
      </xdr:graphicFrame>
      <xdr:sp macro="" textlink="">
        <xdr:nvSpPr>
          <xdr:cNvPr id="6" name="Rounded Rectangle 6">
            <a:extLst>
              <a:ext uri="{FF2B5EF4-FFF2-40B4-BE49-F238E27FC236}">
                <a16:creationId xmlns:a16="http://schemas.microsoft.com/office/drawing/2014/main" id="{00000000-0008-0000-0000-000007000000}"/>
              </a:ext>
            </a:extLst>
          </xdr:cNvPr>
          <xdr:cNvSpPr/>
        </xdr:nvSpPr>
        <xdr:spPr>
          <a:xfrm>
            <a:off x="4008438" y="63500"/>
            <a:ext cx="15510930" cy="2275417"/>
          </a:xfrm>
          <a:prstGeom prst="roundRect">
            <a:avLst/>
          </a:prstGeom>
          <a:noFill/>
          <a:ln>
            <a:solidFill>
              <a:schemeClr val="bg1">
                <a:lumMod val="85000"/>
              </a:schemeClr>
            </a:solidFill>
          </a:ln>
          <a:effectLst>
            <a:glow rad="139700">
              <a:schemeClr val="accent3">
                <a:satMod val="175000"/>
                <a:alpha val="40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editAs="absolute">
    <xdr:from>
      <xdr:col>3</xdr:col>
      <xdr:colOff>891489</xdr:colOff>
      <xdr:row>0</xdr:row>
      <xdr:rowOff>686671</xdr:rowOff>
    </xdr:from>
    <xdr:to>
      <xdr:col>4</xdr:col>
      <xdr:colOff>683035</xdr:colOff>
      <xdr:row>0</xdr:row>
      <xdr:rowOff>1333019</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186018" y="686671"/>
          <a:ext cx="2391311" cy="646348"/>
        </a:xfrm>
        <a:prstGeom prst="rect">
          <a:avLst/>
        </a:prstGeom>
      </xdr:spPr>
    </xdr:pic>
    <xdr:clientData/>
  </xdr:twoCellAnchor>
  <xdr:twoCellAnchor>
    <xdr:from>
      <xdr:col>1</xdr:col>
      <xdr:colOff>268943</xdr:colOff>
      <xdr:row>3</xdr:row>
      <xdr:rowOff>26895</xdr:rowOff>
    </xdr:from>
    <xdr:to>
      <xdr:col>1</xdr:col>
      <xdr:colOff>1491343</xdr:colOff>
      <xdr:row>4</xdr:row>
      <xdr:rowOff>0</xdr:rowOff>
    </xdr:to>
    <xdr:sp macro="[0]!RectangleRoundedCorners1_Click" textlink="">
      <xdr:nvSpPr>
        <xdr:cNvPr id="2" name="Rectangle: Rounded Corners 1">
          <a:extLst>
            <a:ext uri="{FF2B5EF4-FFF2-40B4-BE49-F238E27FC236}">
              <a16:creationId xmlns:a16="http://schemas.microsoft.com/office/drawing/2014/main" id="{9686DAC1-0408-FD2E-1D60-659DE57DAF5A}"/>
            </a:ext>
          </a:extLst>
        </xdr:cNvPr>
        <xdr:cNvSpPr/>
      </xdr:nvSpPr>
      <xdr:spPr>
        <a:xfrm>
          <a:off x="1020057" y="2650352"/>
          <a:ext cx="1222400" cy="267019"/>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Refresh</a:t>
          </a:r>
          <a:r>
            <a:rPr lang="en-US" sz="1100" baseline="0"/>
            <a:t> and Save</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76200</xdr:colOff>
      <xdr:row>1</xdr:row>
      <xdr:rowOff>7620</xdr:rowOff>
    </xdr:from>
    <xdr:to>
      <xdr:col>15</xdr:col>
      <xdr:colOff>518160</xdr:colOff>
      <xdr:row>5</xdr:row>
      <xdr:rowOff>114300</xdr:rowOff>
    </xdr:to>
    <xdr:sp macro="[0]!SendQuoteEmail" textlink="">
      <xdr:nvSpPr>
        <xdr:cNvPr id="5" name="Rectangle 4">
          <a:extLst>
            <a:ext uri="{FF2B5EF4-FFF2-40B4-BE49-F238E27FC236}">
              <a16:creationId xmlns:a16="http://schemas.microsoft.com/office/drawing/2014/main" id="{DD8F58AF-4B74-7B74-42FE-EA8D48545F54}"/>
            </a:ext>
          </a:extLst>
        </xdr:cNvPr>
        <xdr:cNvSpPr/>
      </xdr:nvSpPr>
      <xdr:spPr>
        <a:xfrm>
          <a:off x="9425940" y="190500"/>
          <a:ext cx="1722120" cy="899160"/>
        </a:xfrm>
        <a:prstGeom prst="rect">
          <a:avLst/>
        </a:prstGeom>
        <a:solidFill>
          <a:schemeClr val="bg2">
            <a:lumMod val="90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400">
              <a:ln>
                <a:solidFill>
                  <a:schemeClr val="accent1">
                    <a:lumMod val="75000"/>
                  </a:schemeClr>
                </a:solidFill>
              </a:ln>
              <a:solidFill>
                <a:schemeClr val="tx1"/>
              </a:solidFill>
            </a:rPr>
            <a:t>Send Quote As Table</a:t>
          </a:r>
        </a:p>
      </xdr:txBody>
    </xdr:sp>
    <xdr:clientData/>
  </xdr:twoCellAnchor>
  <xdr:twoCellAnchor>
    <xdr:from>
      <xdr:col>13</xdr:col>
      <xdr:colOff>83820</xdr:colOff>
      <xdr:row>6</xdr:row>
      <xdr:rowOff>83820</xdr:rowOff>
    </xdr:from>
    <xdr:to>
      <xdr:col>15</xdr:col>
      <xdr:colOff>525780</xdr:colOff>
      <xdr:row>9</xdr:row>
      <xdr:rowOff>38100</xdr:rowOff>
    </xdr:to>
    <xdr:sp macro="[0]!SaveRangeAsJPG" textlink="">
      <xdr:nvSpPr>
        <xdr:cNvPr id="8" name="Rectangle 7">
          <a:extLst>
            <a:ext uri="{FF2B5EF4-FFF2-40B4-BE49-F238E27FC236}">
              <a16:creationId xmlns:a16="http://schemas.microsoft.com/office/drawing/2014/main" id="{8FC8A392-A3DA-47E7-849D-4714E47BDEF7}"/>
            </a:ext>
          </a:extLst>
        </xdr:cNvPr>
        <xdr:cNvSpPr/>
      </xdr:nvSpPr>
      <xdr:spPr>
        <a:xfrm>
          <a:off x="9433560" y="1242060"/>
          <a:ext cx="1722120" cy="480060"/>
        </a:xfrm>
        <a:prstGeom prst="rect">
          <a:avLst/>
        </a:prstGeom>
        <a:solidFill>
          <a:schemeClr val="bg2">
            <a:lumMod val="90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400">
              <a:ln>
                <a:solidFill>
                  <a:schemeClr val="accent1">
                    <a:lumMod val="75000"/>
                  </a:schemeClr>
                </a:solidFill>
              </a:ln>
              <a:solidFill>
                <a:schemeClr val="tx1"/>
              </a:solidFill>
            </a:rPr>
            <a:t>Save Quote</a:t>
          </a:r>
        </a:p>
      </xdr:txBody>
    </xdr:sp>
    <xdr:clientData/>
  </xdr:twoCellAnchor>
  <xdr:twoCellAnchor>
    <xdr:from>
      <xdr:col>0</xdr:col>
      <xdr:colOff>152402</xdr:colOff>
      <xdr:row>35</xdr:row>
      <xdr:rowOff>91436</xdr:rowOff>
    </xdr:from>
    <xdr:to>
      <xdr:col>9</xdr:col>
      <xdr:colOff>285750</xdr:colOff>
      <xdr:row>50</xdr:row>
      <xdr:rowOff>47620</xdr:rowOff>
    </xdr:to>
    <xdr:grpSp>
      <xdr:nvGrpSpPr>
        <xdr:cNvPr id="23" name="Group 22">
          <a:extLst>
            <a:ext uri="{FF2B5EF4-FFF2-40B4-BE49-F238E27FC236}">
              <a16:creationId xmlns:a16="http://schemas.microsoft.com/office/drawing/2014/main" id="{DCA4D49F-FEDE-49F3-B56E-39592E2024BD}"/>
            </a:ext>
          </a:extLst>
        </xdr:cNvPr>
        <xdr:cNvGrpSpPr/>
      </xdr:nvGrpSpPr>
      <xdr:grpSpPr>
        <a:xfrm>
          <a:off x="152402" y="6930386"/>
          <a:ext cx="6572248" cy="2708909"/>
          <a:chOff x="0" y="7352446"/>
          <a:chExt cx="6850063" cy="3060392"/>
        </a:xfrm>
      </xdr:grpSpPr>
      <xdr:pic>
        <xdr:nvPicPr>
          <xdr:cNvPr id="24" name="Picture 23">
            <a:extLst>
              <a:ext uri="{FF2B5EF4-FFF2-40B4-BE49-F238E27FC236}">
                <a16:creationId xmlns:a16="http://schemas.microsoft.com/office/drawing/2014/main" id="{030F0926-24DC-0610-1EF5-101C57553BC2}"/>
              </a:ext>
            </a:extLst>
          </xdr:cNvPr>
          <xdr:cNvPicPr>
            <a:picLocks noChangeAspect="1"/>
          </xdr:cNvPicPr>
        </xdr:nvPicPr>
        <xdr:blipFill rotWithShape="1">
          <a:blip xmlns:r="http://schemas.openxmlformats.org/officeDocument/2006/relationships" r:embed="rId1"/>
          <a:srcRect t="711"/>
          <a:stretch/>
        </xdr:blipFill>
        <xdr:spPr>
          <a:xfrm>
            <a:off x="0" y="8679946"/>
            <a:ext cx="6850063" cy="1732892"/>
          </a:xfrm>
          <a:prstGeom prst="rect">
            <a:avLst/>
          </a:prstGeom>
        </xdr:spPr>
      </xdr:pic>
      <xdr:pic>
        <xdr:nvPicPr>
          <xdr:cNvPr id="25" name="image9.png">
            <a:extLst>
              <a:ext uri="{FF2B5EF4-FFF2-40B4-BE49-F238E27FC236}">
                <a16:creationId xmlns:a16="http://schemas.microsoft.com/office/drawing/2014/main" id="{15BA110C-31D9-EA62-7575-9848C1C34E0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15900" y="7352446"/>
            <a:ext cx="1889260" cy="1343034"/>
          </a:xfrm>
          <a:prstGeom prst="rect">
            <a:avLst/>
          </a:prstGeom>
        </xdr:spPr>
      </xdr:pic>
      <xdr:pic>
        <xdr:nvPicPr>
          <xdr:cNvPr id="26" name="Picture 25">
            <a:extLst>
              <a:ext uri="{FF2B5EF4-FFF2-40B4-BE49-F238E27FC236}">
                <a16:creationId xmlns:a16="http://schemas.microsoft.com/office/drawing/2014/main" id="{EC9ACB68-33EB-16D9-A4C4-24FD1BDF391A}"/>
              </a:ext>
            </a:extLst>
          </xdr:cNvPr>
          <xdr:cNvPicPr>
            <a:picLocks noChangeAspect="1"/>
          </xdr:cNvPicPr>
        </xdr:nvPicPr>
        <xdr:blipFill>
          <a:blip xmlns:r="http://schemas.openxmlformats.org/officeDocument/2006/relationships" r:embed="rId3"/>
          <a:stretch>
            <a:fillRect/>
          </a:stretch>
        </xdr:blipFill>
        <xdr:spPr>
          <a:xfrm>
            <a:off x="1714501" y="8001124"/>
            <a:ext cx="4951143" cy="600070"/>
          </a:xfrm>
          <a:prstGeom prst="rect">
            <a:avLst/>
          </a:prstGeom>
        </xdr:spPr>
      </xdr:pic>
    </xdr:grpSp>
    <xdr:clientData/>
  </xdr:twoCellAnchor>
  <xdr:oneCellAnchor>
    <xdr:from>
      <xdr:col>0</xdr:col>
      <xdr:colOff>0</xdr:colOff>
      <xdr:row>0</xdr:row>
      <xdr:rowOff>0</xdr:rowOff>
    </xdr:from>
    <xdr:ext cx="3120636" cy="853439"/>
    <xdr:pic>
      <xdr:nvPicPr>
        <xdr:cNvPr id="27" name="Picture 26">
          <a:extLst>
            <a:ext uri="{FF2B5EF4-FFF2-40B4-BE49-F238E27FC236}">
              <a16:creationId xmlns:a16="http://schemas.microsoft.com/office/drawing/2014/main" id="{20DAF276-6681-41D7-AEF9-939AC5F0E0E2}"/>
            </a:ext>
          </a:extLst>
        </xdr:cNvPr>
        <xdr:cNvPicPr>
          <a:picLocks noChangeAspect="1" noChangeArrowheads="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21865" t="34870" r="19911" b="30544"/>
        <a:stretch/>
      </xdr:blipFill>
      <xdr:spPr bwMode="auto">
        <a:xfrm>
          <a:off x="0" y="0"/>
          <a:ext cx="3120636" cy="853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13</xdr:col>
      <xdr:colOff>106680</xdr:colOff>
      <xdr:row>9</xdr:row>
      <xdr:rowOff>190500</xdr:rowOff>
    </xdr:from>
    <xdr:to>
      <xdr:col>15</xdr:col>
      <xdr:colOff>548640</xdr:colOff>
      <xdr:row>14</xdr:row>
      <xdr:rowOff>53340</xdr:rowOff>
    </xdr:to>
    <xdr:sp macro="[0]!SendQuoteEmailpicture" textlink="">
      <xdr:nvSpPr>
        <xdr:cNvPr id="3" name="Rectangle 2">
          <a:extLst>
            <a:ext uri="{FF2B5EF4-FFF2-40B4-BE49-F238E27FC236}">
              <a16:creationId xmlns:a16="http://schemas.microsoft.com/office/drawing/2014/main" id="{1C9B97DA-B3CF-4782-A080-457AC4EB9301}"/>
            </a:ext>
          </a:extLst>
        </xdr:cNvPr>
        <xdr:cNvSpPr/>
      </xdr:nvSpPr>
      <xdr:spPr>
        <a:xfrm>
          <a:off x="9456420" y="1874520"/>
          <a:ext cx="1722120" cy="845820"/>
        </a:xfrm>
        <a:prstGeom prst="rect">
          <a:avLst/>
        </a:prstGeom>
        <a:solidFill>
          <a:schemeClr val="bg2">
            <a:lumMod val="90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400">
              <a:ln>
                <a:solidFill>
                  <a:schemeClr val="accent1">
                    <a:lumMod val="75000"/>
                  </a:schemeClr>
                </a:solidFill>
              </a:ln>
              <a:solidFill>
                <a:schemeClr val="tx1"/>
              </a:solidFill>
            </a:rPr>
            <a:t>Send Quote As Picture</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68580</xdr:colOff>
          <xdr:row>0</xdr:row>
          <xdr:rowOff>45720</xdr:rowOff>
        </xdr:from>
        <xdr:to>
          <xdr:col>3</xdr:col>
          <xdr:colOff>83820</xdr:colOff>
          <xdr:row>1</xdr:row>
          <xdr:rowOff>251460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339966"/>
                  </a:solidFill>
                  <a:latin typeface="Calibri"/>
                  <a:ea typeface="Calibri"/>
                  <a:cs typeface="Calibri"/>
                </a:rPr>
                <a:t>Move to Funded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182880</xdr:colOff>
          <xdr:row>0</xdr:row>
          <xdr:rowOff>45720</xdr:rowOff>
        </xdr:from>
        <xdr:to>
          <xdr:col>4</xdr:col>
          <xdr:colOff>632460</xdr:colOff>
          <xdr:row>1</xdr:row>
          <xdr:rowOff>251460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339966"/>
                  </a:solidFill>
                  <a:latin typeface="Calibri"/>
                  <a:ea typeface="Calibri"/>
                  <a:cs typeface="Calibri"/>
                </a:rPr>
                <a:t>Move to Cancel-Decline</a:t>
              </a:r>
            </a:p>
          </xdr:txBody>
        </xdr:sp>
        <xdr:clientData fPrintsWithSheet="0"/>
      </xdr:twoCellAnchor>
    </mc:Choice>
    <mc:Fallback/>
  </mc:AlternateContent>
  <xdr:twoCellAnchor>
    <xdr:from>
      <xdr:col>4</xdr:col>
      <xdr:colOff>762000</xdr:colOff>
      <xdr:row>0</xdr:row>
      <xdr:rowOff>47625</xdr:rowOff>
    </xdr:from>
    <xdr:to>
      <xdr:col>7</xdr:col>
      <xdr:colOff>1000125</xdr:colOff>
      <xdr:row>1</xdr:row>
      <xdr:rowOff>133350</xdr:rowOff>
    </xdr:to>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5934075" y="47625"/>
          <a:ext cx="2790825" cy="561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b="1" u="sng">
              <a:solidFill>
                <a:schemeClr val="accent1">
                  <a:lumMod val="75000"/>
                </a:schemeClr>
              </a:solidFill>
            </a:rPr>
            <a:t>Active Pipeline</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83820</xdr:colOff>
          <xdr:row>0</xdr:row>
          <xdr:rowOff>38100</xdr:rowOff>
        </xdr:from>
        <xdr:to>
          <xdr:col>3</xdr:col>
          <xdr:colOff>106680</xdr:colOff>
          <xdr:row>1</xdr:row>
          <xdr:rowOff>251460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339966"/>
                  </a:solidFill>
                  <a:latin typeface="Calibri"/>
                  <a:ea typeface="Calibri"/>
                  <a:cs typeface="Calibri"/>
                </a:rPr>
                <a:t>Move to Active Pipeline</a:t>
              </a:r>
            </a:p>
          </xdr:txBody>
        </xdr:sp>
        <xdr:clientData fPrintsWithSheet="0"/>
      </xdr:twoCellAnchor>
    </mc:Choice>
    <mc:Fallback/>
  </mc:AlternateContent>
  <xdr:twoCellAnchor>
    <xdr:from>
      <xdr:col>3</xdr:col>
      <xdr:colOff>1771650</xdr:colOff>
      <xdr:row>0</xdr:row>
      <xdr:rowOff>76200</xdr:rowOff>
    </xdr:from>
    <xdr:to>
      <xdr:col>5</xdr:col>
      <xdr:colOff>28575</xdr:colOff>
      <xdr:row>1</xdr:row>
      <xdr:rowOff>171450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5076825" y="76200"/>
          <a:ext cx="1666875" cy="561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b="1" u="sng">
              <a:solidFill>
                <a:srgbClr val="C00000"/>
              </a:solidFill>
            </a:rPr>
            <a:t>Hot Hot</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30480</xdr:colOff>
          <xdr:row>1</xdr:row>
          <xdr:rowOff>22860</xdr:rowOff>
        </xdr:from>
        <xdr:to>
          <xdr:col>0</xdr:col>
          <xdr:colOff>1821180</xdr:colOff>
          <xdr:row>1</xdr:row>
          <xdr:rowOff>327660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600-0000022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sng" strike="noStrike" baseline="0">
                  <a:solidFill>
                    <a:srgbClr val="000000"/>
                  </a:solidFill>
                  <a:latin typeface="Calibri"/>
                  <a:ea typeface="Calibri"/>
                  <a:cs typeface="Calibri"/>
                </a:rPr>
                <a:t>Paste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0</xdr:row>
          <xdr:rowOff>38100</xdr:rowOff>
        </xdr:from>
        <xdr:to>
          <xdr:col>6</xdr:col>
          <xdr:colOff>685800</xdr:colOff>
          <xdr:row>0</xdr:row>
          <xdr:rowOff>563880</xdr:rowOff>
        </xdr:to>
        <xdr:sp macro="" textlink="">
          <xdr:nvSpPr>
            <xdr:cNvPr id="40961" name="Button 1" hidden="1">
              <a:extLst>
                <a:ext uri="{63B3BB69-23CF-44E3-9099-C40C66FF867C}">
                  <a14:compatExt spid="_x0000_s40961"/>
                </a:ext>
                <a:ext uri="{FF2B5EF4-FFF2-40B4-BE49-F238E27FC236}">
                  <a16:creationId xmlns:a16="http://schemas.microsoft.com/office/drawing/2014/main" id="{00000000-0008-0000-0700-000001A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2200" b="1" i="0" u="sng" strike="noStrike" baseline="0">
                  <a:solidFill>
                    <a:srgbClr val="000000"/>
                  </a:solidFill>
                  <a:latin typeface="Calibri"/>
                  <a:ea typeface="Calibri"/>
                  <a:cs typeface="Calibri"/>
                </a:rPr>
                <a:t>Paste Copied Data</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38100</xdr:colOff>
          <xdr:row>0</xdr:row>
          <xdr:rowOff>38100</xdr:rowOff>
        </xdr:from>
        <xdr:to>
          <xdr:col>13</xdr:col>
          <xdr:colOff>731520</xdr:colOff>
          <xdr:row>0</xdr:row>
          <xdr:rowOff>594360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800-0000017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sng" strike="noStrike" baseline="0">
                  <a:solidFill>
                    <a:srgbClr val="000000"/>
                  </a:solidFill>
                  <a:latin typeface="Calibri"/>
                  <a:ea typeface="Calibri"/>
                  <a:cs typeface="Calibri"/>
                </a:rPr>
                <a:t>Paste Copied Data</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539114</xdr:colOff>
      <xdr:row>1</xdr:row>
      <xdr:rowOff>177165</xdr:rowOff>
    </xdr:from>
    <xdr:to>
      <xdr:col>9</xdr:col>
      <xdr:colOff>13334</xdr:colOff>
      <xdr:row>4</xdr:row>
      <xdr:rowOff>148590</xdr:rowOff>
    </xdr:to>
    <xdr:sp macro="" textlink="">
      <xdr:nvSpPr>
        <xdr:cNvPr id="2" name="Round Same Side Corner Rectangle 4">
          <a:extLst>
            <a:ext uri="{FF2B5EF4-FFF2-40B4-BE49-F238E27FC236}">
              <a16:creationId xmlns:a16="http://schemas.microsoft.com/office/drawing/2014/main" id="{00000000-0008-0000-0500-000002000000}"/>
            </a:ext>
          </a:extLst>
        </xdr:cNvPr>
        <xdr:cNvSpPr/>
      </xdr:nvSpPr>
      <xdr:spPr>
        <a:xfrm>
          <a:off x="539114" y="1053465"/>
          <a:ext cx="4572000" cy="459105"/>
        </a:xfrm>
        <a:prstGeom prst="round2SameRect">
          <a:avLst/>
        </a:prstGeom>
        <a:solidFill>
          <a:srgbClr val="1B294D"/>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baseline="0">
              <a:solidFill>
                <a:schemeClr val="bg1"/>
              </a:solidFill>
            </a:rPr>
            <a:t>  Current Financial Situation</a:t>
          </a:r>
        </a:p>
      </xdr:txBody>
    </xdr:sp>
    <xdr:clientData/>
  </xdr:twoCellAnchor>
  <xdr:twoCellAnchor>
    <xdr:from>
      <xdr:col>1</xdr:col>
      <xdr:colOff>7620</xdr:colOff>
      <xdr:row>6</xdr:row>
      <xdr:rowOff>0</xdr:rowOff>
    </xdr:from>
    <xdr:to>
      <xdr:col>8</xdr:col>
      <xdr:colOff>91440</xdr:colOff>
      <xdr:row>8</xdr:row>
      <xdr:rowOff>0</xdr:rowOff>
    </xdr:to>
    <xdr:sp macro="" textlink="">
      <xdr:nvSpPr>
        <xdr:cNvPr id="3" name="Rounded Rectangle 6">
          <a:extLst>
            <a:ext uri="{FF2B5EF4-FFF2-40B4-BE49-F238E27FC236}">
              <a16:creationId xmlns:a16="http://schemas.microsoft.com/office/drawing/2014/main" id="{00000000-0008-0000-0500-000003000000}"/>
            </a:ext>
          </a:extLst>
        </xdr:cNvPr>
        <xdr:cNvSpPr/>
      </xdr:nvSpPr>
      <xdr:spPr>
        <a:xfrm>
          <a:off x="556260" y="1600200"/>
          <a:ext cx="4678680" cy="381000"/>
        </a:xfrm>
        <a:prstGeom prst="roundRect">
          <a:avLst/>
        </a:prstGeom>
        <a:solidFill>
          <a:srgbClr val="1B294D"/>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t>Current Financial</a:t>
          </a:r>
          <a:r>
            <a:rPr lang="en-US" sz="1400" b="1" baseline="0"/>
            <a:t> Situation</a:t>
          </a:r>
          <a:endParaRPr lang="en-US" sz="1400" b="1"/>
        </a:p>
      </xdr:txBody>
    </xdr:sp>
    <xdr:clientData/>
  </xdr:twoCellAnchor>
  <xdr:oneCellAnchor>
    <xdr:from>
      <xdr:col>1</xdr:col>
      <xdr:colOff>7621</xdr:colOff>
      <xdr:row>9</xdr:row>
      <xdr:rowOff>3807</xdr:rowOff>
    </xdr:from>
    <xdr:ext cx="2499030" cy="495299"/>
    <xdr:sp macro="" textlink="">
      <xdr:nvSpPr>
        <xdr:cNvPr id="4" name="Round Same Side Corner Rectangle 9">
          <a:extLst>
            <a:ext uri="{FF2B5EF4-FFF2-40B4-BE49-F238E27FC236}">
              <a16:creationId xmlns:a16="http://schemas.microsoft.com/office/drawing/2014/main" id="{00000000-0008-0000-0500-000004000000}"/>
            </a:ext>
          </a:extLst>
        </xdr:cNvPr>
        <xdr:cNvSpPr/>
      </xdr:nvSpPr>
      <xdr:spPr>
        <a:xfrm rot="16200000">
          <a:off x="1558126" y="1028862"/>
          <a:ext cx="495299" cy="2499030"/>
        </a:xfrm>
        <a:prstGeom prst="round2SameRect">
          <a:avLst/>
        </a:prstGeom>
        <a:solidFill>
          <a:srgbClr val="1B294D"/>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vert" tIns="0" bIns="0" rtlCol="0" anchor="ctr">
          <a:noAutofit/>
        </a:bodyPr>
        <a:lstStyle/>
        <a:p>
          <a:pPr algn="ctr"/>
          <a:r>
            <a:rPr lang="en-US" sz="1200" b="1" baseline="0">
              <a:ln>
                <a:noFill/>
              </a:ln>
              <a:solidFill>
                <a:schemeClr val="bg1"/>
              </a:solidFill>
            </a:rPr>
            <a:t>Your Total Current Monthly Payments</a:t>
          </a:r>
          <a:r>
            <a:rPr lang="en-US" sz="750" b="0" baseline="0">
              <a:ln>
                <a:noFill/>
              </a:ln>
              <a:solidFill>
                <a:schemeClr val="bg1"/>
              </a:solidFill>
            </a:rPr>
            <a:t> </a:t>
          </a:r>
          <a:endParaRPr lang="en-US" sz="750" b="0">
            <a:ln>
              <a:noFill/>
            </a:ln>
            <a:solidFill>
              <a:schemeClr val="bg1"/>
            </a:solidFill>
          </a:endParaRPr>
        </a:p>
      </xdr:txBody>
    </xdr:sp>
    <xdr:clientData/>
  </xdr:oneCellAnchor>
  <xdr:twoCellAnchor>
    <xdr:from>
      <xdr:col>1</xdr:col>
      <xdr:colOff>0</xdr:colOff>
      <xdr:row>11</xdr:row>
      <xdr:rowOff>125730</xdr:rowOff>
    </xdr:from>
    <xdr:to>
      <xdr:col>9</xdr:col>
      <xdr:colOff>0</xdr:colOff>
      <xdr:row>12</xdr:row>
      <xdr:rowOff>240030</xdr:rowOff>
    </xdr:to>
    <xdr:sp macro="" textlink="">
      <xdr:nvSpPr>
        <xdr:cNvPr id="5" name="Rounded Rectangle 11">
          <a:extLst>
            <a:ext uri="{FF2B5EF4-FFF2-40B4-BE49-F238E27FC236}">
              <a16:creationId xmlns:a16="http://schemas.microsoft.com/office/drawing/2014/main" id="{00000000-0008-0000-0500-000005000000}"/>
            </a:ext>
          </a:extLst>
        </xdr:cNvPr>
        <xdr:cNvSpPr/>
      </xdr:nvSpPr>
      <xdr:spPr>
        <a:xfrm>
          <a:off x="548640" y="2640330"/>
          <a:ext cx="4701540" cy="358140"/>
        </a:xfrm>
        <a:prstGeom prst="roundRect">
          <a:avLst/>
        </a:prstGeom>
        <a:solidFill>
          <a:srgbClr val="1B294D"/>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chemeClr val="bg1"/>
              </a:solidFill>
            </a:rPr>
            <a:t>Debt Consolidation Analysis</a:t>
          </a:r>
        </a:p>
      </xdr:txBody>
    </xdr:sp>
    <xdr:clientData/>
  </xdr:twoCellAnchor>
  <xdr:twoCellAnchor>
    <xdr:from>
      <xdr:col>1</xdr:col>
      <xdr:colOff>0</xdr:colOff>
      <xdr:row>14</xdr:row>
      <xdr:rowOff>163830</xdr:rowOff>
    </xdr:from>
    <xdr:to>
      <xdr:col>5</xdr:col>
      <xdr:colOff>1905</xdr:colOff>
      <xdr:row>16</xdr:row>
      <xdr:rowOff>1905</xdr:rowOff>
    </xdr:to>
    <xdr:sp macro="" textlink="">
      <xdr:nvSpPr>
        <xdr:cNvPr id="6" name="Round Same Side Corner Rectangle 12">
          <a:extLst>
            <a:ext uri="{FF2B5EF4-FFF2-40B4-BE49-F238E27FC236}">
              <a16:creationId xmlns:a16="http://schemas.microsoft.com/office/drawing/2014/main" id="{00000000-0008-0000-0500-000006000000}"/>
            </a:ext>
          </a:extLst>
        </xdr:cNvPr>
        <xdr:cNvSpPr/>
      </xdr:nvSpPr>
      <xdr:spPr>
        <a:xfrm>
          <a:off x="548640" y="3204210"/>
          <a:ext cx="2455545" cy="325755"/>
        </a:xfrm>
        <a:prstGeom prst="round2SameRect">
          <a:avLst/>
        </a:prstGeom>
        <a:solidFill>
          <a:srgbClr val="1B294D"/>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400" b="1">
              <a:solidFill>
                <a:schemeClr val="bg1"/>
              </a:solidFill>
              <a:latin typeface="+mn-lt"/>
              <a:ea typeface="+mn-ea"/>
              <a:cs typeface="+mn-cs"/>
            </a:rPr>
            <a:t>Debt/Creditor</a:t>
          </a:r>
        </a:p>
      </xdr:txBody>
    </xdr:sp>
    <xdr:clientData/>
  </xdr:twoCellAnchor>
  <xdr:twoCellAnchor>
    <xdr:from>
      <xdr:col>5</xdr:col>
      <xdr:colOff>0</xdr:colOff>
      <xdr:row>14</xdr:row>
      <xdr:rowOff>163830</xdr:rowOff>
    </xdr:from>
    <xdr:to>
      <xdr:col>6</xdr:col>
      <xdr:colOff>720090</xdr:colOff>
      <xdr:row>15</xdr:row>
      <xdr:rowOff>245745</xdr:rowOff>
    </xdr:to>
    <xdr:sp macro="" textlink="">
      <xdr:nvSpPr>
        <xdr:cNvPr id="7" name="Round Same Side Corner Rectangle 13">
          <a:extLst>
            <a:ext uri="{FF2B5EF4-FFF2-40B4-BE49-F238E27FC236}">
              <a16:creationId xmlns:a16="http://schemas.microsoft.com/office/drawing/2014/main" id="{00000000-0008-0000-0500-000007000000}"/>
            </a:ext>
          </a:extLst>
        </xdr:cNvPr>
        <xdr:cNvSpPr/>
      </xdr:nvSpPr>
      <xdr:spPr>
        <a:xfrm>
          <a:off x="2876550" y="2345055"/>
          <a:ext cx="1053465" cy="329565"/>
        </a:xfrm>
        <a:prstGeom prst="round2SameRect">
          <a:avLst/>
        </a:prstGeom>
        <a:solidFill>
          <a:srgbClr val="1B294D"/>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400" b="1">
              <a:solidFill>
                <a:schemeClr val="bg1"/>
              </a:solidFill>
              <a:latin typeface="+mn-lt"/>
              <a:ea typeface="+mn-ea"/>
              <a:cs typeface="+mn-cs"/>
            </a:rPr>
            <a:t>Balance</a:t>
          </a:r>
        </a:p>
      </xdr:txBody>
    </xdr:sp>
    <xdr:clientData/>
  </xdr:twoCellAnchor>
  <xdr:twoCellAnchor>
    <xdr:from>
      <xdr:col>7</xdr:col>
      <xdr:colOff>1408</xdr:colOff>
      <xdr:row>14</xdr:row>
      <xdr:rowOff>163830</xdr:rowOff>
    </xdr:from>
    <xdr:to>
      <xdr:col>9</xdr:col>
      <xdr:colOff>7620</xdr:colOff>
      <xdr:row>16</xdr:row>
      <xdr:rowOff>1905</xdr:rowOff>
    </xdr:to>
    <xdr:sp macro="" textlink="">
      <xdr:nvSpPr>
        <xdr:cNvPr id="8" name="Round Same Side Corner Rectangle 14">
          <a:extLst>
            <a:ext uri="{FF2B5EF4-FFF2-40B4-BE49-F238E27FC236}">
              <a16:creationId xmlns:a16="http://schemas.microsoft.com/office/drawing/2014/main" id="{00000000-0008-0000-0500-000008000000}"/>
            </a:ext>
          </a:extLst>
        </xdr:cNvPr>
        <xdr:cNvSpPr/>
      </xdr:nvSpPr>
      <xdr:spPr>
        <a:xfrm>
          <a:off x="4093348" y="3204210"/>
          <a:ext cx="1164452" cy="325755"/>
        </a:xfrm>
        <a:prstGeom prst="round2SameRect">
          <a:avLst/>
        </a:prstGeom>
        <a:solidFill>
          <a:srgbClr val="1B294D"/>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400" b="1">
              <a:solidFill>
                <a:schemeClr val="bg1"/>
              </a:solidFill>
              <a:latin typeface="+mn-lt"/>
              <a:ea typeface="+mn-ea"/>
              <a:cs typeface="+mn-cs"/>
            </a:rPr>
            <a:t>Payment</a:t>
          </a:r>
        </a:p>
      </xdr:txBody>
    </xdr:sp>
    <xdr:clientData/>
  </xdr:twoCellAnchor>
  <xdr:twoCellAnchor>
    <xdr:from>
      <xdr:col>1</xdr:col>
      <xdr:colOff>121920</xdr:colOff>
      <xdr:row>257</xdr:row>
      <xdr:rowOff>0</xdr:rowOff>
    </xdr:from>
    <xdr:to>
      <xdr:col>4</xdr:col>
      <xdr:colOff>1219200</xdr:colOff>
      <xdr:row>258</xdr:row>
      <xdr:rowOff>0</xdr:rowOff>
    </xdr:to>
    <xdr:sp macro="" textlink="">
      <xdr:nvSpPr>
        <xdr:cNvPr id="9" name="Rounded Rectangle 17">
          <a:extLst>
            <a:ext uri="{FF2B5EF4-FFF2-40B4-BE49-F238E27FC236}">
              <a16:creationId xmlns:a16="http://schemas.microsoft.com/office/drawing/2014/main" id="{00000000-0008-0000-0500-000009000000}"/>
            </a:ext>
          </a:extLst>
        </xdr:cNvPr>
        <xdr:cNvSpPr/>
      </xdr:nvSpPr>
      <xdr:spPr>
        <a:xfrm>
          <a:off x="670560" y="5052060"/>
          <a:ext cx="2324100" cy="205740"/>
        </a:xfrm>
        <a:prstGeom prst="roundRect">
          <a:avLst/>
        </a:prstGeom>
        <a:solidFill>
          <a:srgbClr val="1B294D"/>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400" b="1">
              <a:solidFill>
                <a:schemeClr val="bg1"/>
              </a:solidFill>
              <a:latin typeface="+mn-lt"/>
              <a:ea typeface="+mn-ea"/>
              <a:cs typeface="+mn-cs"/>
            </a:rPr>
            <a:t>Total:</a:t>
          </a:r>
        </a:p>
      </xdr:txBody>
    </xdr:sp>
    <xdr:clientData/>
  </xdr:twoCellAnchor>
  <xdr:twoCellAnchor>
    <xdr:from>
      <xdr:col>6</xdr:col>
      <xdr:colOff>9524</xdr:colOff>
      <xdr:row>9</xdr:row>
      <xdr:rowOff>2</xdr:rowOff>
    </xdr:from>
    <xdr:to>
      <xdr:col>8</xdr:col>
      <xdr:colOff>91439</xdr:colOff>
      <xdr:row>10</xdr:row>
      <xdr:rowOff>238128</xdr:rowOff>
    </xdr:to>
    <xdr:sp macro="" textlink="">
      <xdr:nvSpPr>
        <xdr:cNvPr id="35" name="Round Same Side Corner Rectangle 26">
          <a:extLst>
            <a:ext uri="{FF2B5EF4-FFF2-40B4-BE49-F238E27FC236}">
              <a16:creationId xmlns:a16="http://schemas.microsoft.com/office/drawing/2014/main" id="{00000000-0008-0000-0500-000023000000}"/>
            </a:ext>
          </a:extLst>
        </xdr:cNvPr>
        <xdr:cNvSpPr/>
      </xdr:nvSpPr>
      <xdr:spPr>
        <a:xfrm rot="5400000">
          <a:off x="4118609" y="1392557"/>
          <a:ext cx="481966" cy="1750695"/>
        </a:xfrm>
        <a:prstGeom prst="round2SameRect">
          <a:avLst/>
        </a:prstGeom>
        <a:noFill/>
        <a:ln w="254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endParaRPr lang="en-US" sz="1300" b="1">
            <a:solidFill>
              <a:sysClr val="windowText" lastClr="000000"/>
            </a:solidFill>
          </a:endParaRPr>
        </a:p>
      </xdr:txBody>
    </xdr:sp>
    <xdr:clientData/>
  </xdr:twoCellAnchor>
  <xdr:twoCellAnchor>
    <xdr:from>
      <xdr:col>0</xdr:col>
      <xdr:colOff>440526</xdr:colOff>
      <xdr:row>258</xdr:row>
      <xdr:rowOff>28576</xdr:rowOff>
    </xdr:from>
    <xdr:to>
      <xdr:col>9</xdr:col>
      <xdr:colOff>171445</xdr:colOff>
      <xdr:row>264</xdr:row>
      <xdr:rowOff>76201</xdr:rowOff>
    </xdr:to>
    <xdr:grpSp>
      <xdr:nvGrpSpPr>
        <xdr:cNvPr id="39" name="Group 38">
          <a:extLst>
            <a:ext uri="{FF2B5EF4-FFF2-40B4-BE49-F238E27FC236}">
              <a16:creationId xmlns:a16="http://schemas.microsoft.com/office/drawing/2014/main" id="{00000000-0008-0000-0500-000027000000}"/>
            </a:ext>
          </a:extLst>
        </xdr:cNvPr>
        <xdr:cNvGrpSpPr/>
      </xdr:nvGrpSpPr>
      <xdr:grpSpPr>
        <a:xfrm>
          <a:off x="440526" y="5835016"/>
          <a:ext cx="4981099" cy="1144905"/>
          <a:chOff x="314325" y="7019925"/>
          <a:chExt cx="4362450" cy="1190625"/>
        </a:xfrm>
      </xdr:grpSpPr>
      <xdr:sp macro="" textlink="">
        <xdr:nvSpPr>
          <xdr:cNvPr id="40" name="Speech Bubble: Rectangle with Corners Rounded 46">
            <a:extLst>
              <a:ext uri="{FF2B5EF4-FFF2-40B4-BE49-F238E27FC236}">
                <a16:creationId xmlns:a16="http://schemas.microsoft.com/office/drawing/2014/main" id="{00000000-0008-0000-0500-000028000000}"/>
              </a:ext>
            </a:extLst>
          </xdr:cNvPr>
          <xdr:cNvSpPr/>
        </xdr:nvSpPr>
        <xdr:spPr>
          <a:xfrm>
            <a:off x="314325" y="7172325"/>
            <a:ext cx="4362450" cy="1038225"/>
          </a:xfrm>
          <a:prstGeom prst="wedgeRoundRectCallout">
            <a:avLst>
              <a:gd name="adj1" fmla="val -28791"/>
              <a:gd name="adj2" fmla="val -45719"/>
              <a:gd name="adj3" fmla="val 16667"/>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800" b="1" u="sng">
                <a:solidFill>
                  <a:sysClr val="windowText" lastClr="000000"/>
                </a:solidFill>
              </a:rPr>
              <a:t> *** DO NOT EDIT ABOVE  ***                                                                                                          YOU ONLY EDIT DEBT,</a:t>
            </a:r>
            <a:r>
              <a:rPr lang="en-US" sz="1800" b="1" u="sng" baseline="0">
                <a:solidFill>
                  <a:sysClr val="windowText" lastClr="000000"/>
                </a:solidFill>
              </a:rPr>
              <a:t> BALANCE, PAYMENT</a:t>
            </a:r>
            <a:r>
              <a:rPr lang="en-US" sz="1800" b="1" u="sng">
                <a:solidFill>
                  <a:sysClr val="windowText" lastClr="000000"/>
                </a:solidFill>
              </a:rPr>
              <a:t> IN THE "INPUT" TAB !!!</a:t>
            </a:r>
          </a:p>
        </xdr:txBody>
      </xdr:sp>
      <xdr:grpSp>
        <xdr:nvGrpSpPr>
          <xdr:cNvPr id="41" name="Group 40">
            <a:extLst>
              <a:ext uri="{FF2B5EF4-FFF2-40B4-BE49-F238E27FC236}">
                <a16:creationId xmlns:a16="http://schemas.microsoft.com/office/drawing/2014/main" id="{00000000-0008-0000-0500-000029000000}"/>
              </a:ext>
            </a:extLst>
          </xdr:cNvPr>
          <xdr:cNvGrpSpPr/>
        </xdr:nvGrpSpPr>
        <xdr:grpSpPr>
          <a:xfrm>
            <a:off x="628650" y="7019925"/>
            <a:ext cx="3752850" cy="390525"/>
            <a:chOff x="628650" y="7019925"/>
            <a:chExt cx="3752850" cy="390525"/>
          </a:xfrm>
        </xdr:grpSpPr>
        <xdr:sp macro="" textlink="">
          <xdr:nvSpPr>
            <xdr:cNvPr id="42" name="Arrow: Up 47">
              <a:extLst>
                <a:ext uri="{FF2B5EF4-FFF2-40B4-BE49-F238E27FC236}">
                  <a16:creationId xmlns:a16="http://schemas.microsoft.com/office/drawing/2014/main" id="{00000000-0008-0000-0500-00002A000000}"/>
                </a:ext>
              </a:extLst>
            </xdr:cNvPr>
            <xdr:cNvSpPr/>
          </xdr:nvSpPr>
          <xdr:spPr>
            <a:xfrm>
              <a:off x="942975" y="7029450"/>
              <a:ext cx="219075" cy="381000"/>
            </a:xfrm>
            <a:prstGeom prst="upArrow">
              <a:avLst/>
            </a:prstGeom>
            <a:solidFill>
              <a:srgbClr val="FF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3" name="Arrow: Up 48">
              <a:extLst>
                <a:ext uri="{FF2B5EF4-FFF2-40B4-BE49-F238E27FC236}">
                  <a16:creationId xmlns:a16="http://schemas.microsoft.com/office/drawing/2014/main" id="{00000000-0008-0000-0500-00002B000000}"/>
                </a:ext>
              </a:extLst>
            </xdr:cNvPr>
            <xdr:cNvSpPr/>
          </xdr:nvSpPr>
          <xdr:spPr>
            <a:xfrm>
              <a:off x="628650" y="7029450"/>
              <a:ext cx="219075" cy="381000"/>
            </a:xfrm>
            <a:prstGeom prst="upArrow">
              <a:avLst/>
            </a:prstGeom>
            <a:solidFill>
              <a:srgbClr val="FF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4" name="Arrow: Up 49">
              <a:extLst>
                <a:ext uri="{FF2B5EF4-FFF2-40B4-BE49-F238E27FC236}">
                  <a16:creationId xmlns:a16="http://schemas.microsoft.com/office/drawing/2014/main" id="{00000000-0008-0000-0500-00002C000000}"/>
                </a:ext>
              </a:extLst>
            </xdr:cNvPr>
            <xdr:cNvSpPr/>
          </xdr:nvSpPr>
          <xdr:spPr>
            <a:xfrm>
              <a:off x="3867150" y="7019925"/>
              <a:ext cx="219075" cy="381000"/>
            </a:xfrm>
            <a:prstGeom prst="upArrow">
              <a:avLst/>
            </a:prstGeom>
            <a:solidFill>
              <a:srgbClr val="FF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5" name="Arrow: Up 50">
              <a:extLst>
                <a:ext uri="{FF2B5EF4-FFF2-40B4-BE49-F238E27FC236}">
                  <a16:creationId xmlns:a16="http://schemas.microsoft.com/office/drawing/2014/main" id="{00000000-0008-0000-0500-00002D000000}"/>
                </a:ext>
              </a:extLst>
            </xdr:cNvPr>
            <xdr:cNvSpPr/>
          </xdr:nvSpPr>
          <xdr:spPr>
            <a:xfrm>
              <a:off x="4162425" y="7019925"/>
              <a:ext cx="219075" cy="381000"/>
            </a:xfrm>
            <a:prstGeom prst="upArrow">
              <a:avLst/>
            </a:prstGeom>
            <a:solidFill>
              <a:srgbClr val="FF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clientData/>
  </xdr:twoCellAnchor>
  <xdr:oneCellAnchor>
    <xdr:from>
      <xdr:col>3</xdr:col>
      <xdr:colOff>76200</xdr:colOff>
      <xdr:row>0</xdr:row>
      <xdr:rowOff>106680</xdr:rowOff>
    </xdr:from>
    <xdr:ext cx="3120636" cy="853439"/>
    <xdr:pic>
      <xdr:nvPicPr>
        <xdr:cNvPr id="10" name="Picture 9">
          <a:extLst>
            <a:ext uri="{FF2B5EF4-FFF2-40B4-BE49-F238E27FC236}">
              <a16:creationId xmlns:a16="http://schemas.microsoft.com/office/drawing/2014/main" id="{624BAEBD-B8DB-4BED-9190-B1E54CEDCBCB}"/>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1865" t="34870" r="19911" b="30544"/>
        <a:stretch/>
      </xdr:blipFill>
      <xdr:spPr bwMode="auto">
        <a:xfrm>
          <a:off x="1303020" y="106680"/>
          <a:ext cx="3120636" cy="853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45720</xdr:colOff>
          <xdr:row>1</xdr:row>
          <xdr:rowOff>45720</xdr:rowOff>
        </xdr:from>
        <xdr:to>
          <xdr:col>13</xdr:col>
          <xdr:colOff>571500</xdr:colOff>
          <xdr:row>1</xdr:row>
          <xdr:rowOff>617220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A00-0000031800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US" sz="2400" b="1" i="0" u="sng" strike="noStrike" baseline="0">
                  <a:solidFill>
                    <a:srgbClr val="000000"/>
                  </a:solidFill>
                  <a:latin typeface="Calibri"/>
                  <a:ea typeface="Calibri"/>
                  <a:cs typeface="Calibri"/>
                </a:rPr>
                <a:t>Paste Copied Data</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22860</xdr:colOff>
          <xdr:row>1</xdr:row>
          <xdr:rowOff>7620</xdr:rowOff>
        </xdr:from>
        <xdr:to>
          <xdr:col>13</xdr:col>
          <xdr:colOff>655320</xdr:colOff>
          <xdr:row>1</xdr:row>
          <xdr:rowOff>617220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B00-0000021C00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US" sz="2400" b="1" i="0" u="sng" strike="noStrike" baseline="0">
                  <a:solidFill>
                    <a:srgbClr val="000000"/>
                  </a:solidFill>
                  <a:latin typeface="Calibri"/>
                  <a:ea typeface="Calibri"/>
                  <a:cs typeface="Calibri"/>
                </a:rPr>
                <a:t>Paste Copied Data</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3.xml"/><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3.bin"/><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6.vml"/><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7.vml"/><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8.vml"/><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0" tint="-0.34998626667073579"/>
  </sheetPr>
  <dimension ref="A1:AF1440"/>
  <sheetViews>
    <sheetView zoomScale="70" zoomScaleNormal="70" workbookViewId="0">
      <pane ySplit="5" topLeftCell="A6" activePane="bottomLeft" state="frozen"/>
      <selection pane="bottomLeft" activeCell="B13" sqref="B13"/>
    </sheetView>
  </sheetViews>
  <sheetFormatPr defaultRowHeight="14.4"/>
  <cols>
    <col min="1" max="1" width="11" style="32" bestFit="1" customWidth="1"/>
    <col min="2" max="2" width="26.44140625" customWidth="1"/>
    <col min="3" max="3" width="12.109375" style="120" customWidth="1"/>
    <col min="4" max="4" width="39" customWidth="1"/>
    <col min="5" max="6" width="12.109375" customWidth="1"/>
    <col min="7" max="7" width="14" customWidth="1"/>
    <col min="8" max="8" width="29.44140625" bestFit="1" customWidth="1"/>
    <col min="9" max="9" width="7.44140625" customWidth="1"/>
    <col min="10" max="10" width="68.6640625" bestFit="1" customWidth="1"/>
    <col min="11" max="11" width="11" customWidth="1"/>
    <col min="12" max="12" width="10.33203125" customWidth="1"/>
    <col min="13" max="13" width="9" bestFit="1" customWidth="1"/>
    <col min="14" max="14" width="20.109375" style="163" bestFit="1" customWidth="1"/>
    <col min="15" max="15" width="15.33203125" style="163" customWidth="1"/>
    <col min="16" max="16" width="8.33203125" style="144" customWidth="1"/>
    <col min="17" max="17" width="15.33203125" style="163" customWidth="1"/>
    <col min="18" max="18" width="15.88671875" style="163" bestFit="1" customWidth="1"/>
    <col min="19" max="19" width="9" style="144" customWidth="1"/>
    <col min="20" max="20" width="8.109375" customWidth="1"/>
    <col min="21" max="21" width="9.88671875" customWidth="1"/>
    <col min="22" max="22" width="6.33203125" customWidth="1"/>
    <col min="23" max="23" width="5.109375" customWidth="1"/>
    <col min="24" max="24" width="9.109375" customWidth="1"/>
    <col min="25" max="25" width="8.33203125" customWidth="1"/>
    <col min="26" max="26" width="8.5546875" style="163" bestFit="1" customWidth="1"/>
  </cols>
  <sheetData>
    <row r="1" spans="1:32" ht="149.25" customHeight="1">
      <c r="A1" s="231"/>
      <c r="B1" s="231"/>
      <c r="C1" s="231"/>
      <c r="D1" s="231"/>
      <c r="E1" s="231"/>
      <c r="F1" s="231"/>
      <c r="G1" s="231"/>
      <c r="H1" s="231"/>
      <c r="I1" s="231"/>
      <c r="J1" s="231"/>
      <c r="K1" s="231"/>
      <c r="L1" s="231"/>
      <c r="M1" s="231"/>
      <c r="N1" s="231"/>
      <c r="O1" s="231"/>
      <c r="P1" s="231"/>
      <c r="Q1" s="231"/>
      <c r="R1" s="231"/>
      <c r="S1" s="231"/>
      <c r="T1" s="231"/>
      <c r="U1" s="231"/>
      <c r="V1" s="231"/>
      <c r="W1" s="231"/>
      <c r="X1" s="231"/>
      <c r="Y1" s="231"/>
      <c r="Z1" s="232"/>
      <c r="AA1" s="158"/>
      <c r="AB1" s="158"/>
      <c r="AC1" s="158"/>
      <c r="AD1" s="158"/>
      <c r="AE1" s="158"/>
      <c r="AF1" s="158"/>
    </row>
    <row r="2" spans="1:32" ht="38.25" customHeight="1">
      <c r="A2" s="66" t="s">
        <v>27</v>
      </c>
      <c r="B2" s="66" t="s">
        <v>0</v>
      </c>
      <c r="C2" s="67" t="s">
        <v>1</v>
      </c>
      <c r="D2" s="68" t="s">
        <v>2</v>
      </c>
      <c r="E2" s="68" t="s">
        <v>3</v>
      </c>
      <c r="F2" s="68" t="s">
        <v>4</v>
      </c>
      <c r="G2" s="66" t="s">
        <v>5</v>
      </c>
      <c r="H2" s="68" t="s">
        <v>6</v>
      </c>
      <c r="I2" s="66" t="s">
        <v>7</v>
      </c>
      <c r="J2" s="68" t="s">
        <v>8</v>
      </c>
      <c r="K2" s="69" t="s">
        <v>9</v>
      </c>
      <c r="L2" s="66" t="s">
        <v>10</v>
      </c>
      <c r="M2" s="66" t="s">
        <v>11</v>
      </c>
      <c r="N2" s="160" t="s">
        <v>12</v>
      </c>
      <c r="O2" s="160" t="s">
        <v>13</v>
      </c>
      <c r="P2" s="166" t="s">
        <v>14</v>
      </c>
      <c r="Q2" s="160" t="s">
        <v>15</v>
      </c>
      <c r="R2" s="160" t="s">
        <v>16</v>
      </c>
      <c r="S2" s="166" t="s">
        <v>17</v>
      </c>
      <c r="T2" s="68" t="s">
        <v>18</v>
      </c>
      <c r="U2" s="71" t="s">
        <v>19</v>
      </c>
      <c r="V2" s="70" t="s">
        <v>20</v>
      </c>
      <c r="W2" s="70" t="s">
        <v>21</v>
      </c>
      <c r="X2" s="70" t="s">
        <v>22</v>
      </c>
      <c r="Y2" s="70" t="s">
        <v>23</v>
      </c>
      <c r="Z2" s="160" t="s">
        <v>24</v>
      </c>
      <c r="AA2" s="158"/>
      <c r="AB2" s="158"/>
      <c r="AC2" s="158"/>
      <c r="AD2" s="158"/>
      <c r="AE2" s="158"/>
      <c r="AF2" s="158"/>
    </row>
    <row r="3" spans="1:32" ht="20.25" customHeight="1">
      <c r="A3" s="33" t="s">
        <v>232</v>
      </c>
      <c r="B3" s="34"/>
      <c r="C3" s="35">
        <v>45673</v>
      </c>
      <c r="D3" s="36" t="s">
        <v>232</v>
      </c>
      <c r="E3" s="37" t="s">
        <v>202</v>
      </c>
      <c r="F3" s="37" t="s">
        <v>156</v>
      </c>
      <c r="G3" s="38" t="s">
        <v>287</v>
      </c>
      <c r="H3" s="72" t="s">
        <v>288</v>
      </c>
      <c r="I3" s="34" t="s">
        <v>128</v>
      </c>
      <c r="J3" s="37" t="s">
        <v>289</v>
      </c>
      <c r="K3" s="39" t="s">
        <v>126</v>
      </c>
      <c r="L3" s="34" t="s">
        <v>127</v>
      </c>
      <c r="M3" s="40" t="s">
        <v>95</v>
      </c>
      <c r="N3" s="161" t="e">
        <v>#VALUE!</v>
      </c>
      <c r="O3" s="161">
        <v>155000</v>
      </c>
      <c r="P3" s="167">
        <v>0</v>
      </c>
      <c r="Q3" s="161">
        <v>0</v>
      </c>
      <c r="R3" s="161">
        <v>155000</v>
      </c>
      <c r="S3" s="41">
        <v>0</v>
      </c>
      <c r="T3" s="37" t="s">
        <v>101</v>
      </c>
      <c r="U3" s="37" t="s">
        <v>96</v>
      </c>
      <c r="V3" s="34" t="s">
        <v>97</v>
      </c>
      <c r="W3" s="34" t="s">
        <v>97</v>
      </c>
      <c r="X3" s="34" t="s">
        <v>97</v>
      </c>
      <c r="Y3" s="34" t="e">
        <v>#VALUE!</v>
      </c>
      <c r="Z3" s="161">
        <v>17</v>
      </c>
      <c r="AA3" s="158"/>
      <c r="AB3" s="158"/>
      <c r="AC3" s="158"/>
      <c r="AD3" s="158"/>
      <c r="AE3" s="158"/>
      <c r="AF3" s="158"/>
    </row>
    <row r="4" spans="1:32" ht="23.4">
      <c r="A4" s="233" t="s">
        <v>25</v>
      </c>
      <c r="B4" s="233"/>
      <c r="C4" s="233"/>
      <c r="D4" s="233"/>
      <c r="E4" s="233"/>
      <c r="F4" s="233"/>
      <c r="G4" s="233"/>
      <c r="H4" s="233"/>
      <c r="I4" s="233"/>
      <c r="J4" s="233"/>
      <c r="K4" s="233"/>
      <c r="L4" s="233"/>
      <c r="M4" s="233"/>
      <c r="N4" s="233"/>
      <c r="O4" s="233"/>
      <c r="P4" s="233"/>
      <c r="Q4" s="233"/>
      <c r="R4" s="233"/>
      <c r="S4" s="233"/>
      <c r="T4" s="233"/>
      <c r="U4" s="233"/>
      <c r="V4" s="233"/>
      <c r="W4" s="233"/>
      <c r="X4" s="233"/>
      <c r="Y4" s="233"/>
      <c r="Z4" s="233"/>
      <c r="AA4" s="158"/>
      <c r="AB4" s="158"/>
      <c r="AC4" s="158"/>
      <c r="AD4" s="158"/>
      <c r="AE4" s="158"/>
      <c r="AF4" s="158"/>
    </row>
    <row r="5" spans="1:32" ht="50.25" customHeight="1">
      <c r="A5" s="62" t="s">
        <v>27</v>
      </c>
      <c r="B5" s="62" t="s">
        <v>102</v>
      </c>
      <c r="C5" s="63" t="s">
        <v>1</v>
      </c>
      <c r="D5" s="62" t="s">
        <v>2</v>
      </c>
      <c r="E5" s="62" t="s">
        <v>3</v>
      </c>
      <c r="F5" s="62" t="s">
        <v>4</v>
      </c>
      <c r="G5" s="62" t="s">
        <v>5</v>
      </c>
      <c r="H5" s="62" t="s">
        <v>6</v>
      </c>
      <c r="I5" s="62" t="s">
        <v>7</v>
      </c>
      <c r="J5" s="62" t="s">
        <v>8</v>
      </c>
      <c r="K5" s="62" t="s">
        <v>9</v>
      </c>
      <c r="L5" s="62" t="s">
        <v>10</v>
      </c>
      <c r="M5" s="62" t="s">
        <v>11</v>
      </c>
      <c r="N5" s="162" t="s">
        <v>26</v>
      </c>
      <c r="O5" s="162" t="s">
        <v>13</v>
      </c>
      <c r="P5" s="143" t="s">
        <v>14</v>
      </c>
      <c r="Q5" s="162" t="s">
        <v>15</v>
      </c>
      <c r="R5" s="162" t="s">
        <v>16</v>
      </c>
      <c r="S5" s="143" t="s">
        <v>17</v>
      </c>
      <c r="T5" s="62" t="s">
        <v>18</v>
      </c>
      <c r="U5" s="62" t="s">
        <v>19</v>
      </c>
      <c r="V5" s="62" t="s">
        <v>20</v>
      </c>
      <c r="W5" s="62" t="s">
        <v>21</v>
      </c>
      <c r="X5" s="62" t="s">
        <v>22</v>
      </c>
      <c r="Y5" s="62" t="s">
        <v>23</v>
      </c>
      <c r="Z5" s="162" t="s">
        <v>24</v>
      </c>
      <c r="AA5" s="158"/>
      <c r="AB5" s="158"/>
      <c r="AC5" s="158"/>
      <c r="AD5" s="158"/>
      <c r="AE5" s="158"/>
      <c r="AF5" s="158"/>
    </row>
    <row r="6" spans="1:32">
      <c r="B6" s="1"/>
      <c r="C6" s="28"/>
      <c r="D6" s="19"/>
      <c r="G6" s="29"/>
      <c r="I6" s="1"/>
      <c r="K6" s="30"/>
      <c r="L6" s="30"/>
      <c r="M6" s="1"/>
      <c r="N6" s="211"/>
      <c r="O6" s="211"/>
      <c r="P6" s="31"/>
      <c r="Q6" s="211"/>
      <c r="R6" s="211"/>
      <c r="S6" s="31"/>
      <c r="V6" s="1"/>
      <c r="W6" s="1"/>
      <c r="X6" s="1"/>
      <c r="Y6" s="30"/>
      <c r="Z6" s="211"/>
    </row>
    <row r="7" spans="1:32">
      <c r="B7" s="1"/>
      <c r="C7" s="28"/>
      <c r="D7" s="19"/>
      <c r="G7" s="29"/>
      <c r="I7" s="1"/>
      <c r="K7" s="30"/>
      <c r="L7" s="30"/>
      <c r="M7" s="1"/>
      <c r="N7" s="211"/>
      <c r="O7" s="211"/>
      <c r="P7" s="31"/>
      <c r="Q7" s="211"/>
      <c r="R7" s="211"/>
      <c r="S7" s="31"/>
      <c r="V7" s="1"/>
      <c r="W7" s="1"/>
      <c r="X7" s="1"/>
      <c r="Y7" s="30"/>
      <c r="Z7" s="211"/>
    </row>
    <row r="8" spans="1:32">
      <c r="B8" s="1"/>
      <c r="C8" s="28"/>
      <c r="D8" s="19"/>
      <c r="G8" s="29"/>
      <c r="I8" s="1"/>
      <c r="K8" s="30"/>
      <c r="L8" s="30"/>
      <c r="M8" s="1"/>
      <c r="N8" s="211"/>
      <c r="O8" s="211"/>
      <c r="P8" s="31"/>
      <c r="Q8" s="211"/>
      <c r="R8" s="211"/>
      <c r="S8" s="31"/>
      <c r="V8" s="1"/>
      <c r="W8" s="1"/>
      <c r="X8" s="1"/>
      <c r="Y8" s="30"/>
      <c r="Z8" s="211"/>
    </row>
    <row r="9" spans="1:32">
      <c r="B9" s="1"/>
      <c r="C9" s="28"/>
      <c r="D9" s="19"/>
      <c r="G9" s="29"/>
      <c r="I9" s="1"/>
      <c r="K9" s="30"/>
      <c r="L9" s="30"/>
      <c r="M9" s="1"/>
      <c r="N9" s="211"/>
      <c r="O9" s="211"/>
      <c r="P9" s="31"/>
      <c r="Q9" s="211"/>
      <c r="R9" s="211"/>
      <c r="S9" s="31"/>
      <c r="V9" s="1"/>
      <c r="W9" s="1"/>
      <c r="X9" s="1"/>
      <c r="Y9" s="30"/>
      <c r="Z9" s="211"/>
    </row>
    <row r="10" spans="1:32">
      <c r="B10" s="1"/>
      <c r="C10" s="28"/>
      <c r="D10" s="19"/>
      <c r="G10" s="29"/>
      <c r="I10" s="1"/>
      <c r="K10" s="30"/>
      <c r="L10" s="30"/>
      <c r="M10" s="1"/>
      <c r="N10" s="211"/>
      <c r="O10" s="211"/>
      <c r="P10" s="31"/>
      <c r="Q10" s="211"/>
      <c r="R10" s="211"/>
      <c r="S10" s="31"/>
      <c r="V10" s="1"/>
      <c r="W10" s="1"/>
      <c r="X10" s="1"/>
      <c r="Y10" s="30"/>
      <c r="Z10" s="211"/>
    </row>
    <row r="11" spans="1:32">
      <c r="B11" s="1"/>
      <c r="C11" s="28"/>
      <c r="D11" s="19"/>
      <c r="G11" s="29"/>
      <c r="I11" s="1"/>
      <c r="K11" s="30"/>
      <c r="L11" s="30"/>
      <c r="M11" s="1"/>
      <c r="N11" s="211"/>
      <c r="O11" s="211"/>
      <c r="P11" s="31"/>
      <c r="Q11" s="211"/>
      <c r="R11" s="211"/>
      <c r="S11" s="31"/>
      <c r="V11" s="1"/>
      <c r="W11" s="1"/>
      <c r="X11" s="1"/>
      <c r="Y11" s="30"/>
      <c r="Z11" s="211"/>
    </row>
    <row r="12" spans="1:32">
      <c r="B12" s="1"/>
      <c r="C12" s="28"/>
      <c r="D12" s="19"/>
      <c r="G12" s="29"/>
      <c r="I12" s="1"/>
      <c r="K12" s="30"/>
      <c r="L12" s="30"/>
      <c r="M12" s="1"/>
      <c r="N12" s="211"/>
      <c r="O12" s="211"/>
      <c r="P12" s="31"/>
      <c r="Q12" s="211"/>
      <c r="R12" s="211"/>
      <c r="S12" s="31"/>
      <c r="V12" s="1"/>
      <c r="W12" s="1"/>
      <c r="X12" s="1"/>
      <c r="Y12" s="30"/>
      <c r="Z12" s="211"/>
    </row>
    <row r="13" spans="1:32">
      <c r="B13" s="1"/>
      <c r="C13" s="28"/>
      <c r="D13" s="19"/>
      <c r="G13" s="29"/>
      <c r="I13" s="1"/>
      <c r="K13" s="30"/>
      <c r="L13" s="30"/>
      <c r="M13" s="1"/>
      <c r="N13" s="211"/>
      <c r="O13" s="211"/>
      <c r="P13" s="31"/>
      <c r="Q13" s="211"/>
      <c r="R13" s="211"/>
      <c r="S13" s="31"/>
      <c r="V13" s="1"/>
      <c r="W13" s="1"/>
      <c r="X13" s="1"/>
      <c r="Y13" s="30"/>
      <c r="Z13" s="211"/>
    </row>
    <row r="14" spans="1:32">
      <c r="B14" s="1"/>
      <c r="C14" s="28"/>
      <c r="D14" s="19"/>
      <c r="G14" s="29"/>
      <c r="I14" s="1"/>
      <c r="K14" s="30"/>
      <c r="L14" s="30"/>
      <c r="M14" s="1"/>
      <c r="N14" s="211"/>
      <c r="O14" s="211"/>
      <c r="P14" s="31"/>
      <c r="Q14" s="211"/>
      <c r="R14" s="211"/>
      <c r="S14" s="31"/>
      <c r="V14" s="1"/>
      <c r="W14" s="1"/>
      <c r="X14" s="1"/>
      <c r="Y14" s="30"/>
      <c r="Z14" s="211"/>
    </row>
    <row r="15" spans="1:32">
      <c r="B15" s="1"/>
      <c r="C15" s="28"/>
      <c r="D15" s="19"/>
      <c r="G15" s="29"/>
      <c r="I15" s="1"/>
      <c r="K15" s="30"/>
      <c r="L15" s="30"/>
      <c r="M15" s="1"/>
      <c r="N15" s="211"/>
      <c r="O15" s="211"/>
      <c r="P15" s="31"/>
      <c r="Q15" s="211"/>
      <c r="R15" s="211"/>
      <c r="S15" s="31"/>
      <c r="V15" s="1"/>
      <c r="W15" s="1"/>
      <c r="X15" s="1"/>
      <c r="Y15" s="30"/>
      <c r="Z15" s="211"/>
    </row>
    <row r="16" spans="1:32">
      <c r="B16" s="1"/>
      <c r="C16" s="28"/>
      <c r="D16" s="19"/>
      <c r="G16" s="29"/>
      <c r="I16" s="1"/>
      <c r="K16" s="30"/>
      <c r="L16" s="30"/>
      <c r="M16" s="1"/>
      <c r="N16" s="211"/>
      <c r="O16" s="211"/>
      <c r="P16" s="31"/>
      <c r="Q16" s="211"/>
      <c r="R16" s="211"/>
      <c r="S16" s="31"/>
      <c r="V16" s="1"/>
      <c r="W16" s="1"/>
      <c r="X16" s="1"/>
      <c r="Y16" s="30"/>
      <c r="Z16" s="211"/>
    </row>
    <row r="17" spans="2:26">
      <c r="B17" s="1"/>
      <c r="C17" s="28"/>
      <c r="D17" s="19"/>
      <c r="G17" s="29"/>
      <c r="I17" s="1"/>
      <c r="K17" s="30"/>
      <c r="L17" s="30"/>
      <c r="M17" s="1"/>
      <c r="N17" s="211"/>
      <c r="O17" s="211"/>
      <c r="P17" s="31"/>
      <c r="Q17" s="211"/>
      <c r="R17" s="211"/>
      <c r="S17" s="31"/>
      <c r="V17" s="1"/>
      <c r="W17" s="1"/>
      <c r="X17" s="1"/>
      <c r="Y17" s="30"/>
      <c r="Z17" s="211"/>
    </row>
    <row r="18" spans="2:26">
      <c r="B18" s="1"/>
      <c r="C18" s="28"/>
      <c r="D18" s="19"/>
      <c r="G18" s="29"/>
      <c r="I18" s="1"/>
      <c r="K18" s="30"/>
      <c r="L18" s="30"/>
      <c r="M18" s="1"/>
      <c r="N18" s="211"/>
      <c r="O18" s="211"/>
      <c r="P18" s="31"/>
      <c r="Q18" s="211"/>
      <c r="R18" s="211"/>
      <c r="S18" s="31"/>
      <c r="V18" s="1"/>
      <c r="W18" s="1"/>
      <c r="X18" s="1"/>
      <c r="Y18" s="30"/>
      <c r="Z18" s="211"/>
    </row>
    <row r="19" spans="2:26">
      <c r="B19" s="1"/>
      <c r="C19" s="28"/>
      <c r="D19" s="19"/>
      <c r="G19" s="29"/>
      <c r="I19" s="1"/>
      <c r="K19" s="30"/>
      <c r="L19" s="30"/>
      <c r="M19" s="1"/>
      <c r="N19" s="211"/>
      <c r="O19" s="211"/>
      <c r="P19" s="31"/>
      <c r="Q19" s="211"/>
      <c r="R19" s="211"/>
      <c r="S19" s="31"/>
      <c r="V19" s="1"/>
      <c r="W19" s="1"/>
      <c r="X19" s="1"/>
      <c r="Y19" s="30"/>
      <c r="Z19" s="211"/>
    </row>
    <row r="20" spans="2:26">
      <c r="B20" s="1"/>
      <c r="C20" s="28"/>
      <c r="D20" s="19"/>
      <c r="G20" s="29"/>
      <c r="I20" s="1"/>
      <c r="K20" s="30"/>
      <c r="L20" s="30"/>
      <c r="M20" s="1"/>
      <c r="N20" s="211"/>
      <c r="O20" s="211"/>
      <c r="P20" s="31"/>
      <c r="Q20" s="211"/>
      <c r="R20" s="211"/>
      <c r="S20" s="31"/>
      <c r="V20" s="1"/>
      <c r="W20" s="1"/>
      <c r="X20" s="1"/>
      <c r="Y20" s="30"/>
      <c r="Z20" s="211"/>
    </row>
    <row r="21" spans="2:26">
      <c r="B21" s="1"/>
      <c r="C21" s="28"/>
      <c r="D21" s="19"/>
      <c r="G21" s="29"/>
      <c r="I21" s="1"/>
      <c r="K21" s="30"/>
      <c r="L21" s="30"/>
      <c r="M21" s="1"/>
      <c r="N21" s="211"/>
      <c r="O21" s="211"/>
      <c r="P21" s="31"/>
      <c r="Q21" s="211"/>
      <c r="R21" s="211"/>
      <c r="S21" s="31"/>
      <c r="V21" s="1"/>
      <c r="W21" s="1"/>
      <c r="X21" s="1"/>
      <c r="Y21" s="30"/>
      <c r="Z21" s="211"/>
    </row>
    <row r="22" spans="2:26">
      <c r="B22" s="1"/>
      <c r="C22" s="28"/>
      <c r="D22" s="19"/>
      <c r="G22" s="29"/>
      <c r="I22" s="1"/>
      <c r="K22" s="30"/>
      <c r="L22" s="30"/>
      <c r="M22" s="1"/>
      <c r="N22" s="211"/>
      <c r="O22" s="211"/>
      <c r="P22" s="31"/>
      <c r="Q22" s="211"/>
      <c r="R22" s="211"/>
      <c r="S22" s="31"/>
      <c r="V22" s="1"/>
      <c r="W22" s="1"/>
      <c r="X22" s="1"/>
      <c r="Y22" s="30"/>
      <c r="Z22" s="211"/>
    </row>
    <row r="23" spans="2:26">
      <c r="B23" s="1"/>
      <c r="C23" s="28"/>
      <c r="D23" s="19"/>
      <c r="G23" s="29"/>
      <c r="I23" s="1"/>
      <c r="K23" s="30"/>
      <c r="L23" s="30"/>
      <c r="M23" s="1"/>
      <c r="N23" s="211"/>
      <c r="O23" s="211"/>
      <c r="P23" s="31"/>
      <c r="Q23" s="211"/>
      <c r="R23" s="211"/>
      <c r="S23" s="31"/>
      <c r="V23" s="1"/>
      <c r="W23" s="1"/>
      <c r="X23" s="1"/>
      <c r="Y23" s="30"/>
      <c r="Z23" s="211"/>
    </row>
    <row r="24" spans="2:26">
      <c r="B24" s="1"/>
      <c r="C24" s="28"/>
      <c r="D24" s="19"/>
      <c r="G24" s="29"/>
      <c r="I24" s="1"/>
      <c r="K24" s="30"/>
      <c r="L24" s="30"/>
      <c r="M24" s="1"/>
      <c r="N24" s="211"/>
      <c r="O24" s="211"/>
      <c r="P24" s="31"/>
      <c r="Q24" s="211"/>
      <c r="R24" s="211"/>
      <c r="S24" s="31"/>
      <c r="V24" s="1"/>
      <c r="W24" s="1"/>
      <c r="X24" s="1"/>
      <c r="Y24" s="30"/>
      <c r="Z24" s="211"/>
    </row>
    <row r="25" spans="2:26">
      <c r="B25" s="1"/>
      <c r="C25" s="28"/>
      <c r="D25" s="19"/>
      <c r="G25" s="29"/>
      <c r="I25" s="1"/>
      <c r="K25" s="30"/>
      <c r="L25" s="30"/>
      <c r="M25" s="1"/>
      <c r="N25" s="211"/>
      <c r="O25" s="211"/>
      <c r="P25" s="31"/>
      <c r="Q25" s="211"/>
      <c r="R25" s="211"/>
      <c r="S25" s="31"/>
      <c r="V25" s="1"/>
      <c r="W25" s="1"/>
      <c r="X25" s="1"/>
      <c r="Y25" s="30"/>
      <c r="Z25" s="211"/>
    </row>
    <row r="26" spans="2:26">
      <c r="B26" s="1"/>
      <c r="C26" s="28"/>
      <c r="D26" s="19"/>
      <c r="G26" s="29"/>
      <c r="I26" s="1"/>
      <c r="K26" s="30"/>
      <c r="L26" s="30"/>
      <c r="M26" s="1"/>
      <c r="N26" s="211"/>
      <c r="O26" s="211"/>
      <c r="P26" s="31"/>
      <c r="Q26" s="211"/>
      <c r="R26" s="211"/>
      <c r="S26" s="31"/>
      <c r="V26" s="1"/>
      <c r="W26" s="1"/>
      <c r="X26" s="1"/>
      <c r="Y26" s="30"/>
      <c r="Z26" s="211"/>
    </row>
    <row r="27" spans="2:26">
      <c r="B27" s="1"/>
      <c r="C27" s="28"/>
      <c r="D27" s="19"/>
      <c r="G27" s="29"/>
      <c r="I27" s="1"/>
      <c r="K27" s="30"/>
      <c r="L27" s="30"/>
      <c r="M27" s="1"/>
      <c r="N27" s="211"/>
      <c r="O27" s="211"/>
      <c r="P27" s="31"/>
      <c r="Q27" s="211"/>
      <c r="R27" s="211"/>
      <c r="S27" s="31"/>
      <c r="V27" s="1"/>
      <c r="W27" s="1"/>
      <c r="X27" s="1"/>
      <c r="Y27" s="30"/>
      <c r="Z27" s="211"/>
    </row>
    <row r="28" spans="2:26">
      <c r="B28" s="1"/>
      <c r="C28" s="28"/>
      <c r="D28" s="19"/>
      <c r="G28" s="29"/>
      <c r="I28" s="1"/>
      <c r="K28" s="30"/>
      <c r="L28" s="30"/>
      <c r="M28" s="1"/>
      <c r="N28" s="211"/>
      <c r="O28" s="211"/>
      <c r="P28" s="31"/>
      <c r="Q28" s="211"/>
      <c r="R28" s="211"/>
      <c r="S28" s="31"/>
      <c r="V28" s="1"/>
      <c r="W28" s="1"/>
      <c r="X28" s="1"/>
      <c r="Y28" s="30"/>
      <c r="Z28" s="211"/>
    </row>
    <row r="29" spans="2:26">
      <c r="B29" s="1"/>
      <c r="C29" s="28"/>
      <c r="D29" s="19"/>
      <c r="G29" s="29"/>
      <c r="I29" s="1"/>
      <c r="K29" s="30"/>
      <c r="L29" s="30"/>
      <c r="M29" s="1"/>
      <c r="N29" s="211"/>
      <c r="O29" s="211"/>
      <c r="P29" s="31"/>
      <c r="Q29" s="211"/>
      <c r="R29" s="211"/>
      <c r="S29" s="31"/>
      <c r="V29" s="1"/>
      <c r="W29" s="1"/>
      <c r="X29" s="1"/>
      <c r="Y29" s="30"/>
      <c r="Z29" s="211"/>
    </row>
    <row r="30" spans="2:26">
      <c r="B30" s="1"/>
      <c r="C30" s="28"/>
      <c r="D30" s="19"/>
      <c r="G30" s="29"/>
      <c r="I30" s="1"/>
      <c r="K30" s="30"/>
      <c r="L30" s="30"/>
      <c r="M30" s="1"/>
      <c r="N30" s="211"/>
      <c r="O30" s="211"/>
      <c r="P30" s="31"/>
      <c r="Q30" s="211"/>
      <c r="R30" s="211"/>
      <c r="S30" s="31"/>
      <c r="V30" s="1"/>
      <c r="W30" s="1"/>
      <c r="X30" s="1"/>
      <c r="Y30" s="30"/>
      <c r="Z30" s="211"/>
    </row>
    <row r="31" spans="2:26">
      <c r="B31" s="1"/>
      <c r="C31" s="28"/>
      <c r="D31" s="19"/>
      <c r="G31" s="29"/>
      <c r="I31" s="1"/>
      <c r="K31" s="30"/>
      <c r="L31" s="30"/>
      <c r="M31" s="1"/>
      <c r="N31" s="211"/>
      <c r="O31" s="211"/>
      <c r="P31" s="31"/>
      <c r="Q31" s="211"/>
      <c r="R31" s="211"/>
      <c r="S31" s="31"/>
      <c r="V31" s="1"/>
      <c r="W31" s="1"/>
      <c r="X31" s="1"/>
      <c r="Y31" s="30"/>
      <c r="Z31" s="211"/>
    </row>
    <row r="32" spans="2:26">
      <c r="B32" s="1"/>
      <c r="C32" s="28"/>
      <c r="D32" s="19"/>
      <c r="G32" s="29"/>
      <c r="I32" s="1"/>
      <c r="K32" s="30"/>
      <c r="L32" s="30"/>
      <c r="M32" s="1"/>
      <c r="N32" s="211"/>
      <c r="O32" s="211"/>
      <c r="P32" s="31"/>
      <c r="Q32" s="211"/>
      <c r="R32" s="211"/>
      <c r="S32" s="31"/>
      <c r="V32" s="1"/>
      <c r="W32" s="1"/>
      <c r="X32" s="1"/>
      <c r="Y32" s="30"/>
      <c r="Z32" s="211"/>
    </row>
    <row r="33" spans="2:26">
      <c r="B33" s="1"/>
      <c r="C33" s="28"/>
      <c r="D33" s="19"/>
      <c r="G33" s="29"/>
      <c r="I33" s="1"/>
      <c r="K33" s="30"/>
      <c r="L33" s="30"/>
      <c r="M33" s="1"/>
      <c r="N33" s="211"/>
      <c r="O33" s="211"/>
      <c r="P33" s="31"/>
      <c r="Q33" s="211"/>
      <c r="R33" s="211"/>
      <c r="S33" s="31"/>
      <c r="V33" s="1"/>
      <c r="W33" s="1"/>
      <c r="X33" s="1"/>
      <c r="Y33" s="30"/>
      <c r="Z33" s="211"/>
    </row>
    <row r="34" spans="2:26">
      <c r="B34" s="1"/>
      <c r="C34" s="28"/>
      <c r="D34" s="19"/>
      <c r="G34" s="29"/>
      <c r="I34" s="1"/>
      <c r="K34" s="30"/>
      <c r="L34" s="30"/>
      <c r="M34" s="1"/>
      <c r="N34" s="211"/>
      <c r="O34" s="211"/>
      <c r="P34" s="31"/>
      <c r="Q34" s="211"/>
      <c r="R34" s="211"/>
      <c r="S34" s="31"/>
      <c r="V34" s="1"/>
      <c r="W34" s="1"/>
      <c r="X34" s="1"/>
      <c r="Y34" s="30"/>
      <c r="Z34" s="211"/>
    </row>
    <row r="35" spans="2:26">
      <c r="B35" s="1"/>
      <c r="C35" s="28"/>
      <c r="D35" s="19"/>
      <c r="G35" s="29"/>
      <c r="I35" s="1"/>
      <c r="K35" s="30"/>
      <c r="L35" s="30"/>
      <c r="M35" s="1"/>
      <c r="N35" s="211"/>
      <c r="O35" s="211"/>
      <c r="P35" s="31"/>
      <c r="Q35" s="211"/>
      <c r="R35" s="211"/>
      <c r="S35" s="31"/>
      <c r="V35" s="1"/>
      <c r="W35" s="1"/>
      <c r="X35" s="1"/>
      <c r="Y35" s="30"/>
      <c r="Z35" s="211"/>
    </row>
    <row r="36" spans="2:26">
      <c r="B36" s="1"/>
      <c r="C36" s="28"/>
      <c r="D36" s="19"/>
      <c r="G36" s="29"/>
      <c r="I36" s="1"/>
      <c r="K36" s="30"/>
      <c r="L36" s="30"/>
      <c r="M36" s="1"/>
      <c r="N36" s="211"/>
      <c r="O36" s="211"/>
      <c r="P36" s="31"/>
      <c r="Q36" s="211"/>
      <c r="R36" s="211"/>
      <c r="S36" s="31"/>
      <c r="V36" s="1"/>
      <c r="W36" s="1"/>
      <c r="X36" s="1"/>
      <c r="Y36" s="30"/>
      <c r="Z36" s="211"/>
    </row>
    <row r="37" spans="2:26">
      <c r="B37" s="1"/>
      <c r="C37" s="28"/>
      <c r="D37" s="19"/>
      <c r="G37" s="29"/>
      <c r="I37" s="1"/>
      <c r="K37" s="30"/>
      <c r="L37" s="30"/>
      <c r="M37" s="1"/>
      <c r="N37" s="211"/>
      <c r="O37" s="211"/>
      <c r="P37" s="31"/>
      <c r="Q37" s="211"/>
      <c r="R37" s="211"/>
      <c r="S37" s="31"/>
      <c r="V37" s="1"/>
      <c r="W37" s="1"/>
      <c r="X37" s="1"/>
      <c r="Y37" s="30"/>
      <c r="Z37" s="211"/>
    </row>
    <row r="38" spans="2:26">
      <c r="B38" s="1"/>
      <c r="C38" s="28"/>
      <c r="D38" s="19"/>
      <c r="G38" s="29"/>
      <c r="I38" s="1"/>
      <c r="K38" s="30"/>
      <c r="L38" s="30"/>
      <c r="M38" s="1"/>
      <c r="N38" s="211"/>
      <c r="O38" s="211"/>
      <c r="P38" s="31"/>
      <c r="Q38" s="211"/>
      <c r="R38" s="211"/>
      <c r="S38" s="31"/>
      <c r="V38" s="1"/>
      <c r="W38" s="1"/>
      <c r="X38" s="1"/>
      <c r="Y38" s="30"/>
      <c r="Z38" s="211"/>
    </row>
    <row r="39" spans="2:26">
      <c r="B39" s="1"/>
      <c r="C39" s="28"/>
      <c r="D39" s="19"/>
      <c r="G39" s="29"/>
      <c r="I39" s="1"/>
      <c r="K39" s="30"/>
      <c r="L39" s="30"/>
      <c r="M39" s="1"/>
      <c r="N39" s="211"/>
      <c r="O39" s="211"/>
      <c r="P39" s="31"/>
      <c r="Q39" s="211"/>
      <c r="R39" s="211"/>
      <c r="S39" s="31"/>
      <c r="V39" s="1"/>
      <c r="W39" s="1"/>
      <c r="X39" s="1"/>
      <c r="Y39" s="30"/>
      <c r="Z39" s="211"/>
    </row>
    <row r="40" spans="2:26">
      <c r="B40" s="1"/>
      <c r="C40" s="28"/>
      <c r="D40" s="19"/>
      <c r="G40" s="29"/>
      <c r="I40" s="1"/>
      <c r="K40" s="30"/>
      <c r="L40" s="30"/>
      <c r="M40" s="1"/>
      <c r="N40" s="211"/>
      <c r="O40" s="211"/>
      <c r="P40" s="31"/>
      <c r="Q40" s="211"/>
      <c r="R40" s="211"/>
      <c r="S40" s="31"/>
      <c r="V40" s="1"/>
      <c r="W40" s="1"/>
      <c r="X40" s="1"/>
      <c r="Y40" s="30"/>
      <c r="Z40" s="211"/>
    </row>
    <row r="41" spans="2:26">
      <c r="B41" s="1"/>
      <c r="C41" s="28"/>
      <c r="D41" s="19"/>
      <c r="G41" s="29"/>
      <c r="I41" s="1"/>
      <c r="K41" s="30"/>
      <c r="L41" s="30"/>
      <c r="M41" s="1"/>
      <c r="N41" s="211"/>
      <c r="O41" s="211"/>
      <c r="P41" s="31"/>
      <c r="Q41" s="211"/>
      <c r="R41" s="211"/>
      <c r="S41" s="31"/>
      <c r="V41" s="1"/>
      <c r="W41" s="1"/>
      <c r="X41" s="1"/>
      <c r="Y41" s="30"/>
      <c r="Z41" s="211"/>
    </row>
    <row r="42" spans="2:26">
      <c r="B42" s="1"/>
      <c r="C42" s="28"/>
      <c r="D42" s="19"/>
      <c r="G42" s="29"/>
      <c r="I42" s="1"/>
      <c r="K42" s="30"/>
      <c r="L42" s="30"/>
      <c r="M42" s="1"/>
      <c r="N42" s="211"/>
      <c r="O42" s="211"/>
      <c r="P42" s="31"/>
      <c r="Q42" s="211"/>
      <c r="R42" s="211"/>
      <c r="S42" s="31"/>
      <c r="V42" s="1"/>
      <c r="W42" s="1"/>
      <c r="X42" s="1"/>
      <c r="Y42" s="30"/>
      <c r="Z42" s="211"/>
    </row>
    <row r="43" spans="2:26">
      <c r="B43" s="1"/>
      <c r="C43" s="28"/>
      <c r="D43" s="19"/>
      <c r="G43" s="29"/>
      <c r="I43" s="1"/>
      <c r="K43" s="30"/>
      <c r="L43" s="30"/>
      <c r="M43" s="1"/>
      <c r="N43" s="211"/>
      <c r="O43" s="211"/>
      <c r="P43" s="31"/>
      <c r="Q43" s="211"/>
      <c r="R43" s="211"/>
      <c r="S43" s="31"/>
      <c r="V43" s="1"/>
      <c r="W43" s="1"/>
      <c r="X43" s="1"/>
      <c r="Y43" s="30"/>
      <c r="Z43" s="211"/>
    </row>
    <row r="44" spans="2:26">
      <c r="B44" s="1"/>
      <c r="C44" s="28"/>
      <c r="D44" s="19"/>
      <c r="G44" s="29"/>
      <c r="I44" s="1"/>
      <c r="K44" s="30"/>
      <c r="L44" s="30"/>
      <c r="M44" s="1"/>
      <c r="N44" s="211"/>
      <c r="O44" s="211"/>
      <c r="P44" s="31"/>
      <c r="Q44" s="211"/>
      <c r="R44" s="211"/>
      <c r="S44" s="31"/>
      <c r="V44" s="1"/>
      <c r="W44" s="1"/>
      <c r="X44" s="1"/>
      <c r="Y44" s="30"/>
      <c r="Z44" s="211"/>
    </row>
    <row r="45" spans="2:26">
      <c r="B45" s="1"/>
      <c r="C45" s="28"/>
      <c r="D45" s="19"/>
      <c r="G45" s="29"/>
      <c r="I45" s="1"/>
      <c r="K45" s="30"/>
      <c r="L45" s="30"/>
      <c r="M45" s="1"/>
      <c r="N45" s="211"/>
      <c r="O45" s="211"/>
      <c r="P45" s="31"/>
      <c r="Q45" s="211"/>
      <c r="R45" s="211"/>
      <c r="S45" s="31"/>
      <c r="V45" s="1"/>
      <c r="W45" s="1"/>
      <c r="X45" s="1"/>
      <c r="Y45" s="30"/>
      <c r="Z45" s="211"/>
    </row>
    <row r="46" spans="2:26">
      <c r="B46" s="1"/>
      <c r="C46" s="28"/>
      <c r="D46" s="19"/>
      <c r="G46" s="29"/>
      <c r="I46" s="1"/>
      <c r="K46" s="30"/>
      <c r="L46" s="30"/>
      <c r="M46" s="1"/>
      <c r="N46" s="211"/>
      <c r="O46" s="211"/>
      <c r="P46" s="31"/>
      <c r="Q46" s="211"/>
      <c r="R46" s="211"/>
      <c r="S46" s="31"/>
      <c r="V46" s="1"/>
      <c r="W46" s="1"/>
      <c r="X46" s="1"/>
      <c r="Y46" s="30"/>
      <c r="Z46" s="211"/>
    </row>
    <row r="47" spans="2:26">
      <c r="B47" s="1"/>
      <c r="C47" s="28"/>
      <c r="D47" s="19"/>
      <c r="G47" s="29"/>
      <c r="I47" s="1"/>
      <c r="K47" s="30"/>
      <c r="L47" s="30"/>
      <c r="M47" s="1"/>
      <c r="N47" s="211"/>
      <c r="O47" s="211"/>
      <c r="P47" s="31"/>
      <c r="Q47" s="211"/>
      <c r="R47" s="211"/>
      <c r="S47" s="31"/>
      <c r="V47" s="1"/>
      <c r="W47" s="1"/>
      <c r="X47" s="1"/>
      <c r="Y47" s="30"/>
      <c r="Z47" s="211"/>
    </row>
    <row r="48" spans="2:26">
      <c r="B48" s="1"/>
      <c r="C48" s="28"/>
      <c r="D48" s="19"/>
      <c r="G48" s="29"/>
      <c r="I48" s="1"/>
      <c r="K48" s="30"/>
      <c r="L48" s="30"/>
      <c r="M48" s="1"/>
      <c r="N48" s="211"/>
      <c r="O48" s="211"/>
      <c r="P48" s="31"/>
      <c r="Q48" s="211"/>
      <c r="R48" s="211"/>
      <c r="S48" s="31"/>
      <c r="V48" s="1"/>
      <c r="W48" s="1"/>
      <c r="X48" s="1"/>
      <c r="Y48" s="30"/>
      <c r="Z48" s="211"/>
    </row>
    <row r="49" spans="2:26">
      <c r="B49" s="1"/>
      <c r="C49" s="28"/>
      <c r="D49" s="19"/>
      <c r="G49" s="29"/>
      <c r="I49" s="1"/>
      <c r="K49" s="30"/>
      <c r="L49" s="30"/>
      <c r="M49" s="1"/>
      <c r="N49" s="211"/>
      <c r="O49" s="211"/>
      <c r="P49" s="31"/>
      <c r="Q49" s="211"/>
      <c r="R49" s="211"/>
      <c r="S49" s="31"/>
      <c r="V49" s="1"/>
      <c r="W49" s="1"/>
      <c r="X49" s="1"/>
      <c r="Y49" s="30"/>
      <c r="Z49" s="211"/>
    </row>
    <row r="50" spans="2:26">
      <c r="B50" s="1"/>
      <c r="C50" s="28"/>
      <c r="D50" s="19"/>
      <c r="G50" s="29"/>
      <c r="I50" s="1"/>
      <c r="K50" s="30"/>
      <c r="L50" s="30"/>
      <c r="M50" s="1"/>
      <c r="N50" s="211"/>
      <c r="O50" s="211"/>
      <c r="P50" s="31"/>
      <c r="Q50" s="211"/>
      <c r="R50" s="211"/>
      <c r="S50" s="31"/>
      <c r="V50" s="1"/>
      <c r="W50" s="1"/>
      <c r="X50" s="1"/>
      <c r="Y50" s="30"/>
      <c r="Z50" s="211"/>
    </row>
    <row r="51" spans="2:26">
      <c r="B51" s="1"/>
      <c r="C51" s="28"/>
      <c r="D51" s="19"/>
      <c r="G51" s="29"/>
      <c r="I51" s="1"/>
      <c r="K51" s="30"/>
      <c r="L51" s="30"/>
      <c r="M51" s="1"/>
      <c r="N51" s="211"/>
      <c r="O51" s="211"/>
      <c r="P51" s="31"/>
      <c r="Q51" s="211"/>
      <c r="R51" s="211"/>
      <c r="S51" s="31"/>
      <c r="V51" s="1"/>
      <c r="W51" s="1"/>
      <c r="X51" s="1"/>
      <c r="Y51" s="30"/>
      <c r="Z51" s="211"/>
    </row>
    <row r="52" spans="2:26">
      <c r="B52" s="1"/>
      <c r="C52" s="28"/>
      <c r="D52" s="19"/>
      <c r="G52" s="29"/>
      <c r="I52" s="1"/>
      <c r="K52" s="30"/>
      <c r="L52" s="30"/>
      <c r="M52" s="1"/>
      <c r="N52" s="211"/>
      <c r="O52" s="211"/>
      <c r="P52" s="31"/>
      <c r="Q52" s="211"/>
      <c r="R52" s="211"/>
      <c r="S52" s="31"/>
      <c r="V52" s="1"/>
      <c r="W52" s="1"/>
      <c r="X52" s="1"/>
      <c r="Y52" s="30"/>
      <c r="Z52" s="211"/>
    </row>
    <row r="53" spans="2:26">
      <c r="B53" s="1"/>
      <c r="C53" s="28"/>
      <c r="D53" s="19"/>
      <c r="G53" s="29"/>
      <c r="I53" s="1"/>
      <c r="K53" s="30"/>
      <c r="L53" s="30"/>
      <c r="M53" s="1"/>
      <c r="N53" s="211"/>
      <c r="O53" s="211"/>
      <c r="P53" s="31"/>
      <c r="Q53" s="211"/>
      <c r="R53" s="211"/>
      <c r="S53" s="31"/>
      <c r="V53" s="1"/>
      <c r="W53" s="1"/>
      <c r="X53" s="1"/>
      <c r="Y53" s="30"/>
      <c r="Z53" s="211"/>
    </row>
    <row r="54" spans="2:26">
      <c r="B54" s="1"/>
      <c r="C54" s="28"/>
      <c r="D54" s="19"/>
      <c r="G54" s="29"/>
      <c r="I54" s="1"/>
      <c r="K54" s="30"/>
      <c r="L54" s="30"/>
      <c r="M54" s="1"/>
      <c r="N54" s="211"/>
      <c r="O54" s="211"/>
      <c r="P54" s="31"/>
      <c r="Q54" s="211"/>
      <c r="R54" s="211"/>
      <c r="S54" s="31"/>
      <c r="V54" s="1"/>
      <c r="W54" s="1"/>
      <c r="X54" s="1"/>
      <c r="Y54" s="30"/>
      <c r="Z54" s="211"/>
    </row>
    <row r="55" spans="2:26">
      <c r="B55" s="1"/>
      <c r="C55" s="28"/>
      <c r="D55" s="19"/>
      <c r="G55" s="29"/>
      <c r="I55" s="1"/>
      <c r="K55" s="30"/>
      <c r="L55" s="30"/>
      <c r="M55" s="1"/>
      <c r="N55" s="211"/>
      <c r="O55" s="211"/>
      <c r="P55" s="31"/>
      <c r="Q55" s="211"/>
      <c r="R55" s="211"/>
      <c r="S55" s="31"/>
      <c r="V55" s="1"/>
      <c r="W55" s="1"/>
      <c r="X55" s="1"/>
      <c r="Y55" s="30"/>
      <c r="Z55" s="211"/>
    </row>
    <row r="56" spans="2:26">
      <c r="B56" s="1"/>
      <c r="C56" s="28"/>
      <c r="D56" s="19"/>
      <c r="G56" s="29"/>
      <c r="I56" s="1"/>
      <c r="K56" s="30"/>
      <c r="L56" s="30"/>
      <c r="M56" s="1"/>
      <c r="N56" s="211"/>
      <c r="O56" s="211"/>
      <c r="P56" s="31"/>
      <c r="Q56" s="211"/>
      <c r="R56" s="211"/>
      <c r="S56" s="31"/>
      <c r="V56" s="1"/>
      <c r="W56" s="1"/>
      <c r="X56" s="1"/>
      <c r="Y56" s="30"/>
      <c r="Z56" s="211"/>
    </row>
    <row r="57" spans="2:26">
      <c r="B57" s="1"/>
      <c r="C57" s="28"/>
      <c r="D57" s="19"/>
      <c r="G57" s="29"/>
      <c r="I57" s="1"/>
      <c r="K57" s="30"/>
      <c r="L57" s="30"/>
      <c r="M57" s="1"/>
      <c r="N57" s="211"/>
      <c r="O57" s="211"/>
      <c r="P57" s="31"/>
      <c r="Q57" s="211"/>
      <c r="R57" s="211"/>
      <c r="S57" s="31"/>
      <c r="V57" s="1"/>
      <c r="W57" s="1"/>
      <c r="X57" s="1"/>
      <c r="Y57" s="30"/>
      <c r="Z57" s="211"/>
    </row>
    <row r="58" spans="2:26">
      <c r="B58" s="1"/>
      <c r="C58" s="28"/>
      <c r="D58" s="19"/>
      <c r="G58" s="29"/>
      <c r="I58" s="1"/>
      <c r="K58" s="30"/>
      <c r="L58" s="30"/>
      <c r="M58" s="1"/>
      <c r="N58" s="211"/>
      <c r="O58" s="211"/>
      <c r="P58" s="31"/>
      <c r="Q58" s="211"/>
      <c r="R58" s="211"/>
      <c r="S58" s="31"/>
      <c r="V58" s="1"/>
      <c r="W58" s="1"/>
      <c r="X58" s="1"/>
      <c r="Y58" s="30"/>
      <c r="Z58" s="211"/>
    </row>
    <row r="59" spans="2:26">
      <c r="B59" s="1"/>
      <c r="C59" s="28"/>
      <c r="D59" s="19"/>
      <c r="G59" s="29"/>
      <c r="I59" s="1"/>
      <c r="K59" s="30"/>
      <c r="L59" s="30"/>
      <c r="M59" s="1"/>
      <c r="N59" s="211"/>
      <c r="O59" s="211"/>
      <c r="P59" s="31"/>
      <c r="Q59" s="211"/>
      <c r="R59" s="211"/>
      <c r="S59" s="31"/>
      <c r="V59" s="1"/>
      <c r="W59" s="1"/>
      <c r="X59" s="1"/>
      <c r="Y59" s="30"/>
      <c r="Z59" s="211"/>
    </row>
    <row r="60" spans="2:26">
      <c r="B60" s="1"/>
      <c r="C60" s="28"/>
      <c r="D60" s="19"/>
      <c r="G60" s="29"/>
      <c r="I60" s="1"/>
      <c r="K60" s="30"/>
      <c r="L60" s="30"/>
      <c r="M60" s="1"/>
      <c r="N60" s="211"/>
      <c r="O60" s="211"/>
      <c r="P60" s="31"/>
      <c r="Q60" s="211"/>
      <c r="R60" s="211"/>
      <c r="S60" s="31"/>
      <c r="V60" s="1"/>
      <c r="W60" s="1"/>
      <c r="X60" s="1"/>
      <c r="Y60" s="30"/>
      <c r="Z60" s="211"/>
    </row>
    <row r="61" spans="2:26">
      <c r="B61" s="1"/>
      <c r="C61" s="28"/>
      <c r="D61" s="19"/>
      <c r="G61" s="29"/>
      <c r="I61" s="1"/>
      <c r="K61" s="30"/>
      <c r="L61" s="30"/>
      <c r="M61" s="1"/>
      <c r="N61" s="211"/>
      <c r="O61" s="211"/>
      <c r="P61" s="31"/>
      <c r="Q61" s="211"/>
      <c r="R61" s="211"/>
      <c r="S61" s="31"/>
      <c r="V61" s="1"/>
      <c r="W61" s="1"/>
      <c r="X61" s="1"/>
      <c r="Y61" s="30"/>
      <c r="Z61" s="211"/>
    </row>
    <row r="62" spans="2:26">
      <c r="B62" s="1"/>
      <c r="C62" s="28"/>
      <c r="D62" s="19"/>
      <c r="G62" s="29"/>
      <c r="I62" s="1"/>
      <c r="K62" s="30"/>
      <c r="L62" s="30"/>
      <c r="M62" s="1"/>
      <c r="N62" s="211"/>
      <c r="O62" s="211"/>
      <c r="P62" s="31"/>
      <c r="Q62" s="211"/>
      <c r="R62" s="211"/>
      <c r="S62" s="31"/>
      <c r="V62" s="1"/>
      <c r="W62" s="1"/>
      <c r="X62" s="1"/>
      <c r="Y62" s="30"/>
      <c r="Z62" s="211"/>
    </row>
    <row r="63" spans="2:26">
      <c r="B63" s="1"/>
      <c r="C63" s="28"/>
      <c r="D63" s="19"/>
      <c r="G63" s="29"/>
      <c r="I63" s="1"/>
      <c r="K63" s="30"/>
      <c r="L63" s="30"/>
      <c r="M63" s="1"/>
      <c r="N63" s="211"/>
      <c r="O63" s="211"/>
      <c r="P63" s="31"/>
      <c r="Q63" s="211"/>
      <c r="R63" s="211"/>
      <c r="S63" s="31"/>
      <c r="V63" s="1"/>
      <c r="W63" s="1"/>
      <c r="X63" s="1"/>
      <c r="Y63" s="30"/>
      <c r="Z63" s="211"/>
    </row>
    <row r="64" spans="2:26">
      <c r="B64" s="1"/>
      <c r="C64" s="28"/>
      <c r="D64" s="19"/>
      <c r="G64" s="29"/>
      <c r="I64" s="1"/>
      <c r="K64" s="30"/>
      <c r="L64" s="30"/>
      <c r="M64" s="1"/>
      <c r="N64" s="211"/>
      <c r="O64" s="211"/>
      <c r="P64" s="31"/>
      <c r="Q64" s="211"/>
      <c r="R64" s="211"/>
      <c r="S64" s="31"/>
      <c r="V64" s="1"/>
      <c r="W64" s="1"/>
      <c r="X64" s="1"/>
      <c r="Y64" s="30"/>
      <c r="Z64" s="211"/>
    </row>
    <row r="65" spans="2:26">
      <c r="B65" s="1"/>
      <c r="C65" s="28"/>
      <c r="D65" s="19"/>
      <c r="G65" s="29"/>
      <c r="I65" s="1"/>
      <c r="K65" s="30"/>
      <c r="L65" s="30"/>
      <c r="M65" s="1"/>
      <c r="N65" s="211"/>
      <c r="O65" s="211"/>
      <c r="P65" s="31"/>
      <c r="Q65" s="211"/>
      <c r="R65" s="211"/>
      <c r="S65" s="31"/>
      <c r="V65" s="1"/>
      <c r="W65" s="1"/>
      <c r="X65" s="1"/>
      <c r="Y65" s="30"/>
      <c r="Z65" s="211"/>
    </row>
    <row r="66" spans="2:26">
      <c r="B66" s="1"/>
      <c r="C66" s="28"/>
      <c r="D66" s="19"/>
      <c r="G66" s="29"/>
      <c r="I66" s="1"/>
      <c r="K66" s="30"/>
      <c r="L66" s="30"/>
      <c r="M66" s="1"/>
      <c r="N66" s="211"/>
      <c r="O66" s="211"/>
      <c r="P66" s="31"/>
      <c r="Q66" s="211"/>
      <c r="R66" s="211"/>
      <c r="S66" s="31"/>
      <c r="V66" s="1"/>
      <c r="W66" s="1"/>
      <c r="X66" s="1"/>
      <c r="Y66" s="30"/>
      <c r="Z66" s="211"/>
    </row>
    <row r="67" spans="2:26">
      <c r="B67" s="1"/>
      <c r="C67" s="28"/>
      <c r="D67" s="19"/>
      <c r="G67" s="29"/>
      <c r="I67" s="1"/>
      <c r="K67" s="30"/>
      <c r="L67" s="30"/>
      <c r="M67" s="1"/>
      <c r="N67" s="211"/>
      <c r="O67" s="211"/>
      <c r="P67" s="31"/>
      <c r="Q67" s="211"/>
      <c r="R67" s="211"/>
      <c r="S67" s="31"/>
      <c r="V67" s="1"/>
      <c r="W67" s="1"/>
      <c r="X67" s="1"/>
      <c r="Y67" s="30"/>
      <c r="Z67" s="211"/>
    </row>
    <row r="68" spans="2:26">
      <c r="B68" s="1"/>
      <c r="C68" s="28"/>
      <c r="D68" s="19"/>
      <c r="G68" s="29"/>
      <c r="I68" s="1"/>
      <c r="K68" s="30"/>
      <c r="L68" s="30"/>
      <c r="M68" s="1"/>
      <c r="N68" s="211"/>
      <c r="O68" s="211"/>
      <c r="P68" s="31"/>
      <c r="Q68" s="211"/>
      <c r="R68" s="211"/>
      <c r="S68" s="31"/>
      <c r="V68" s="1"/>
      <c r="W68" s="1"/>
      <c r="X68" s="1"/>
      <c r="Y68" s="30"/>
      <c r="Z68" s="211"/>
    </row>
    <row r="69" spans="2:26">
      <c r="B69" s="1"/>
      <c r="C69" s="28"/>
      <c r="D69" s="19"/>
      <c r="G69" s="29"/>
      <c r="I69" s="1"/>
      <c r="K69" s="30"/>
      <c r="L69" s="30"/>
      <c r="M69" s="1"/>
      <c r="N69" s="211"/>
      <c r="O69" s="211"/>
      <c r="P69" s="31"/>
      <c r="Q69" s="211"/>
      <c r="R69" s="211"/>
      <c r="S69" s="31"/>
      <c r="V69" s="1"/>
      <c r="W69" s="1"/>
      <c r="X69" s="1"/>
      <c r="Y69" s="30"/>
      <c r="Z69" s="211"/>
    </row>
    <row r="70" spans="2:26">
      <c r="B70" s="1"/>
      <c r="C70" s="28"/>
      <c r="D70" s="19"/>
      <c r="G70" s="29"/>
      <c r="I70" s="1"/>
      <c r="K70" s="30"/>
      <c r="L70" s="30"/>
      <c r="M70" s="1"/>
      <c r="N70" s="211"/>
      <c r="O70" s="211"/>
      <c r="P70" s="31"/>
      <c r="Q70" s="211"/>
      <c r="R70" s="211"/>
      <c r="S70" s="31"/>
      <c r="V70" s="1"/>
      <c r="W70" s="1"/>
      <c r="X70" s="1"/>
      <c r="Y70" s="30"/>
      <c r="Z70" s="211"/>
    </row>
    <row r="71" spans="2:26">
      <c r="B71" s="1"/>
      <c r="C71" s="28"/>
      <c r="D71" s="19"/>
      <c r="G71" s="29"/>
      <c r="H71" s="212"/>
      <c r="I71" s="1"/>
      <c r="K71" s="30"/>
      <c r="L71" s="30"/>
      <c r="M71" s="1"/>
      <c r="N71" s="211"/>
      <c r="O71" s="211"/>
      <c r="P71" s="31"/>
      <c r="Q71" s="211"/>
      <c r="R71" s="211"/>
      <c r="S71" s="31"/>
      <c r="V71" s="1"/>
      <c r="W71" s="1"/>
      <c r="X71" s="1"/>
      <c r="Y71" s="30"/>
      <c r="Z71" s="211"/>
    </row>
    <row r="72" spans="2:26">
      <c r="B72" s="1"/>
      <c r="C72" s="28"/>
      <c r="D72" s="19"/>
      <c r="G72" s="29"/>
      <c r="H72" s="212"/>
      <c r="I72" s="1"/>
      <c r="K72" s="30"/>
      <c r="L72" s="30"/>
      <c r="M72" s="1"/>
      <c r="N72" s="211"/>
      <c r="O72" s="211"/>
      <c r="P72" s="31"/>
      <c r="Q72" s="211"/>
      <c r="R72" s="211"/>
      <c r="S72" s="31"/>
      <c r="V72" s="1"/>
      <c r="W72" s="1"/>
      <c r="X72" s="1"/>
      <c r="Y72" s="30"/>
      <c r="Z72" s="211"/>
    </row>
    <row r="73" spans="2:26">
      <c r="B73" s="1"/>
      <c r="C73" s="28"/>
      <c r="D73" s="19"/>
      <c r="G73" s="29"/>
      <c r="H73" s="212"/>
      <c r="I73" s="1"/>
      <c r="K73" s="30"/>
      <c r="L73" s="30"/>
      <c r="M73" s="1"/>
      <c r="N73" s="211"/>
      <c r="O73" s="211"/>
      <c r="P73" s="31"/>
      <c r="Q73" s="211"/>
      <c r="R73" s="211"/>
      <c r="S73" s="31"/>
      <c r="V73" s="1"/>
      <c r="W73" s="1"/>
      <c r="X73" s="1"/>
      <c r="Y73" s="30"/>
      <c r="Z73" s="211"/>
    </row>
    <row r="74" spans="2:26">
      <c r="B74" s="1"/>
      <c r="C74" s="28"/>
      <c r="D74" s="19"/>
      <c r="G74" s="29"/>
      <c r="H74" s="212"/>
      <c r="I74" s="1"/>
      <c r="K74" s="30"/>
      <c r="L74" s="30"/>
      <c r="M74" s="1"/>
      <c r="N74" s="211"/>
      <c r="O74" s="211"/>
      <c r="P74" s="31"/>
      <c r="Q74" s="211"/>
      <c r="R74" s="211"/>
      <c r="S74" s="31"/>
      <c r="V74" s="1"/>
      <c r="W74" s="1"/>
      <c r="X74" s="1"/>
      <c r="Y74" s="30"/>
      <c r="Z74" s="211"/>
    </row>
    <row r="75" spans="2:26">
      <c r="B75" s="1"/>
      <c r="C75" s="28"/>
      <c r="D75" s="19"/>
      <c r="G75" s="29"/>
      <c r="H75" s="212"/>
      <c r="I75" s="1"/>
      <c r="K75" s="30"/>
      <c r="L75" s="30"/>
      <c r="M75" s="1"/>
      <c r="N75" s="211"/>
      <c r="O75" s="211"/>
      <c r="P75" s="31"/>
      <c r="Q75" s="211"/>
      <c r="R75" s="211"/>
      <c r="S75" s="31"/>
      <c r="V75" s="1"/>
      <c r="W75" s="1"/>
      <c r="X75" s="1"/>
      <c r="Y75" s="30"/>
      <c r="Z75" s="211"/>
    </row>
    <row r="76" spans="2:26">
      <c r="B76" s="1"/>
      <c r="C76" s="28"/>
      <c r="D76" s="19"/>
      <c r="G76" s="29"/>
      <c r="H76" s="212"/>
      <c r="I76" s="1"/>
      <c r="K76" s="30"/>
      <c r="L76" s="30"/>
      <c r="M76" s="1"/>
      <c r="N76" s="211"/>
      <c r="O76" s="211"/>
      <c r="P76" s="31"/>
      <c r="Q76" s="211"/>
      <c r="R76" s="211"/>
      <c r="S76" s="31"/>
      <c r="V76" s="1"/>
      <c r="W76" s="1"/>
      <c r="X76" s="1"/>
      <c r="Y76" s="30"/>
      <c r="Z76" s="211"/>
    </row>
    <row r="77" spans="2:26">
      <c r="B77" s="1"/>
      <c r="C77" s="28"/>
      <c r="D77" s="19"/>
      <c r="G77" s="29"/>
      <c r="H77" s="212"/>
      <c r="I77" s="1"/>
      <c r="K77" s="30"/>
      <c r="L77" s="30"/>
      <c r="M77" s="1"/>
      <c r="N77" s="211"/>
      <c r="O77" s="211"/>
      <c r="P77" s="31"/>
      <c r="Q77" s="211"/>
      <c r="R77" s="211"/>
      <c r="S77" s="31"/>
      <c r="V77" s="1"/>
      <c r="W77" s="1"/>
      <c r="X77" s="1"/>
      <c r="Y77" s="30"/>
      <c r="Z77" s="211"/>
    </row>
    <row r="78" spans="2:26">
      <c r="B78" s="1"/>
      <c r="C78" s="28"/>
      <c r="D78" s="19"/>
      <c r="G78" s="29"/>
      <c r="H78" s="212"/>
      <c r="I78" s="1"/>
      <c r="K78" s="30"/>
      <c r="L78" s="30"/>
      <c r="M78" s="1"/>
      <c r="N78" s="211"/>
      <c r="O78" s="211"/>
      <c r="P78" s="31"/>
      <c r="Q78" s="211"/>
      <c r="R78" s="211"/>
      <c r="S78" s="31"/>
      <c r="V78" s="1"/>
      <c r="W78" s="1"/>
      <c r="X78" s="1"/>
      <c r="Y78" s="30"/>
      <c r="Z78" s="211"/>
    </row>
    <row r="79" spans="2:26">
      <c r="B79" s="1"/>
      <c r="C79" s="28"/>
      <c r="D79" s="19"/>
      <c r="G79" s="29"/>
      <c r="H79" s="212"/>
      <c r="I79" s="1"/>
      <c r="K79" s="30"/>
      <c r="L79" s="30"/>
      <c r="M79" s="1"/>
      <c r="N79" s="211"/>
      <c r="O79" s="211"/>
      <c r="P79" s="31"/>
      <c r="Q79" s="211"/>
      <c r="R79" s="211"/>
      <c r="S79" s="31"/>
      <c r="V79" s="1"/>
      <c r="W79" s="1"/>
      <c r="X79" s="1"/>
      <c r="Y79" s="30"/>
      <c r="Z79" s="211"/>
    </row>
    <row r="80" spans="2:26">
      <c r="B80" s="1"/>
      <c r="C80" s="28"/>
      <c r="D80" s="19"/>
      <c r="G80" s="29"/>
      <c r="H80" s="212"/>
      <c r="I80" s="1"/>
      <c r="K80" s="30"/>
      <c r="L80" s="30"/>
      <c r="M80" s="1"/>
      <c r="N80" s="211"/>
      <c r="O80" s="211"/>
      <c r="P80" s="31"/>
      <c r="Q80" s="211"/>
      <c r="R80" s="211"/>
      <c r="S80" s="31"/>
      <c r="V80" s="1"/>
      <c r="W80" s="1"/>
      <c r="X80" s="1"/>
      <c r="Y80" s="30"/>
      <c r="Z80" s="211"/>
    </row>
    <row r="81" spans="2:26">
      <c r="B81" s="1"/>
      <c r="C81" s="28"/>
      <c r="D81" s="19"/>
      <c r="G81" s="29"/>
      <c r="H81" s="212"/>
      <c r="I81" s="1"/>
      <c r="K81" s="30"/>
      <c r="L81" s="30"/>
      <c r="M81" s="1"/>
      <c r="N81" s="211"/>
      <c r="O81" s="211"/>
      <c r="P81" s="31"/>
      <c r="Q81" s="211"/>
      <c r="R81" s="211"/>
      <c r="S81" s="31"/>
      <c r="V81" s="1"/>
      <c r="W81" s="1"/>
      <c r="X81" s="1"/>
      <c r="Y81" s="30"/>
      <c r="Z81" s="211"/>
    </row>
    <row r="82" spans="2:26">
      <c r="B82" s="1"/>
      <c r="C82" s="28"/>
      <c r="D82" s="19"/>
      <c r="G82" s="29"/>
      <c r="H82" s="212"/>
      <c r="I82" s="1"/>
      <c r="K82" s="30"/>
      <c r="L82" s="30"/>
      <c r="M82" s="1"/>
      <c r="N82" s="211"/>
      <c r="O82" s="211"/>
      <c r="P82" s="31"/>
      <c r="Q82" s="211"/>
      <c r="R82" s="211"/>
      <c r="S82" s="31"/>
      <c r="V82" s="1"/>
      <c r="W82" s="1"/>
      <c r="X82" s="1"/>
      <c r="Y82" s="30"/>
      <c r="Z82" s="211"/>
    </row>
    <row r="83" spans="2:26">
      <c r="B83" s="1"/>
      <c r="C83" s="28"/>
      <c r="D83" s="19"/>
      <c r="G83" s="29"/>
      <c r="H83" s="212"/>
      <c r="I83" s="1"/>
      <c r="K83" s="30"/>
      <c r="L83" s="30"/>
      <c r="M83" s="1"/>
      <c r="N83" s="211"/>
      <c r="O83" s="211"/>
      <c r="P83" s="31"/>
      <c r="Q83" s="211"/>
      <c r="R83" s="211"/>
      <c r="S83" s="31"/>
      <c r="V83" s="1"/>
      <c r="W83" s="1"/>
      <c r="X83" s="1"/>
      <c r="Y83" s="30"/>
      <c r="Z83" s="211"/>
    </row>
    <row r="84" spans="2:26">
      <c r="B84" s="1"/>
      <c r="C84" s="28"/>
      <c r="D84" s="19"/>
      <c r="G84" s="29"/>
      <c r="H84" s="212"/>
      <c r="I84" s="1"/>
      <c r="K84" s="30"/>
      <c r="L84" s="30"/>
      <c r="M84" s="1"/>
      <c r="N84" s="211"/>
      <c r="O84" s="211"/>
      <c r="P84" s="31"/>
      <c r="Q84" s="211"/>
      <c r="R84" s="211"/>
      <c r="S84" s="31"/>
      <c r="V84" s="1"/>
      <c r="W84" s="1"/>
      <c r="X84" s="1"/>
      <c r="Y84" s="30"/>
      <c r="Z84" s="211"/>
    </row>
    <row r="85" spans="2:26">
      <c r="B85" s="1"/>
      <c r="C85" s="28"/>
      <c r="D85" s="19"/>
      <c r="G85" s="29"/>
      <c r="H85" s="212"/>
      <c r="I85" s="1"/>
      <c r="K85" s="30"/>
      <c r="L85" s="30"/>
      <c r="M85" s="1"/>
      <c r="N85" s="211"/>
      <c r="O85" s="211"/>
      <c r="P85" s="31"/>
      <c r="Q85" s="211"/>
      <c r="R85" s="211"/>
      <c r="S85" s="31"/>
      <c r="V85" s="1"/>
      <c r="W85" s="1"/>
      <c r="X85" s="1"/>
      <c r="Y85" s="30"/>
      <c r="Z85" s="211"/>
    </row>
    <row r="86" spans="2:26">
      <c r="B86" s="1"/>
      <c r="C86" s="28"/>
      <c r="D86" s="19"/>
      <c r="G86" s="29"/>
      <c r="H86" s="212"/>
      <c r="I86" s="1"/>
      <c r="K86" s="30"/>
      <c r="L86" s="30"/>
      <c r="M86" s="1"/>
      <c r="N86" s="211"/>
      <c r="O86" s="211"/>
      <c r="P86" s="31"/>
      <c r="Q86" s="211"/>
      <c r="R86" s="211"/>
      <c r="S86" s="31"/>
      <c r="V86" s="1"/>
      <c r="W86" s="1"/>
      <c r="X86" s="1"/>
      <c r="Y86" s="30"/>
      <c r="Z86" s="211"/>
    </row>
    <row r="87" spans="2:26">
      <c r="B87" s="1"/>
      <c r="C87" s="28"/>
      <c r="D87" s="19"/>
      <c r="G87" s="29"/>
      <c r="H87" s="212"/>
      <c r="I87" s="1"/>
      <c r="K87" s="30"/>
      <c r="L87" s="30"/>
      <c r="M87" s="1"/>
      <c r="N87" s="211"/>
      <c r="O87" s="211"/>
      <c r="P87" s="31"/>
      <c r="Q87" s="211"/>
      <c r="R87" s="211"/>
      <c r="S87" s="31"/>
      <c r="V87" s="1"/>
      <c r="W87" s="1"/>
      <c r="X87" s="1"/>
      <c r="Y87" s="30"/>
      <c r="Z87" s="211"/>
    </row>
    <row r="88" spans="2:26">
      <c r="B88" s="1"/>
      <c r="C88" s="28"/>
      <c r="D88" s="19"/>
      <c r="G88" s="29"/>
      <c r="H88" s="212"/>
      <c r="I88" s="1"/>
      <c r="K88" s="30"/>
      <c r="L88" s="30"/>
      <c r="M88" s="1"/>
      <c r="N88" s="211"/>
      <c r="O88" s="211"/>
      <c r="P88" s="31"/>
      <c r="Q88" s="211"/>
      <c r="R88" s="211"/>
      <c r="S88" s="31"/>
      <c r="V88" s="1"/>
      <c r="W88" s="1"/>
      <c r="X88" s="1"/>
      <c r="Y88" s="30"/>
      <c r="Z88" s="211"/>
    </row>
    <row r="89" spans="2:26">
      <c r="B89" s="1"/>
      <c r="C89" s="28"/>
      <c r="D89" s="19"/>
      <c r="G89" s="29"/>
      <c r="H89" s="212"/>
      <c r="I89" s="1"/>
      <c r="K89" s="30"/>
      <c r="L89" s="30"/>
      <c r="M89" s="1"/>
      <c r="N89" s="211"/>
      <c r="O89" s="211"/>
      <c r="P89" s="31"/>
      <c r="Q89" s="211"/>
      <c r="R89" s="211"/>
      <c r="S89" s="31"/>
      <c r="V89" s="1"/>
      <c r="W89" s="1"/>
      <c r="X89" s="1"/>
      <c r="Y89" s="30"/>
      <c r="Z89" s="211"/>
    </row>
    <row r="90" spans="2:26">
      <c r="B90" s="1"/>
      <c r="C90" s="28"/>
      <c r="D90" s="19"/>
      <c r="G90" s="29"/>
      <c r="H90" s="212"/>
      <c r="I90" s="1"/>
      <c r="K90" s="30"/>
      <c r="L90" s="30"/>
      <c r="M90" s="1"/>
      <c r="N90" s="211"/>
      <c r="O90" s="211"/>
      <c r="P90" s="31"/>
      <c r="Q90" s="211"/>
      <c r="R90" s="211"/>
      <c r="S90" s="31"/>
      <c r="V90" s="1"/>
      <c r="W90" s="1"/>
      <c r="X90" s="1"/>
      <c r="Y90" s="30"/>
      <c r="Z90" s="211"/>
    </row>
    <row r="91" spans="2:26">
      <c r="B91" s="1"/>
      <c r="C91" s="28"/>
      <c r="D91" s="19"/>
      <c r="G91" s="29"/>
      <c r="H91" s="212"/>
      <c r="I91" s="1"/>
      <c r="K91" s="30"/>
      <c r="L91" s="30"/>
      <c r="M91" s="1"/>
      <c r="N91" s="211"/>
      <c r="O91" s="211"/>
      <c r="P91" s="31"/>
      <c r="Q91" s="211"/>
      <c r="R91" s="211"/>
      <c r="S91" s="31"/>
      <c r="V91" s="1"/>
      <c r="W91" s="1"/>
      <c r="X91" s="1"/>
      <c r="Y91" s="30"/>
      <c r="Z91" s="211"/>
    </row>
    <row r="92" spans="2:26">
      <c r="B92" s="1"/>
      <c r="C92" s="28"/>
      <c r="D92" s="19"/>
      <c r="G92" s="29"/>
      <c r="H92" s="212"/>
      <c r="I92" s="1"/>
      <c r="K92" s="30"/>
      <c r="L92" s="30"/>
      <c r="M92" s="1"/>
      <c r="N92" s="211"/>
      <c r="O92" s="211"/>
      <c r="P92" s="31"/>
      <c r="Q92" s="211"/>
      <c r="R92" s="211"/>
      <c r="S92" s="31"/>
      <c r="V92" s="1"/>
      <c r="W92" s="1"/>
      <c r="X92" s="1"/>
      <c r="Y92" s="30"/>
      <c r="Z92" s="211"/>
    </row>
    <row r="93" spans="2:26">
      <c r="B93" s="1"/>
      <c r="C93" s="28"/>
      <c r="D93" s="19"/>
      <c r="G93" s="29"/>
      <c r="H93" s="212"/>
      <c r="I93" s="1"/>
      <c r="K93" s="30"/>
      <c r="L93" s="30"/>
      <c r="M93" s="1"/>
      <c r="N93" s="211"/>
      <c r="O93" s="211"/>
      <c r="P93" s="31"/>
      <c r="Q93" s="211"/>
      <c r="R93" s="211"/>
      <c r="S93" s="31"/>
      <c r="V93" s="1"/>
      <c r="W93" s="1"/>
      <c r="X93" s="1"/>
      <c r="Y93" s="30"/>
      <c r="Z93" s="211"/>
    </row>
    <row r="94" spans="2:26">
      <c r="B94" s="1"/>
      <c r="C94" s="28"/>
      <c r="D94" s="19"/>
      <c r="G94" s="29"/>
      <c r="H94" s="212"/>
      <c r="I94" s="1"/>
      <c r="K94" s="30"/>
      <c r="L94" s="30"/>
      <c r="M94" s="1"/>
      <c r="N94" s="211"/>
      <c r="O94" s="211"/>
      <c r="P94" s="31"/>
      <c r="Q94" s="211"/>
      <c r="R94" s="211"/>
      <c r="S94" s="31"/>
      <c r="V94" s="1"/>
      <c r="W94" s="1"/>
      <c r="X94" s="1"/>
      <c r="Y94" s="30"/>
      <c r="Z94" s="211"/>
    </row>
    <row r="95" spans="2:26">
      <c r="B95" s="1"/>
      <c r="C95" s="28"/>
      <c r="D95" s="19"/>
      <c r="G95" s="29"/>
      <c r="H95" s="212"/>
      <c r="I95" s="1"/>
      <c r="K95" s="30"/>
      <c r="L95" s="30"/>
      <c r="M95" s="1"/>
      <c r="N95" s="211"/>
      <c r="O95" s="211"/>
      <c r="P95" s="31"/>
      <c r="Q95" s="211"/>
      <c r="R95" s="211"/>
      <c r="S95" s="31"/>
      <c r="V95" s="1"/>
      <c r="W95" s="1"/>
      <c r="X95" s="1"/>
      <c r="Y95" s="30"/>
      <c r="Z95" s="211"/>
    </row>
    <row r="96" spans="2:26">
      <c r="B96" s="1"/>
      <c r="C96" s="28"/>
      <c r="D96" s="19"/>
      <c r="G96" s="29"/>
      <c r="H96" s="212"/>
      <c r="I96" s="1"/>
      <c r="K96" s="30"/>
      <c r="L96" s="30"/>
      <c r="M96" s="1"/>
      <c r="N96" s="211"/>
      <c r="O96" s="211"/>
      <c r="P96" s="31"/>
      <c r="Q96" s="211"/>
      <c r="R96" s="211"/>
      <c r="S96" s="31"/>
      <c r="V96" s="1"/>
      <c r="W96" s="1"/>
      <c r="X96" s="1"/>
      <c r="Y96" s="30"/>
      <c r="Z96" s="211"/>
    </row>
    <row r="97" spans="2:26">
      <c r="B97" s="1"/>
      <c r="C97" s="28"/>
      <c r="D97" s="19"/>
      <c r="G97" s="29"/>
      <c r="H97" s="212"/>
      <c r="I97" s="1"/>
      <c r="K97" s="30"/>
      <c r="L97" s="30"/>
      <c r="M97" s="1"/>
      <c r="N97" s="211"/>
      <c r="O97" s="211"/>
      <c r="P97" s="31"/>
      <c r="Q97" s="211"/>
      <c r="R97" s="211"/>
      <c r="S97" s="31"/>
      <c r="V97" s="1"/>
      <c r="W97" s="1"/>
      <c r="X97" s="1"/>
      <c r="Y97" s="30"/>
      <c r="Z97" s="211"/>
    </row>
    <row r="98" spans="2:26">
      <c r="B98" s="1"/>
      <c r="C98" s="28"/>
      <c r="D98" s="19"/>
      <c r="G98" s="29"/>
      <c r="H98" s="212"/>
      <c r="I98" s="1"/>
      <c r="K98" s="30"/>
      <c r="L98" s="30"/>
      <c r="M98" s="1"/>
      <c r="N98" s="211"/>
      <c r="O98" s="211"/>
      <c r="P98" s="31"/>
      <c r="Q98" s="211"/>
      <c r="R98" s="211"/>
      <c r="S98" s="31"/>
      <c r="V98" s="1"/>
      <c r="W98" s="1"/>
      <c r="X98" s="1"/>
      <c r="Y98" s="30"/>
      <c r="Z98" s="211"/>
    </row>
    <row r="99" spans="2:26">
      <c r="B99" s="1"/>
      <c r="C99" s="28"/>
      <c r="D99" s="19"/>
      <c r="G99" s="29"/>
      <c r="H99" s="212"/>
      <c r="I99" s="1"/>
      <c r="K99" s="30"/>
      <c r="L99" s="30"/>
      <c r="M99" s="1"/>
      <c r="N99" s="211"/>
      <c r="O99" s="211"/>
      <c r="P99" s="31"/>
      <c r="Q99" s="211"/>
      <c r="R99" s="211"/>
      <c r="S99" s="31"/>
      <c r="V99" s="1"/>
      <c r="W99" s="1"/>
      <c r="X99" s="1"/>
      <c r="Y99" s="30"/>
      <c r="Z99" s="211"/>
    </row>
    <row r="100" spans="2:26">
      <c r="B100" s="1"/>
      <c r="C100" s="28"/>
      <c r="D100" s="19"/>
      <c r="G100" s="29"/>
      <c r="H100" s="212"/>
      <c r="I100" s="1"/>
      <c r="K100" s="30"/>
      <c r="L100" s="30"/>
      <c r="M100" s="1"/>
      <c r="N100" s="211"/>
      <c r="O100" s="211"/>
      <c r="P100" s="31"/>
      <c r="Q100" s="211"/>
      <c r="R100" s="211"/>
      <c r="S100" s="31"/>
      <c r="V100" s="1"/>
      <c r="W100" s="1"/>
      <c r="X100" s="1"/>
      <c r="Y100" s="30"/>
      <c r="Z100" s="211"/>
    </row>
    <row r="101" spans="2:26">
      <c r="B101" s="1"/>
      <c r="C101" s="28"/>
      <c r="D101" s="19"/>
      <c r="G101" s="29"/>
      <c r="H101" s="212"/>
      <c r="I101" s="1"/>
      <c r="K101" s="30"/>
      <c r="L101" s="30"/>
      <c r="M101" s="1"/>
      <c r="N101" s="211"/>
      <c r="O101" s="211"/>
      <c r="P101" s="31"/>
      <c r="Q101" s="211"/>
      <c r="R101" s="211"/>
      <c r="S101" s="31"/>
      <c r="V101" s="1"/>
      <c r="W101" s="1"/>
      <c r="X101" s="1"/>
      <c r="Y101" s="30"/>
      <c r="Z101" s="211"/>
    </row>
    <row r="102" spans="2:26">
      <c r="B102" s="1"/>
      <c r="C102" s="28"/>
      <c r="D102" s="19"/>
      <c r="G102" s="29"/>
      <c r="H102" s="212"/>
      <c r="I102" s="1"/>
      <c r="K102" s="30"/>
      <c r="L102" s="30"/>
      <c r="M102" s="1"/>
      <c r="N102" s="211"/>
      <c r="O102" s="211"/>
      <c r="P102" s="31"/>
      <c r="Q102" s="211"/>
      <c r="R102" s="211"/>
      <c r="S102" s="31"/>
      <c r="V102" s="1"/>
      <c r="W102" s="1"/>
      <c r="X102" s="1"/>
      <c r="Y102" s="30"/>
      <c r="Z102" s="211"/>
    </row>
    <row r="103" spans="2:26">
      <c r="B103" s="1"/>
      <c r="C103" s="28"/>
      <c r="D103" s="19"/>
      <c r="G103" s="29"/>
      <c r="H103" s="212"/>
      <c r="I103" s="1"/>
      <c r="K103" s="30"/>
      <c r="L103" s="30"/>
      <c r="M103" s="1"/>
      <c r="N103" s="211"/>
      <c r="O103" s="211"/>
      <c r="P103" s="31"/>
      <c r="Q103" s="211"/>
      <c r="R103" s="211"/>
      <c r="S103" s="31"/>
      <c r="V103" s="1"/>
      <c r="W103" s="1"/>
      <c r="X103" s="1"/>
      <c r="Y103" s="30"/>
      <c r="Z103" s="211"/>
    </row>
    <row r="104" spans="2:26">
      <c r="B104" s="1"/>
      <c r="C104" s="28"/>
      <c r="D104" s="19"/>
      <c r="G104" s="29"/>
      <c r="H104" s="212"/>
      <c r="I104" s="1"/>
      <c r="K104" s="30"/>
      <c r="L104" s="30"/>
      <c r="M104" s="1"/>
      <c r="N104" s="211"/>
      <c r="O104" s="211"/>
      <c r="P104" s="31"/>
      <c r="Q104" s="211"/>
      <c r="R104" s="211"/>
      <c r="S104" s="31"/>
      <c r="V104" s="1"/>
      <c r="W104" s="1"/>
      <c r="X104" s="1"/>
      <c r="Y104" s="30"/>
      <c r="Z104" s="211"/>
    </row>
    <row r="105" spans="2:26">
      <c r="B105" s="1"/>
      <c r="C105" s="28"/>
      <c r="D105" s="19"/>
      <c r="G105" s="29"/>
      <c r="H105" s="212"/>
      <c r="I105" s="1"/>
      <c r="K105" s="30"/>
      <c r="L105" s="30"/>
      <c r="M105" s="1"/>
      <c r="N105" s="211"/>
      <c r="O105" s="211"/>
      <c r="P105" s="31"/>
      <c r="Q105" s="211"/>
      <c r="R105" s="211"/>
      <c r="S105" s="31"/>
      <c r="V105" s="1"/>
      <c r="W105" s="1"/>
      <c r="X105" s="1"/>
      <c r="Y105" s="30"/>
      <c r="Z105" s="211"/>
    </row>
    <row r="106" spans="2:26">
      <c r="B106" s="1"/>
      <c r="C106" s="28"/>
      <c r="D106" s="19"/>
      <c r="G106" s="29"/>
      <c r="H106" s="212"/>
      <c r="I106" s="1"/>
      <c r="K106" s="30"/>
      <c r="L106" s="30"/>
      <c r="M106" s="1"/>
      <c r="N106" s="211"/>
      <c r="O106" s="211"/>
      <c r="P106" s="31"/>
      <c r="Q106" s="211"/>
      <c r="R106" s="211"/>
      <c r="S106" s="31"/>
      <c r="V106" s="1"/>
      <c r="W106" s="1"/>
      <c r="X106" s="1"/>
      <c r="Y106" s="30"/>
      <c r="Z106" s="211"/>
    </row>
    <row r="107" spans="2:26">
      <c r="B107" s="1"/>
      <c r="C107" s="28"/>
      <c r="D107" s="19"/>
      <c r="G107" s="29"/>
      <c r="H107" s="212"/>
      <c r="I107" s="1"/>
      <c r="K107" s="30"/>
      <c r="L107" s="30"/>
      <c r="M107" s="1"/>
      <c r="N107" s="211"/>
      <c r="O107" s="211"/>
      <c r="P107" s="31"/>
      <c r="Q107" s="211"/>
      <c r="R107" s="211"/>
      <c r="S107" s="31"/>
      <c r="V107" s="1"/>
      <c r="W107" s="1"/>
      <c r="X107" s="1"/>
      <c r="Y107" s="30"/>
      <c r="Z107" s="211"/>
    </row>
    <row r="108" spans="2:26">
      <c r="B108" s="1"/>
      <c r="C108" s="28"/>
      <c r="D108" s="19"/>
      <c r="G108" s="29"/>
      <c r="H108" s="212"/>
      <c r="I108" s="1"/>
      <c r="K108" s="30"/>
      <c r="L108" s="30"/>
      <c r="M108" s="1"/>
      <c r="N108" s="211"/>
      <c r="O108" s="211"/>
      <c r="P108" s="31"/>
      <c r="Q108" s="211"/>
      <c r="R108" s="211"/>
      <c r="S108" s="31"/>
      <c r="V108" s="1"/>
      <c r="W108" s="1"/>
      <c r="X108" s="1"/>
      <c r="Y108" s="30"/>
      <c r="Z108" s="211"/>
    </row>
    <row r="109" spans="2:26">
      <c r="B109" s="1"/>
      <c r="C109" s="28"/>
      <c r="D109" s="19"/>
      <c r="G109" s="29"/>
      <c r="H109" s="212"/>
      <c r="I109" s="1"/>
      <c r="K109" s="30"/>
      <c r="L109" s="30"/>
      <c r="M109" s="1"/>
      <c r="N109" s="211"/>
      <c r="O109" s="211"/>
      <c r="P109" s="31"/>
      <c r="Q109" s="211"/>
      <c r="R109" s="211"/>
      <c r="S109" s="31"/>
      <c r="V109" s="1"/>
      <c r="W109" s="1"/>
      <c r="X109" s="1"/>
      <c r="Y109" s="30"/>
      <c r="Z109" s="211"/>
    </row>
    <row r="110" spans="2:26">
      <c r="B110" s="1"/>
      <c r="C110" s="28"/>
      <c r="D110" s="19"/>
      <c r="G110" s="29"/>
      <c r="H110" s="212"/>
      <c r="I110" s="1"/>
      <c r="K110" s="30"/>
      <c r="L110" s="30"/>
      <c r="M110" s="1"/>
      <c r="N110" s="211"/>
      <c r="O110" s="211"/>
      <c r="P110" s="31"/>
      <c r="Q110" s="211"/>
      <c r="R110" s="211"/>
      <c r="S110" s="31"/>
      <c r="V110" s="1"/>
      <c r="W110" s="1"/>
      <c r="X110" s="1"/>
      <c r="Y110" s="30"/>
      <c r="Z110" s="211"/>
    </row>
    <row r="111" spans="2:26">
      <c r="B111" s="1"/>
      <c r="C111" s="28"/>
      <c r="D111" s="19"/>
      <c r="G111" s="29"/>
      <c r="H111" s="212"/>
      <c r="I111" s="1"/>
      <c r="K111" s="30"/>
      <c r="L111" s="30"/>
      <c r="M111" s="1"/>
      <c r="N111" s="211"/>
      <c r="O111" s="211"/>
      <c r="P111" s="31"/>
      <c r="Q111" s="211"/>
      <c r="R111" s="211"/>
      <c r="S111" s="31"/>
      <c r="V111" s="1"/>
      <c r="W111" s="1"/>
      <c r="X111" s="1"/>
      <c r="Y111" s="30"/>
      <c r="Z111" s="211"/>
    </row>
    <row r="112" spans="2:26">
      <c r="B112" s="1"/>
      <c r="C112" s="28"/>
      <c r="D112" s="19"/>
      <c r="G112" s="29"/>
      <c r="H112" s="212"/>
      <c r="I112" s="1"/>
      <c r="K112" s="30"/>
      <c r="L112" s="30"/>
      <c r="M112" s="1"/>
      <c r="N112" s="211"/>
      <c r="O112" s="211"/>
      <c r="P112" s="31"/>
      <c r="Q112" s="211"/>
      <c r="R112" s="211"/>
      <c r="S112" s="31"/>
      <c r="V112" s="1"/>
      <c r="W112" s="1"/>
      <c r="X112" s="1"/>
      <c r="Y112" s="30"/>
      <c r="Z112" s="211"/>
    </row>
    <row r="113" spans="2:26">
      <c r="B113" s="1"/>
      <c r="C113" s="28"/>
      <c r="D113" s="19"/>
      <c r="G113" s="29"/>
      <c r="H113" s="212"/>
      <c r="I113" s="1"/>
      <c r="K113" s="30"/>
      <c r="L113" s="30"/>
      <c r="M113" s="1"/>
      <c r="N113" s="211"/>
      <c r="O113" s="211"/>
      <c r="P113" s="31"/>
      <c r="Q113" s="211"/>
      <c r="R113" s="211"/>
      <c r="S113" s="31"/>
      <c r="V113" s="1"/>
      <c r="W113" s="1"/>
      <c r="X113" s="1"/>
      <c r="Y113" s="30"/>
      <c r="Z113" s="211"/>
    </row>
    <row r="114" spans="2:26">
      <c r="B114" s="1"/>
      <c r="C114" s="28"/>
      <c r="D114" s="19"/>
      <c r="G114" s="29"/>
      <c r="H114" s="212"/>
      <c r="I114" s="1"/>
      <c r="K114" s="30"/>
      <c r="L114" s="30"/>
      <c r="M114" s="1"/>
      <c r="N114" s="211"/>
      <c r="O114" s="211"/>
      <c r="P114" s="31"/>
      <c r="Q114" s="211"/>
      <c r="R114" s="211"/>
      <c r="S114" s="31"/>
      <c r="V114" s="1"/>
      <c r="W114" s="1"/>
      <c r="X114" s="1"/>
      <c r="Y114" s="30"/>
      <c r="Z114" s="211"/>
    </row>
    <row r="115" spans="2:26">
      <c r="B115" s="1"/>
      <c r="C115" s="28"/>
      <c r="D115" s="19"/>
      <c r="G115" s="29"/>
      <c r="H115" s="212"/>
      <c r="I115" s="1"/>
      <c r="K115" s="30"/>
      <c r="L115" s="30"/>
      <c r="M115" s="1"/>
      <c r="N115" s="211"/>
      <c r="O115" s="211"/>
      <c r="P115" s="31"/>
      <c r="Q115" s="211"/>
      <c r="R115" s="211"/>
      <c r="S115" s="31"/>
      <c r="V115" s="1"/>
      <c r="W115" s="1"/>
      <c r="X115" s="1"/>
      <c r="Y115" s="30"/>
      <c r="Z115" s="211"/>
    </row>
    <row r="116" spans="2:26">
      <c r="B116" s="1"/>
      <c r="C116" s="28"/>
      <c r="D116" s="19"/>
      <c r="G116" s="29"/>
      <c r="H116" s="212"/>
      <c r="I116" s="1"/>
      <c r="K116" s="30"/>
      <c r="L116" s="30"/>
      <c r="M116" s="1"/>
      <c r="N116" s="211"/>
      <c r="O116" s="211"/>
      <c r="P116" s="31"/>
      <c r="Q116" s="211"/>
      <c r="R116" s="211"/>
      <c r="S116" s="31"/>
      <c r="V116" s="1"/>
      <c r="W116" s="1"/>
      <c r="X116" s="1"/>
      <c r="Y116" s="30"/>
      <c r="Z116" s="211"/>
    </row>
    <row r="117" spans="2:26">
      <c r="B117" s="1"/>
      <c r="C117" s="28"/>
      <c r="D117" s="19"/>
      <c r="G117" s="29"/>
      <c r="H117" s="212"/>
      <c r="I117" s="1"/>
      <c r="K117" s="30"/>
      <c r="L117" s="30"/>
      <c r="M117" s="1"/>
      <c r="N117" s="211"/>
      <c r="O117" s="211"/>
      <c r="P117" s="31"/>
      <c r="Q117" s="211"/>
      <c r="R117" s="211"/>
      <c r="S117" s="31"/>
      <c r="V117" s="1"/>
      <c r="W117" s="1"/>
      <c r="X117" s="1"/>
      <c r="Y117" s="30"/>
      <c r="Z117" s="211"/>
    </row>
    <row r="118" spans="2:26">
      <c r="B118" s="1"/>
      <c r="C118" s="28"/>
      <c r="D118" s="19"/>
      <c r="G118" s="29"/>
      <c r="H118" s="212"/>
      <c r="I118" s="1"/>
      <c r="K118" s="30"/>
      <c r="L118" s="30"/>
      <c r="M118" s="1"/>
      <c r="N118" s="211"/>
      <c r="O118" s="211"/>
      <c r="P118" s="31"/>
      <c r="Q118" s="211"/>
      <c r="R118" s="211"/>
      <c r="S118" s="31"/>
      <c r="V118" s="1"/>
      <c r="W118" s="1"/>
      <c r="X118" s="1"/>
      <c r="Y118" s="30"/>
      <c r="Z118" s="211"/>
    </row>
    <row r="119" spans="2:26">
      <c r="B119" s="1"/>
      <c r="C119" s="28"/>
      <c r="D119" s="19"/>
      <c r="G119" s="29"/>
      <c r="H119" s="212"/>
      <c r="I119" s="1"/>
      <c r="K119" s="30"/>
      <c r="L119" s="30"/>
      <c r="M119" s="1"/>
      <c r="N119" s="211"/>
      <c r="O119" s="211"/>
      <c r="P119" s="31"/>
      <c r="Q119" s="211"/>
      <c r="R119" s="211"/>
      <c r="S119" s="31"/>
      <c r="V119" s="1"/>
      <c r="W119" s="1"/>
      <c r="X119" s="1"/>
      <c r="Y119" s="30"/>
      <c r="Z119" s="211"/>
    </row>
    <row r="120" spans="2:26">
      <c r="B120" s="1"/>
      <c r="C120" s="28"/>
      <c r="D120" s="19"/>
      <c r="G120" s="29"/>
      <c r="H120" s="212"/>
      <c r="I120" s="1"/>
      <c r="K120" s="30"/>
      <c r="L120" s="30"/>
      <c r="M120" s="1"/>
      <c r="N120" s="211"/>
      <c r="O120" s="211"/>
      <c r="P120" s="31"/>
      <c r="Q120" s="211"/>
      <c r="R120" s="211"/>
      <c r="S120" s="31"/>
      <c r="V120" s="1"/>
      <c r="W120" s="1"/>
      <c r="X120" s="1"/>
      <c r="Y120" s="30"/>
      <c r="Z120" s="211"/>
    </row>
    <row r="121" spans="2:26">
      <c r="B121" s="1"/>
      <c r="C121" s="28"/>
      <c r="D121" s="19"/>
      <c r="G121" s="29"/>
      <c r="H121" s="212"/>
      <c r="I121" s="1"/>
      <c r="K121" s="30"/>
      <c r="L121" s="30"/>
      <c r="M121" s="1"/>
      <c r="N121" s="211"/>
      <c r="O121" s="211"/>
      <c r="P121" s="31"/>
      <c r="Q121" s="211"/>
      <c r="R121" s="211"/>
      <c r="S121" s="31"/>
      <c r="V121" s="1"/>
      <c r="W121" s="1"/>
      <c r="X121" s="1"/>
      <c r="Y121" s="30"/>
      <c r="Z121" s="211"/>
    </row>
    <row r="122" spans="2:26">
      <c r="B122" s="1"/>
      <c r="C122" s="28"/>
      <c r="D122" s="19"/>
      <c r="G122" s="29"/>
      <c r="H122" s="212"/>
      <c r="I122" s="1"/>
      <c r="K122" s="30"/>
      <c r="L122" s="30"/>
      <c r="M122" s="1"/>
      <c r="N122" s="211"/>
      <c r="O122" s="211"/>
      <c r="P122" s="31"/>
      <c r="Q122" s="211"/>
      <c r="R122" s="211"/>
      <c r="S122" s="31"/>
      <c r="V122" s="1"/>
      <c r="W122" s="1"/>
      <c r="X122" s="1"/>
      <c r="Y122" s="30"/>
      <c r="Z122" s="211"/>
    </row>
    <row r="123" spans="2:26">
      <c r="B123" s="1"/>
      <c r="C123" s="28"/>
      <c r="D123" s="19"/>
      <c r="G123" s="29"/>
      <c r="H123" s="212"/>
      <c r="I123" s="1"/>
      <c r="K123" s="30"/>
      <c r="L123" s="30"/>
      <c r="M123" s="1"/>
      <c r="N123" s="211"/>
      <c r="O123" s="211"/>
      <c r="P123" s="31"/>
      <c r="Q123" s="211"/>
      <c r="R123" s="211"/>
      <c r="S123" s="31"/>
      <c r="V123" s="1"/>
      <c r="W123" s="1"/>
      <c r="X123" s="1"/>
      <c r="Y123" s="30"/>
      <c r="Z123" s="211"/>
    </row>
    <row r="124" spans="2:26">
      <c r="B124" s="1"/>
      <c r="C124" s="28"/>
      <c r="D124" s="19"/>
      <c r="G124" s="29"/>
      <c r="H124" s="212"/>
      <c r="I124" s="1"/>
      <c r="K124" s="30"/>
      <c r="L124" s="30"/>
      <c r="M124" s="1"/>
      <c r="N124" s="211"/>
      <c r="O124" s="211"/>
      <c r="P124" s="31"/>
      <c r="Q124" s="211"/>
      <c r="R124" s="211"/>
      <c r="S124" s="31"/>
      <c r="V124" s="1"/>
      <c r="W124" s="1"/>
      <c r="X124" s="1"/>
      <c r="Y124" s="30"/>
      <c r="Z124" s="211"/>
    </row>
    <row r="125" spans="2:26">
      <c r="B125" s="1"/>
      <c r="C125" s="28"/>
      <c r="D125" s="19"/>
      <c r="G125" s="29"/>
      <c r="H125" s="212"/>
      <c r="I125" s="1"/>
      <c r="K125" s="30"/>
      <c r="L125" s="30"/>
      <c r="M125" s="1"/>
      <c r="N125" s="211"/>
      <c r="O125" s="211"/>
      <c r="P125" s="31"/>
      <c r="Q125" s="211"/>
      <c r="R125" s="211"/>
      <c r="S125" s="31"/>
      <c r="V125" s="1"/>
      <c r="W125" s="1"/>
      <c r="X125" s="1"/>
      <c r="Y125" s="30"/>
      <c r="Z125" s="211"/>
    </row>
    <row r="126" spans="2:26">
      <c r="B126" s="1"/>
      <c r="C126" s="28"/>
      <c r="D126" s="19"/>
      <c r="G126" s="29"/>
      <c r="H126" s="212"/>
      <c r="I126" s="1"/>
      <c r="K126" s="30"/>
      <c r="L126" s="30"/>
      <c r="M126" s="1"/>
      <c r="N126" s="211"/>
      <c r="O126" s="211"/>
      <c r="P126" s="31"/>
      <c r="Q126" s="211"/>
      <c r="R126" s="211"/>
      <c r="S126" s="31"/>
      <c r="V126" s="1"/>
      <c r="W126" s="1"/>
      <c r="X126" s="1"/>
      <c r="Y126" s="30"/>
      <c r="Z126" s="211"/>
    </row>
    <row r="127" spans="2:26">
      <c r="B127" s="1"/>
      <c r="C127" s="28"/>
      <c r="D127" s="19"/>
      <c r="G127" s="29"/>
      <c r="H127" s="212"/>
      <c r="I127" s="1"/>
      <c r="K127" s="30"/>
      <c r="L127" s="30"/>
      <c r="M127" s="1"/>
      <c r="N127" s="211"/>
      <c r="O127" s="211"/>
      <c r="P127" s="31"/>
      <c r="Q127" s="211"/>
      <c r="R127" s="211"/>
      <c r="S127" s="31"/>
      <c r="V127" s="1"/>
      <c r="W127" s="1"/>
      <c r="X127" s="1"/>
      <c r="Y127" s="30"/>
      <c r="Z127" s="211"/>
    </row>
    <row r="128" spans="2:26">
      <c r="B128" s="1"/>
      <c r="C128" s="28"/>
      <c r="D128" s="19"/>
      <c r="G128" s="29"/>
      <c r="H128" s="212"/>
      <c r="I128" s="1"/>
      <c r="K128" s="30"/>
      <c r="L128" s="30"/>
      <c r="M128" s="1"/>
      <c r="N128" s="211"/>
      <c r="O128" s="211"/>
      <c r="P128" s="31"/>
      <c r="Q128" s="211"/>
      <c r="R128" s="211"/>
      <c r="S128" s="31"/>
      <c r="V128" s="1"/>
      <c r="W128" s="1"/>
      <c r="X128" s="1"/>
      <c r="Y128" s="30"/>
      <c r="Z128" s="211"/>
    </row>
    <row r="129" spans="2:26">
      <c r="B129" s="1"/>
      <c r="C129" s="28"/>
      <c r="D129" s="19"/>
      <c r="G129" s="29"/>
      <c r="H129" s="212"/>
      <c r="I129" s="1"/>
      <c r="K129" s="30"/>
      <c r="L129" s="30"/>
      <c r="M129" s="1"/>
      <c r="N129" s="211"/>
      <c r="O129" s="211"/>
      <c r="P129" s="31"/>
      <c r="Q129" s="211"/>
      <c r="R129" s="211"/>
      <c r="S129" s="31"/>
      <c r="V129" s="1"/>
      <c r="W129" s="1"/>
      <c r="X129" s="1"/>
      <c r="Y129" s="30"/>
      <c r="Z129" s="211"/>
    </row>
    <row r="130" spans="2:26">
      <c r="B130" s="1"/>
      <c r="C130" s="28"/>
      <c r="D130" s="19"/>
      <c r="G130" s="29"/>
      <c r="H130" s="212"/>
      <c r="I130" s="1"/>
      <c r="K130" s="30"/>
      <c r="L130" s="30"/>
      <c r="M130" s="1"/>
      <c r="N130" s="211"/>
      <c r="O130" s="211"/>
      <c r="P130" s="31"/>
      <c r="Q130" s="211"/>
      <c r="R130" s="211"/>
      <c r="S130" s="31"/>
      <c r="V130" s="1"/>
      <c r="W130" s="1"/>
      <c r="X130" s="1"/>
      <c r="Y130" s="30"/>
      <c r="Z130" s="211"/>
    </row>
    <row r="131" spans="2:26">
      <c r="B131" s="1"/>
      <c r="C131" s="28"/>
      <c r="D131" s="19"/>
      <c r="G131" s="29"/>
      <c r="H131" s="212"/>
      <c r="I131" s="1"/>
      <c r="K131" s="30"/>
      <c r="L131" s="30"/>
      <c r="M131" s="1"/>
      <c r="N131" s="211"/>
      <c r="O131" s="211"/>
      <c r="P131" s="31"/>
      <c r="Q131" s="211"/>
      <c r="R131" s="211"/>
      <c r="S131" s="31"/>
      <c r="V131" s="1"/>
      <c r="W131" s="1"/>
      <c r="X131" s="1"/>
      <c r="Y131" s="30"/>
      <c r="Z131" s="211"/>
    </row>
    <row r="132" spans="2:26">
      <c r="B132" s="1"/>
      <c r="C132" s="28"/>
      <c r="D132" s="19"/>
      <c r="G132" s="29"/>
      <c r="H132" s="212"/>
      <c r="I132" s="1"/>
      <c r="K132" s="30"/>
      <c r="L132" s="30"/>
      <c r="M132" s="1"/>
      <c r="N132" s="211"/>
      <c r="O132" s="211"/>
      <c r="P132" s="31"/>
      <c r="Q132" s="211"/>
      <c r="R132" s="211"/>
      <c r="S132" s="31"/>
      <c r="V132" s="1"/>
      <c r="W132" s="1"/>
      <c r="X132" s="1"/>
      <c r="Y132" s="30"/>
      <c r="Z132" s="211"/>
    </row>
    <row r="133" spans="2:26">
      <c r="B133" s="1"/>
      <c r="C133" s="28"/>
      <c r="D133" s="19"/>
      <c r="G133" s="29"/>
      <c r="H133" s="212"/>
      <c r="I133" s="1"/>
      <c r="K133" s="30"/>
      <c r="L133" s="30"/>
      <c r="M133" s="1"/>
      <c r="N133" s="211"/>
      <c r="O133" s="211"/>
      <c r="P133" s="31"/>
      <c r="Q133" s="211"/>
      <c r="R133" s="211"/>
      <c r="S133" s="31"/>
      <c r="V133" s="1"/>
      <c r="W133" s="1"/>
      <c r="X133" s="1"/>
      <c r="Y133" s="30"/>
      <c r="Z133" s="211"/>
    </row>
    <row r="134" spans="2:26">
      <c r="B134" s="1"/>
      <c r="C134" s="28"/>
      <c r="D134" s="19"/>
      <c r="G134" s="29"/>
      <c r="H134" s="212"/>
      <c r="I134" s="1"/>
      <c r="K134" s="30"/>
      <c r="L134" s="30"/>
      <c r="M134" s="1"/>
      <c r="N134" s="211"/>
      <c r="O134" s="211"/>
      <c r="P134" s="31"/>
      <c r="Q134" s="211"/>
      <c r="R134" s="211"/>
      <c r="S134" s="31"/>
      <c r="V134" s="1"/>
      <c r="W134" s="1"/>
      <c r="X134" s="1"/>
      <c r="Y134" s="30"/>
      <c r="Z134" s="211"/>
    </row>
    <row r="135" spans="2:26">
      <c r="B135" s="1"/>
      <c r="C135" s="28"/>
      <c r="D135" s="19"/>
      <c r="G135" s="29"/>
      <c r="H135" s="212"/>
      <c r="I135" s="1"/>
      <c r="K135" s="30"/>
      <c r="L135" s="30"/>
      <c r="M135" s="1"/>
      <c r="N135" s="211"/>
      <c r="O135" s="211"/>
      <c r="P135" s="31"/>
      <c r="Q135" s="211"/>
      <c r="R135" s="211"/>
      <c r="S135" s="31"/>
      <c r="V135" s="1"/>
      <c r="W135" s="1"/>
      <c r="X135" s="1"/>
      <c r="Y135" s="30"/>
      <c r="Z135" s="211"/>
    </row>
    <row r="136" spans="2:26">
      <c r="B136" s="1"/>
      <c r="C136" s="28"/>
      <c r="D136" s="19"/>
      <c r="G136" s="29"/>
      <c r="H136" s="212"/>
      <c r="I136" s="1"/>
      <c r="K136" s="30"/>
      <c r="L136" s="30"/>
      <c r="M136" s="1"/>
      <c r="N136" s="211"/>
      <c r="O136" s="211"/>
      <c r="P136" s="31"/>
      <c r="Q136" s="211"/>
      <c r="R136" s="211"/>
      <c r="S136" s="31"/>
      <c r="V136" s="1"/>
      <c r="W136" s="1"/>
      <c r="X136" s="1"/>
      <c r="Y136" s="30"/>
      <c r="Z136" s="211"/>
    </row>
    <row r="137" spans="2:26">
      <c r="B137" s="1"/>
      <c r="C137" s="28"/>
      <c r="D137" s="19"/>
      <c r="G137" s="29"/>
      <c r="H137" s="212"/>
      <c r="I137" s="1"/>
      <c r="K137" s="30"/>
      <c r="L137" s="30"/>
      <c r="M137" s="1"/>
      <c r="N137" s="211"/>
      <c r="O137" s="211"/>
      <c r="P137" s="31"/>
      <c r="Q137" s="211"/>
      <c r="R137" s="211"/>
      <c r="S137" s="31"/>
      <c r="V137" s="1"/>
      <c r="W137" s="1"/>
      <c r="X137" s="1"/>
      <c r="Y137" s="30"/>
      <c r="Z137" s="211"/>
    </row>
    <row r="138" spans="2:26">
      <c r="B138" s="1"/>
      <c r="C138" s="28"/>
      <c r="D138" s="19"/>
      <c r="G138" s="29"/>
      <c r="H138" s="212"/>
      <c r="I138" s="1"/>
      <c r="K138" s="30"/>
      <c r="L138" s="30"/>
      <c r="M138" s="1"/>
      <c r="N138" s="211"/>
      <c r="O138" s="211"/>
      <c r="P138" s="31"/>
      <c r="Q138" s="211"/>
      <c r="R138" s="211"/>
      <c r="S138" s="31"/>
      <c r="V138" s="1"/>
      <c r="W138" s="1"/>
      <c r="X138" s="1"/>
      <c r="Y138" s="30"/>
      <c r="Z138" s="211"/>
    </row>
    <row r="139" spans="2:26">
      <c r="B139" s="1"/>
      <c r="C139" s="28"/>
      <c r="D139" s="19"/>
      <c r="G139" s="29"/>
      <c r="H139" s="212"/>
      <c r="I139" s="1"/>
      <c r="K139" s="30"/>
      <c r="L139" s="30"/>
      <c r="M139" s="1"/>
      <c r="N139" s="211"/>
      <c r="O139" s="211"/>
      <c r="P139" s="31"/>
      <c r="Q139" s="211"/>
      <c r="R139" s="211"/>
      <c r="S139" s="31"/>
      <c r="V139" s="1"/>
      <c r="W139" s="1"/>
      <c r="X139" s="1"/>
      <c r="Y139" s="30"/>
      <c r="Z139" s="211"/>
    </row>
    <row r="140" spans="2:26">
      <c r="B140" s="1"/>
      <c r="C140" s="28"/>
      <c r="D140" s="19"/>
      <c r="G140" s="29"/>
      <c r="H140" s="212"/>
      <c r="I140" s="1"/>
      <c r="K140" s="30"/>
      <c r="L140" s="30"/>
      <c r="M140" s="1"/>
      <c r="N140" s="211"/>
      <c r="O140" s="211"/>
      <c r="P140" s="31"/>
      <c r="Q140" s="211"/>
      <c r="R140" s="211"/>
      <c r="S140" s="31"/>
      <c r="V140" s="1"/>
      <c r="W140" s="1"/>
      <c r="X140" s="1"/>
      <c r="Y140" s="30"/>
      <c r="Z140" s="211"/>
    </row>
    <row r="141" spans="2:26">
      <c r="B141" s="1"/>
      <c r="C141" s="28"/>
      <c r="D141" s="19"/>
      <c r="G141" s="29"/>
      <c r="H141" s="212"/>
      <c r="I141" s="1"/>
      <c r="K141" s="30"/>
      <c r="L141" s="30"/>
      <c r="M141" s="1"/>
      <c r="N141" s="211"/>
      <c r="O141" s="211"/>
      <c r="P141" s="31"/>
      <c r="Q141" s="211"/>
      <c r="R141" s="211"/>
      <c r="S141" s="31"/>
      <c r="V141" s="1"/>
      <c r="W141" s="1"/>
      <c r="X141" s="1"/>
      <c r="Y141" s="30"/>
      <c r="Z141" s="211"/>
    </row>
    <row r="142" spans="2:26">
      <c r="B142" s="1"/>
      <c r="C142" s="28"/>
      <c r="D142" s="19"/>
      <c r="G142" s="29"/>
      <c r="H142" s="212"/>
      <c r="I142" s="1"/>
      <c r="K142" s="30"/>
      <c r="L142" s="30"/>
      <c r="M142" s="1"/>
      <c r="N142" s="211"/>
      <c r="O142" s="211"/>
      <c r="P142" s="31"/>
      <c r="Q142" s="211"/>
      <c r="R142" s="211"/>
      <c r="S142" s="31"/>
      <c r="V142" s="1"/>
      <c r="W142" s="1"/>
      <c r="X142" s="1"/>
      <c r="Y142" s="30"/>
      <c r="Z142" s="211"/>
    </row>
    <row r="143" spans="2:26">
      <c r="B143" s="1"/>
      <c r="C143" s="28"/>
      <c r="D143" s="19"/>
      <c r="G143" s="29"/>
      <c r="H143" s="212"/>
      <c r="I143" s="1"/>
      <c r="K143" s="30"/>
      <c r="L143" s="30"/>
      <c r="M143" s="1"/>
      <c r="N143" s="211"/>
      <c r="O143" s="211"/>
      <c r="P143" s="31"/>
      <c r="Q143" s="211"/>
      <c r="R143" s="211"/>
      <c r="S143" s="31"/>
      <c r="V143" s="1"/>
      <c r="W143" s="1"/>
      <c r="X143" s="1"/>
      <c r="Y143" s="30"/>
      <c r="Z143" s="211"/>
    </row>
    <row r="144" spans="2:26">
      <c r="B144" s="1"/>
      <c r="C144" s="28"/>
      <c r="D144" s="19"/>
      <c r="G144" s="29"/>
      <c r="H144" s="212"/>
      <c r="I144" s="1"/>
      <c r="K144" s="30"/>
      <c r="L144" s="30"/>
      <c r="M144" s="1"/>
      <c r="N144" s="211"/>
      <c r="O144" s="211"/>
      <c r="P144" s="31"/>
      <c r="Q144" s="211"/>
      <c r="R144" s="211"/>
      <c r="S144" s="31"/>
      <c r="V144" s="1"/>
      <c r="W144" s="1"/>
      <c r="X144" s="1"/>
      <c r="Y144" s="30"/>
      <c r="Z144" s="211"/>
    </row>
    <row r="145" spans="2:26">
      <c r="B145" s="1"/>
      <c r="C145" s="28"/>
      <c r="D145" s="19"/>
      <c r="G145" s="29"/>
      <c r="H145" s="212"/>
      <c r="I145" s="1"/>
      <c r="K145" s="30"/>
      <c r="L145" s="30"/>
      <c r="M145" s="1"/>
      <c r="N145" s="211"/>
      <c r="O145" s="211"/>
      <c r="P145" s="31"/>
      <c r="Q145" s="211"/>
      <c r="R145" s="211"/>
      <c r="S145" s="31"/>
      <c r="V145" s="1"/>
      <c r="W145" s="1"/>
      <c r="X145" s="1"/>
      <c r="Y145" s="30"/>
      <c r="Z145" s="211"/>
    </row>
    <row r="146" spans="2:26">
      <c r="B146" s="1"/>
      <c r="C146" s="28"/>
      <c r="D146" s="19"/>
      <c r="G146" s="29"/>
      <c r="H146" s="212"/>
      <c r="I146" s="1"/>
      <c r="K146" s="30"/>
      <c r="L146" s="30"/>
      <c r="M146" s="1"/>
      <c r="N146" s="211"/>
      <c r="O146" s="211"/>
      <c r="P146" s="31"/>
      <c r="Q146" s="211"/>
      <c r="R146" s="211"/>
      <c r="S146" s="31"/>
      <c r="V146" s="1"/>
      <c r="W146" s="1"/>
      <c r="X146" s="1"/>
      <c r="Y146" s="30"/>
      <c r="Z146" s="211"/>
    </row>
    <row r="147" spans="2:26">
      <c r="B147" s="1"/>
      <c r="C147" s="28"/>
      <c r="D147" s="19"/>
      <c r="G147" s="29"/>
      <c r="H147" s="212"/>
      <c r="I147" s="1"/>
      <c r="K147" s="30"/>
      <c r="L147" s="30"/>
      <c r="M147" s="1"/>
      <c r="N147" s="211"/>
      <c r="O147" s="211"/>
      <c r="P147" s="31"/>
      <c r="Q147" s="211"/>
      <c r="R147" s="211"/>
      <c r="S147" s="31"/>
      <c r="V147" s="1"/>
      <c r="W147" s="1"/>
      <c r="X147" s="1"/>
      <c r="Y147" s="30"/>
      <c r="Z147" s="211"/>
    </row>
    <row r="148" spans="2:26">
      <c r="B148" s="1"/>
      <c r="C148" s="28"/>
      <c r="D148" s="19"/>
      <c r="G148" s="29"/>
      <c r="H148" s="212"/>
      <c r="I148" s="1"/>
      <c r="K148" s="30"/>
      <c r="L148" s="30"/>
      <c r="M148" s="1"/>
      <c r="N148" s="211"/>
      <c r="O148" s="211"/>
      <c r="P148" s="31"/>
      <c r="Q148" s="211"/>
      <c r="R148" s="211"/>
      <c r="S148" s="31"/>
      <c r="V148" s="1"/>
      <c r="W148" s="1"/>
      <c r="X148" s="1"/>
      <c r="Y148" s="30"/>
      <c r="Z148" s="211"/>
    </row>
    <row r="149" spans="2:26">
      <c r="B149" s="1"/>
      <c r="C149" s="28"/>
      <c r="D149" s="19"/>
      <c r="G149" s="29"/>
      <c r="H149" s="212"/>
      <c r="I149" s="1"/>
      <c r="K149" s="30"/>
      <c r="L149" s="30"/>
      <c r="M149" s="1"/>
      <c r="N149" s="211"/>
      <c r="O149" s="211"/>
      <c r="P149" s="31"/>
      <c r="Q149" s="211"/>
      <c r="R149" s="211"/>
      <c r="S149" s="31"/>
      <c r="V149" s="1"/>
      <c r="W149" s="1"/>
      <c r="X149" s="1"/>
      <c r="Y149" s="30"/>
      <c r="Z149" s="211"/>
    </row>
    <row r="150" spans="2:26">
      <c r="B150" s="1"/>
      <c r="C150" s="28"/>
      <c r="D150" s="19"/>
      <c r="G150" s="29"/>
      <c r="H150" s="212"/>
      <c r="I150" s="1"/>
      <c r="K150" s="30"/>
      <c r="L150" s="30"/>
      <c r="M150" s="1"/>
      <c r="N150" s="211"/>
      <c r="O150" s="211"/>
      <c r="P150" s="31"/>
      <c r="Q150" s="211"/>
      <c r="R150" s="211"/>
      <c r="S150" s="31"/>
      <c r="V150" s="1"/>
      <c r="W150" s="1"/>
      <c r="X150" s="1"/>
      <c r="Y150" s="30"/>
      <c r="Z150" s="211"/>
    </row>
    <row r="151" spans="2:26">
      <c r="B151" s="1"/>
      <c r="C151" s="28"/>
      <c r="D151" s="19"/>
      <c r="G151" s="29"/>
      <c r="H151" s="212"/>
      <c r="I151" s="1"/>
      <c r="K151" s="30"/>
      <c r="L151" s="30"/>
      <c r="M151" s="1"/>
      <c r="N151" s="211"/>
      <c r="O151" s="211"/>
      <c r="P151" s="31"/>
      <c r="Q151" s="211"/>
      <c r="R151" s="211"/>
      <c r="S151" s="31"/>
      <c r="V151" s="1"/>
      <c r="W151" s="1"/>
      <c r="X151" s="1"/>
      <c r="Y151" s="30"/>
      <c r="Z151" s="211"/>
    </row>
    <row r="152" spans="2:26">
      <c r="B152" s="1"/>
      <c r="C152" s="28"/>
      <c r="D152" s="19"/>
      <c r="G152" s="29"/>
      <c r="H152" s="212"/>
      <c r="I152" s="1"/>
      <c r="K152" s="30"/>
      <c r="L152" s="30"/>
      <c r="M152" s="1"/>
      <c r="N152" s="211"/>
      <c r="O152" s="211"/>
      <c r="P152" s="31"/>
      <c r="Q152" s="211"/>
      <c r="R152" s="211"/>
      <c r="S152" s="31"/>
      <c r="V152" s="1"/>
      <c r="W152" s="1"/>
      <c r="X152" s="1"/>
      <c r="Y152" s="30"/>
      <c r="Z152" s="211"/>
    </row>
    <row r="153" spans="2:26">
      <c r="B153" s="1"/>
      <c r="C153" s="28"/>
      <c r="D153" s="19"/>
      <c r="G153" s="29"/>
      <c r="H153" s="212"/>
      <c r="I153" s="1"/>
      <c r="K153" s="30"/>
      <c r="L153" s="30"/>
      <c r="M153" s="1"/>
      <c r="N153" s="211"/>
      <c r="O153" s="211"/>
      <c r="P153" s="31"/>
      <c r="Q153" s="211"/>
      <c r="R153" s="211"/>
      <c r="S153" s="31"/>
      <c r="V153" s="1"/>
      <c r="W153" s="1"/>
      <c r="X153" s="1"/>
      <c r="Y153" s="30"/>
      <c r="Z153" s="211"/>
    </row>
    <row r="154" spans="2:26">
      <c r="B154" s="1"/>
      <c r="C154" s="28"/>
      <c r="D154" s="19"/>
      <c r="G154" s="29"/>
      <c r="H154" s="212"/>
      <c r="I154" s="1"/>
      <c r="K154" s="30"/>
      <c r="L154" s="30"/>
      <c r="M154" s="1"/>
      <c r="N154" s="211"/>
      <c r="O154" s="211"/>
      <c r="P154" s="31"/>
      <c r="Q154" s="211"/>
      <c r="R154" s="211"/>
      <c r="S154" s="31"/>
      <c r="V154" s="1"/>
      <c r="W154" s="1"/>
      <c r="X154" s="1"/>
      <c r="Y154" s="30"/>
      <c r="Z154" s="211"/>
    </row>
    <row r="155" spans="2:26">
      <c r="B155" s="1"/>
      <c r="C155" s="28"/>
      <c r="D155" s="19"/>
      <c r="G155" s="29"/>
      <c r="H155" s="212"/>
      <c r="I155" s="1"/>
      <c r="K155" s="30"/>
      <c r="L155" s="30"/>
      <c r="M155" s="1"/>
      <c r="N155" s="211"/>
      <c r="O155" s="211"/>
      <c r="P155" s="31"/>
      <c r="Q155" s="211"/>
      <c r="R155" s="211"/>
      <c r="S155" s="31"/>
      <c r="V155" s="1"/>
      <c r="W155" s="1"/>
      <c r="X155" s="1"/>
      <c r="Y155" s="30"/>
      <c r="Z155" s="211"/>
    </row>
    <row r="156" spans="2:26">
      <c r="B156" s="1"/>
      <c r="C156" s="28"/>
      <c r="D156" s="19"/>
      <c r="G156" s="29"/>
      <c r="H156" s="212"/>
      <c r="I156" s="1"/>
      <c r="K156" s="30"/>
      <c r="L156" s="30"/>
      <c r="M156" s="1"/>
      <c r="N156" s="211"/>
      <c r="O156" s="211"/>
      <c r="P156" s="31"/>
      <c r="Q156" s="211"/>
      <c r="R156" s="211"/>
      <c r="S156" s="31"/>
      <c r="V156" s="1"/>
      <c r="W156" s="1"/>
      <c r="X156" s="1"/>
      <c r="Y156" s="30"/>
      <c r="Z156" s="211"/>
    </row>
    <row r="157" spans="2:26">
      <c r="B157" s="1"/>
      <c r="C157" s="28"/>
      <c r="D157" s="19"/>
      <c r="G157" s="29"/>
      <c r="H157" s="212"/>
      <c r="I157" s="1"/>
      <c r="K157" s="30"/>
      <c r="L157" s="30"/>
      <c r="M157" s="1"/>
      <c r="N157" s="211"/>
      <c r="O157" s="211"/>
      <c r="P157" s="31"/>
      <c r="Q157" s="211"/>
      <c r="R157" s="211"/>
      <c r="S157" s="31"/>
      <c r="V157" s="1"/>
      <c r="W157" s="1"/>
      <c r="X157" s="1"/>
      <c r="Y157" s="30"/>
      <c r="Z157" s="211"/>
    </row>
    <row r="158" spans="2:26">
      <c r="B158" s="1"/>
      <c r="C158" s="28"/>
      <c r="D158" s="19"/>
      <c r="G158" s="29"/>
      <c r="H158" s="212"/>
      <c r="I158" s="1"/>
      <c r="K158" s="30"/>
      <c r="L158" s="30"/>
      <c r="M158" s="1"/>
      <c r="N158" s="211"/>
      <c r="O158" s="211"/>
      <c r="P158" s="31"/>
      <c r="Q158" s="211"/>
      <c r="R158" s="211"/>
      <c r="S158" s="31"/>
      <c r="V158" s="1"/>
      <c r="W158" s="1"/>
      <c r="X158" s="1"/>
      <c r="Y158" s="30"/>
      <c r="Z158" s="211"/>
    </row>
    <row r="159" spans="2:26">
      <c r="B159" s="1"/>
      <c r="C159" s="28"/>
      <c r="D159" s="19"/>
      <c r="G159" s="29"/>
      <c r="H159" s="212"/>
      <c r="I159" s="1"/>
      <c r="K159" s="30"/>
      <c r="L159" s="30"/>
      <c r="M159" s="1"/>
      <c r="N159" s="211"/>
      <c r="O159" s="211"/>
      <c r="P159" s="31"/>
      <c r="Q159" s="211"/>
      <c r="R159" s="211"/>
      <c r="S159" s="31"/>
      <c r="V159" s="1"/>
      <c r="W159" s="1"/>
      <c r="X159" s="1"/>
      <c r="Y159" s="30"/>
      <c r="Z159" s="211"/>
    </row>
    <row r="160" spans="2:26">
      <c r="B160" s="1"/>
      <c r="C160" s="28"/>
      <c r="D160" s="19"/>
      <c r="G160" s="29"/>
      <c r="H160" s="212"/>
      <c r="I160" s="1"/>
      <c r="K160" s="30"/>
      <c r="L160" s="30"/>
      <c r="M160" s="1"/>
      <c r="N160" s="211"/>
      <c r="O160" s="211"/>
      <c r="P160" s="31"/>
      <c r="Q160" s="211"/>
      <c r="R160" s="211"/>
      <c r="S160" s="31"/>
      <c r="V160" s="1"/>
      <c r="W160" s="1"/>
      <c r="X160" s="1"/>
      <c r="Y160" s="30"/>
      <c r="Z160" s="211"/>
    </row>
    <row r="161" spans="2:26" ht="15.6">
      <c r="B161" s="1"/>
      <c r="C161" s="28"/>
      <c r="D161" s="19"/>
      <c r="F161" s="213"/>
      <c r="G161" s="29"/>
      <c r="H161" s="212"/>
      <c r="I161" s="1"/>
      <c r="K161" s="30"/>
      <c r="L161" s="30"/>
      <c r="M161" s="1"/>
      <c r="N161" s="211"/>
      <c r="O161" s="211"/>
      <c r="P161" s="31"/>
      <c r="Q161" s="211"/>
      <c r="R161" s="211"/>
      <c r="S161" s="31"/>
      <c r="V161" s="1"/>
      <c r="W161" s="1"/>
      <c r="X161" s="1"/>
      <c r="Y161" s="30"/>
      <c r="Z161" s="211"/>
    </row>
    <row r="162" spans="2:26">
      <c r="B162" s="1"/>
      <c r="C162" s="28"/>
      <c r="D162" s="19"/>
      <c r="G162" s="29"/>
      <c r="H162" s="212"/>
      <c r="I162" s="1"/>
      <c r="K162" s="30"/>
      <c r="L162" s="30"/>
      <c r="M162" s="1"/>
      <c r="N162" s="211"/>
      <c r="O162" s="211"/>
      <c r="P162" s="31"/>
      <c r="Q162" s="211"/>
      <c r="R162" s="211"/>
      <c r="S162" s="31"/>
      <c r="V162" s="1"/>
      <c r="W162" s="1"/>
      <c r="X162" s="1"/>
      <c r="Y162" s="30"/>
      <c r="Z162" s="211"/>
    </row>
    <row r="163" spans="2:26">
      <c r="B163" s="1"/>
      <c r="C163" s="28"/>
      <c r="D163" s="19"/>
      <c r="G163" s="29"/>
      <c r="H163" s="212"/>
      <c r="I163" s="1"/>
      <c r="K163" s="30"/>
      <c r="L163" s="30"/>
      <c r="M163" s="1"/>
      <c r="N163" s="211"/>
      <c r="O163" s="211"/>
      <c r="P163" s="31"/>
      <c r="Q163" s="211"/>
      <c r="R163" s="211"/>
      <c r="S163" s="31"/>
      <c r="V163" s="1"/>
      <c r="W163" s="1"/>
      <c r="X163" s="1"/>
      <c r="Y163" s="30"/>
      <c r="Z163" s="211"/>
    </row>
    <row r="164" spans="2:26">
      <c r="B164" s="1"/>
      <c r="C164" s="28"/>
      <c r="D164" s="19"/>
      <c r="G164" s="29"/>
      <c r="H164" s="212"/>
      <c r="I164" s="1"/>
      <c r="K164" s="30"/>
      <c r="L164" s="30"/>
      <c r="M164" s="1"/>
      <c r="N164" s="211"/>
      <c r="O164" s="211"/>
      <c r="P164" s="31"/>
      <c r="Q164" s="211"/>
      <c r="R164" s="211"/>
      <c r="S164" s="31"/>
      <c r="V164" s="1"/>
      <c r="W164" s="1"/>
      <c r="X164" s="1"/>
      <c r="Y164" s="30"/>
      <c r="Z164" s="211"/>
    </row>
    <row r="165" spans="2:26">
      <c r="B165" s="1"/>
      <c r="C165" s="28"/>
      <c r="D165" s="19"/>
      <c r="G165" s="29"/>
      <c r="H165" s="212"/>
      <c r="I165" s="1"/>
      <c r="K165" s="30"/>
      <c r="L165" s="30"/>
      <c r="M165" s="1"/>
      <c r="N165" s="211"/>
      <c r="O165" s="211"/>
      <c r="P165" s="31"/>
      <c r="Q165" s="211"/>
      <c r="R165" s="211"/>
      <c r="S165" s="31"/>
      <c r="V165" s="1"/>
      <c r="W165" s="1"/>
      <c r="X165" s="1"/>
      <c r="Y165" s="30"/>
      <c r="Z165" s="211"/>
    </row>
    <row r="166" spans="2:26">
      <c r="B166" s="1"/>
      <c r="C166" s="28"/>
      <c r="D166" s="19"/>
      <c r="G166" s="29"/>
      <c r="H166" s="212"/>
      <c r="I166" s="1"/>
      <c r="K166" s="30"/>
      <c r="L166" s="30"/>
      <c r="M166" s="1"/>
      <c r="N166" s="211"/>
      <c r="O166" s="211"/>
      <c r="P166" s="31"/>
      <c r="Q166" s="211"/>
      <c r="R166" s="211"/>
      <c r="S166" s="31"/>
      <c r="V166" s="1"/>
      <c r="W166" s="1"/>
      <c r="X166" s="1"/>
      <c r="Y166" s="30"/>
      <c r="Z166" s="211"/>
    </row>
    <row r="167" spans="2:26">
      <c r="B167" s="1"/>
      <c r="C167" s="28"/>
      <c r="D167" s="19"/>
      <c r="G167" s="29"/>
      <c r="H167" s="212"/>
      <c r="I167" s="1"/>
      <c r="K167" s="30"/>
      <c r="L167" s="30"/>
      <c r="M167" s="1"/>
      <c r="N167" s="211"/>
      <c r="O167" s="211"/>
      <c r="P167" s="31"/>
      <c r="Q167" s="211"/>
      <c r="R167" s="211"/>
      <c r="S167" s="31"/>
      <c r="V167" s="1"/>
      <c r="W167" s="1"/>
      <c r="X167" s="1"/>
      <c r="Y167" s="30"/>
      <c r="Z167" s="211"/>
    </row>
    <row r="168" spans="2:26">
      <c r="B168" s="1"/>
      <c r="C168" s="28"/>
      <c r="D168" s="19"/>
      <c r="G168" s="29"/>
      <c r="H168" s="212"/>
      <c r="I168" s="1"/>
      <c r="K168" s="30"/>
      <c r="L168" s="30"/>
      <c r="M168" s="1"/>
      <c r="N168" s="211"/>
      <c r="O168" s="211"/>
      <c r="P168" s="31"/>
      <c r="Q168" s="211"/>
      <c r="R168" s="211"/>
      <c r="S168" s="31"/>
      <c r="V168" s="1"/>
      <c r="W168" s="1"/>
      <c r="X168" s="1"/>
      <c r="Y168" s="30"/>
      <c r="Z168" s="211"/>
    </row>
    <row r="169" spans="2:26">
      <c r="B169" s="1"/>
      <c r="C169" s="28"/>
      <c r="D169" s="19"/>
      <c r="G169" s="29"/>
      <c r="H169" s="212"/>
      <c r="I169" s="1"/>
      <c r="K169" s="30"/>
      <c r="L169" s="30"/>
      <c r="M169" s="1"/>
      <c r="N169" s="211"/>
      <c r="O169" s="211"/>
      <c r="P169" s="31"/>
      <c r="Q169" s="211"/>
      <c r="R169" s="211"/>
      <c r="S169" s="31"/>
      <c r="V169" s="1"/>
      <c r="W169" s="1"/>
      <c r="X169" s="1"/>
      <c r="Y169" s="30"/>
      <c r="Z169" s="211"/>
    </row>
    <row r="170" spans="2:26">
      <c r="B170" s="1"/>
      <c r="C170" s="28"/>
      <c r="D170" s="19"/>
      <c r="G170" s="29"/>
      <c r="H170" s="212"/>
      <c r="I170" s="1"/>
      <c r="K170" s="30"/>
      <c r="L170" s="30"/>
      <c r="M170" s="1"/>
      <c r="N170" s="211"/>
      <c r="O170" s="211"/>
      <c r="P170" s="31"/>
      <c r="Q170" s="211"/>
      <c r="R170" s="211"/>
      <c r="S170" s="31"/>
      <c r="V170" s="1"/>
      <c r="W170" s="1"/>
      <c r="X170" s="1"/>
      <c r="Y170" s="30"/>
      <c r="Z170" s="211"/>
    </row>
    <row r="171" spans="2:26">
      <c r="B171" s="1"/>
      <c r="C171" s="28"/>
      <c r="D171" s="19"/>
      <c r="G171" s="29"/>
      <c r="H171" s="212"/>
      <c r="I171" s="1"/>
      <c r="K171" s="30"/>
      <c r="L171" s="30"/>
      <c r="M171" s="1"/>
      <c r="N171" s="211"/>
      <c r="O171" s="211"/>
      <c r="P171" s="31"/>
      <c r="Q171" s="211"/>
      <c r="R171" s="211"/>
      <c r="S171" s="31"/>
      <c r="V171" s="1"/>
      <c r="W171" s="1"/>
      <c r="X171" s="1"/>
      <c r="Y171" s="30"/>
      <c r="Z171" s="211"/>
    </row>
    <row r="172" spans="2:26">
      <c r="B172" s="1"/>
      <c r="C172" s="28"/>
      <c r="D172" s="19"/>
      <c r="G172" s="29"/>
      <c r="H172" s="212"/>
      <c r="I172" s="1"/>
      <c r="K172" s="30"/>
      <c r="L172" s="30"/>
      <c r="M172" s="1"/>
      <c r="N172" s="211"/>
      <c r="O172" s="211"/>
      <c r="P172" s="31"/>
      <c r="Q172" s="211"/>
      <c r="R172" s="211"/>
      <c r="S172" s="31"/>
      <c r="V172" s="1"/>
      <c r="W172" s="1"/>
      <c r="X172" s="1"/>
      <c r="Y172" s="30"/>
      <c r="Z172" s="211"/>
    </row>
    <row r="173" spans="2:26">
      <c r="B173" s="1"/>
      <c r="C173" s="28"/>
      <c r="D173" s="19"/>
      <c r="G173" s="29"/>
      <c r="H173" s="212"/>
      <c r="I173" s="1"/>
      <c r="K173" s="30"/>
      <c r="L173" s="30"/>
      <c r="M173" s="1"/>
      <c r="N173" s="211"/>
      <c r="O173" s="211"/>
      <c r="P173" s="31"/>
      <c r="Q173" s="211"/>
      <c r="R173" s="211"/>
      <c r="S173" s="31"/>
      <c r="V173" s="1"/>
      <c r="W173" s="1"/>
      <c r="X173" s="1"/>
      <c r="Y173" s="30"/>
      <c r="Z173" s="211"/>
    </row>
    <row r="174" spans="2:26">
      <c r="B174" s="1"/>
      <c r="C174" s="28"/>
      <c r="D174" s="19"/>
      <c r="G174" s="29"/>
      <c r="H174" s="212"/>
      <c r="I174" s="1"/>
      <c r="K174" s="30"/>
      <c r="L174" s="30"/>
      <c r="M174" s="1"/>
      <c r="N174" s="211"/>
      <c r="O174" s="211"/>
      <c r="P174" s="31"/>
      <c r="Q174" s="211"/>
      <c r="R174" s="211"/>
      <c r="S174" s="31"/>
      <c r="V174" s="1"/>
      <c r="W174" s="1"/>
      <c r="X174" s="1"/>
      <c r="Y174" s="30"/>
      <c r="Z174" s="211"/>
    </row>
    <row r="175" spans="2:26">
      <c r="B175" s="1"/>
      <c r="C175" s="28"/>
      <c r="D175" s="19"/>
      <c r="G175" s="29"/>
      <c r="H175" s="212"/>
      <c r="I175" s="1"/>
      <c r="K175" s="30"/>
      <c r="L175" s="30"/>
      <c r="M175" s="1"/>
      <c r="N175" s="211"/>
      <c r="O175" s="211"/>
      <c r="P175" s="31"/>
      <c r="Q175" s="211"/>
      <c r="R175" s="211"/>
      <c r="S175" s="31"/>
      <c r="V175" s="1"/>
      <c r="W175" s="1"/>
      <c r="X175" s="1"/>
      <c r="Y175" s="30"/>
      <c r="Z175" s="211"/>
    </row>
    <row r="176" spans="2:26">
      <c r="B176" s="1"/>
      <c r="C176" s="28"/>
      <c r="D176" s="19"/>
      <c r="G176" s="29"/>
      <c r="H176" s="212"/>
      <c r="I176" s="1"/>
      <c r="K176" s="30"/>
      <c r="L176" s="30"/>
      <c r="M176" s="1"/>
      <c r="N176" s="211"/>
      <c r="O176" s="211"/>
      <c r="P176" s="31"/>
      <c r="Q176" s="211"/>
      <c r="R176" s="211"/>
      <c r="S176" s="31"/>
      <c r="V176" s="1"/>
      <c r="W176" s="1"/>
      <c r="X176" s="1"/>
      <c r="Y176" s="30"/>
      <c r="Z176" s="211"/>
    </row>
    <row r="177" spans="2:26">
      <c r="B177" s="1"/>
      <c r="C177" s="28"/>
      <c r="D177" s="19"/>
      <c r="G177" s="29"/>
      <c r="H177" s="212"/>
      <c r="I177" s="1"/>
      <c r="K177" s="30"/>
      <c r="L177" s="30"/>
      <c r="M177" s="1"/>
      <c r="N177" s="211"/>
      <c r="O177" s="211"/>
      <c r="P177" s="31"/>
      <c r="Q177" s="211"/>
      <c r="R177" s="211"/>
      <c r="S177" s="31"/>
      <c r="V177" s="1"/>
      <c r="W177" s="1"/>
      <c r="X177" s="1"/>
      <c r="Y177" s="30"/>
      <c r="Z177" s="211"/>
    </row>
    <row r="178" spans="2:26">
      <c r="B178" s="1"/>
      <c r="C178" s="28"/>
      <c r="D178" s="19"/>
      <c r="G178" s="29"/>
      <c r="H178" s="212"/>
      <c r="I178" s="1"/>
      <c r="K178" s="30"/>
      <c r="L178" s="30"/>
      <c r="M178" s="1"/>
      <c r="N178" s="211"/>
      <c r="O178" s="211"/>
      <c r="P178" s="31"/>
      <c r="Q178" s="211"/>
      <c r="R178" s="211"/>
      <c r="S178" s="31"/>
      <c r="V178" s="1"/>
      <c r="W178" s="1"/>
      <c r="X178" s="1"/>
      <c r="Y178" s="30"/>
      <c r="Z178" s="211"/>
    </row>
    <row r="179" spans="2:26">
      <c r="B179" s="1"/>
      <c r="C179" s="28"/>
      <c r="D179" s="19"/>
      <c r="G179" s="29"/>
      <c r="H179" s="212"/>
      <c r="I179" s="1"/>
      <c r="K179" s="30"/>
      <c r="L179" s="30"/>
      <c r="M179" s="1"/>
      <c r="N179" s="211"/>
      <c r="O179" s="211"/>
      <c r="P179" s="31"/>
      <c r="Q179" s="211"/>
      <c r="R179" s="211"/>
      <c r="S179" s="31"/>
      <c r="V179" s="1"/>
      <c r="W179" s="1"/>
      <c r="X179" s="1"/>
      <c r="Y179" s="30"/>
      <c r="Z179" s="211"/>
    </row>
    <row r="180" spans="2:26">
      <c r="B180" s="1"/>
      <c r="C180" s="28"/>
      <c r="D180" s="19"/>
      <c r="G180" s="29"/>
      <c r="H180" s="212"/>
      <c r="I180" s="1"/>
      <c r="K180" s="30"/>
      <c r="L180" s="30"/>
      <c r="M180" s="1"/>
      <c r="N180" s="211"/>
      <c r="O180" s="211"/>
      <c r="P180" s="31"/>
      <c r="Q180" s="211"/>
      <c r="R180" s="211"/>
      <c r="S180" s="31"/>
      <c r="V180" s="1"/>
      <c r="W180" s="1"/>
      <c r="X180" s="1"/>
      <c r="Y180" s="30"/>
      <c r="Z180" s="211"/>
    </row>
    <row r="181" spans="2:26">
      <c r="B181" s="1"/>
      <c r="C181" s="28"/>
      <c r="D181" s="19"/>
      <c r="G181" s="29"/>
      <c r="H181" s="212"/>
      <c r="I181" s="1"/>
      <c r="K181" s="30"/>
      <c r="L181" s="30"/>
      <c r="M181" s="1"/>
      <c r="N181" s="211"/>
      <c r="O181" s="211"/>
      <c r="P181" s="31"/>
      <c r="Q181" s="211"/>
      <c r="R181" s="211"/>
      <c r="S181" s="31"/>
      <c r="V181" s="1"/>
      <c r="W181" s="1"/>
      <c r="X181" s="1"/>
      <c r="Y181" s="30"/>
      <c r="Z181" s="211"/>
    </row>
    <row r="182" spans="2:26">
      <c r="B182" s="1"/>
      <c r="C182" s="28"/>
      <c r="D182" s="19"/>
      <c r="G182" s="29"/>
      <c r="H182" s="212"/>
      <c r="I182" s="1"/>
      <c r="K182" s="30"/>
      <c r="L182" s="30"/>
      <c r="M182" s="1"/>
      <c r="N182" s="211"/>
      <c r="O182" s="211"/>
      <c r="P182" s="31"/>
      <c r="Q182" s="211"/>
      <c r="R182" s="211"/>
      <c r="S182" s="31"/>
      <c r="V182" s="1"/>
      <c r="W182" s="1"/>
      <c r="X182" s="1"/>
      <c r="Y182" s="30"/>
      <c r="Z182" s="211"/>
    </row>
    <row r="183" spans="2:26">
      <c r="B183" s="1"/>
      <c r="C183" s="28"/>
      <c r="D183" s="19"/>
      <c r="G183" s="29"/>
      <c r="H183" s="212"/>
      <c r="I183" s="1"/>
      <c r="K183" s="30"/>
      <c r="L183" s="30"/>
      <c r="M183" s="1"/>
      <c r="N183" s="211"/>
      <c r="O183" s="211"/>
      <c r="P183" s="31"/>
      <c r="Q183" s="211"/>
      <c r="R183" s="211"/>
      <c r="S183" s="31"/>
      <c r="V183" s="1"/>
      <c r="W183" s="1"/>
      <c r="X183" s="1"/>
      <c r="Y183" s="30"/>
      <c r="Z183" s="211"/>
    </row>
    <row r="184" spans="2:26">
      <c r="B184" s="1"/>
      <c r="C184" s="28"/>
      <c r="D184" s="19"/>
      <c r="G184" s="29"/>
      <c r="H184" s="212"/>
      <c r="I184" s="1"/>
      <c r="K184" s="30"/>
      <c r="L184" s="30"/>
      <c r="M184" s="1"/>
      <c r="N184" s="211"/>
      <c r="O184" s="211"/>
      <c r="P184" s="31"/>
      <c r="Q184" s="211"/>
      <c r="R184" s="211"/>
      <c r="S184" s="31"/>
      <c r="V184" s="1"/>
      <c r="W184" s="1"/>
      <c r="X184" s="1"/>
      <c r="Y184" s="30"/>
      <c r="Z184" s="211"/>
    </row>
    <row r="185" spans="2:26">
      <c r="B185" s="1"/>
      <c r="C185" s="28"/>
      <c r="D185" s="19"/>
      <c r="G185" s="29"/>
      <c r="H185" s="212"/>
      <c r="I185" s="1"/>
      <c r="K185" s="30"/>
      <c r="L185" s="30"/>
      <c r="M185" s="1"/>
      <c r="N185" s="211"/>
      <c r="O185" s="211"/>
      <c r="P185" s="31"/>
      <c r="Q185" s="211"/>
      <c r="R185" s="211"/>
      <c r="S185" s="31"/>
      <c r="V185" s="1"/>
      <c r="W185" s="1"/>
      <c r="X185" s="1"/>
      <c r="Y185" s="30"/>
      <c r="Z185" s="211"/>
    </row>
    <row r="186" spans="2:26">
      <c r="B186" s="1"/>
      <c r="C186" s="28"/>
      <c r="D186" s="19"/>
      <c r="G186" s="29"/>
      <c r="H186" s="212"/>
      <c r="I186" s="1"/>
      <c r="K186" s="30"/>
      <c r="L186" s="30"/>
      <c r="M186" s="1"/>
      <c r="N186" s="211"/>
      <c r="O186" s="211"/>
      <c r="P186" s="31"/>
      <c r="Q186" s="211"/>
      <c r="R186" s="211"/>
      <c r="S186" s="31"/>
      <c r="V186" s="1"/>
      <c r="W186" s="1"/>
      <c r="X186" s="1"/>
      <c r="Y186" s="30"/>
      <c r="Z186" s="211"/>
    </row>
    <row r="187" spans="2:26">
      <c r="B187" s="1"/>
      <c r="C187" s="28"/>
      <c r="D187" s="19"/>
      <c r="G187" s="29"/>
      <c r="H187" s="212"/>
      <c r="I187" s="1"/>
      <c r="K187" s="30"/>
      <c r="L187" s="30"/>
      <c r="M187" s="1"/>
      <c r="N187" s="211"/>
      <c r="O187" s="211"/>
      <c r="P187" s="31"/>
      <c r="Q187" s="211"/>
      <c r="R187" s="211"/>
      <c r="S187" s="31"/>
      <c r="V187" s="1"/>
      <c r="W187" s="1"/>
      <c r="X187" s="1"/>
      <c r="Y187" s="30"/>
      <c r="Z187" s="211"/>
    </row>
    <row r="188" spans="2:26">
      <c r="B188" s="1"/>
      <c r="C188" s="28"/>
      <c r="D188" s="19"/>
      <c r="G188" s="29"/>
      <c r="H188" s="212"/>
      <c r="I188" s="1"/>
      <c r="K188" s="30"/>
      <c r="L188" s="30"/>
      <c r="M188" s="1"/>
      <c r="N188" s="211"/>
      <c r="O188" s="211"/>
      <c r="P188" s="31"/>
      <c r="Q188" s="211"/>
      <c r="R188" s="211"/>
      <c r="S188" s="31"/>
      <c r="V188" s="1"/>
      <c r="W188" s="1"/>
      <c r="X188" s="1"/>
      <c r="Y188" s="30"/>
      <c r="Z188" s="211"/>
    </row>
    <row r="189" spans="2:26">
      <c r="B189" s="1"/>
      <c r="C189" s="28"/>
      <c r="D189" s="19"/>
      <c r="G189" s="29"/>
      <c r="H189" s="212"/>
      <c r="I189" s="1"/>
      <c r="K189" s="30"/>
      <c r="L189" s="30"/>
      <c r="M189" s="1"/>
      <c r="N189" s="211"/>
      <c r="O189" s="211"/>
      <c r="P189" s="31"/>
      <c r="Q189" s="211"/>
      <c r="R189" s="211"/>
      <c r="S189" s="31"/>
      <c r="V189" s="1"/>
      <c r="W189" s="1"/>
      <c r="X189" s="1"/>
      <c r="Y189" s="30"/>
      <c r="Z189" s="211"/>
    </row>
    <row r="190" spans="2:26">
      <c r="B190" s="1"/>
      <c r="C190" s="28"/>
      <c r="D190" s="19"/>
      <c r="G190" s="29"/>
      <c r="H190" s="212"/>
      <c r="I190" s="1"/>
      <c r="K190" s="30"/>
      <c r="L190" s="30"/>
      <c r="M190" s="1"/>
      <c r="N190" s="211"/>
      <c r="O190" s="211"/>
      <c r="P190" s="31"/>
      <c r="Q190" s="211"/>
      <c r="R190" s="211"/>
      <c r="S190" s="31"/>
      <c r="V190" s="1"/>
      <c r="W190" s="1"/>
      <c r="X190" s="1"/>
      <c r="Y190" s="30"/>
      <c r="Z190" s="211"/>
    </row>
    <row r="191" spans="2:26">
      <c r="B191" s="1"/>
      <c r="C191" s="28"/>
      <c r="D191" s="19"/>
      <c r="G191" s="29"/>
      <c r="H191" s="212"/>
      <c r="I191" s="1"/>
      <c r="K191" s="30"/>
      <c r="L191" s="30"/>
      <c r="M191" s="1"/>
      <c r="N191" s="211"/>
      <c r="O191" s="211"/>
      <c r="P191" s="31"/>
      <c r="Q191" s="211"/>
      <c r="R191" s="211"/>
      <c r="S191" s="31"/>
      <c r="V191" s="1"/>
      <c r="W191" s="1"/>
      <c r="X191" s="1"/>
      <c r="Y191" s="30"/>
      <c r="Z191" s="211"/>
    </row>
    <row r="192" spans="2:26">
      <c r="B192" s="1"/>
      <c r="C192" s="28"/>
      <c r="D192" s="19"/>
      <c r="G192" s="29"/>
      <c r="H192" s="212"/>
      <c r="I192" s="1"/>
      <c r="K192" s="30"/>
      <c r="L192" s="30"/>
      <c r="M192" s="1"/>
      <c r="N192" s="211"/>
      <c r="O192" s="211"/>
      <c r="P192" s="31"/>
      <c r="Q192" s="211"/>
      <c r="R192" s="211"/>
      <c r="S192" s="31"/>
      <c r="V192" s="1"/>
      <c r="W192" s="1"/>
      <c r="X192" s="1"/>
      <c r="Y192" s="30"/>
      <c r="Z192" s="211"/>
    </row>
    <row r="193" spans="2:26">
      <c r="B193" s="1"/>
      <c r="C193" s="28"/>
      <c r="D193" s="19"/>
      <c r="G193" s="29"/>
      <c r="H193" s="212"/>
      <c r="I193" s="1"/>
      <c r="K193" s="30"/>
      <c r="L193" s="30"/>
      <c r="M193" s="1"/>
      <c r="N193" s="211"/>
      <c r="O193" s="211"/>
      <c r="P193" s="31"/>
      <c r="Q193" s="211"/>
      <c r="R193" s="211"/>
      <c r="S193" s="31"/>
      <c r="V193" s="1"/>
      <c r="W193" s="1"/>
      <c r="X193" s="1"/>
      <c r="Y193" s="30"/>
      <c r="Z193" s="211"/>
    </row>
    <row r="194" spans="2:26">
      <c r="B194" s="1"/>
      <c r="C194" s="28"/>
      <c r="D194" s="19"/>
      <c r="G194" s="29"/>
      <c r="H194" s="212"/>
      <c r="I194" s="1"/>
      <c r="K194" s="30"/>
      <c r="L194" s="30"/>
      <c r="M194" s="1"/>
      <c r="N194" s="211"/>
      <c r="O194" s="211"/>
      <c r="P194" s="31"/>
      <c r="Q194" s="211"/>
      <c r="R194" s="211"/>
      <c r="S194" s="31"/>
      <c r="V194" s="1"/>
      <c r="W194" s="1"/>
      <c r="X194" s="1"/>
      <c r="Y194" s="30"/>
      <c r="Z194" s="211"/>
    </row>
    <row r="195" spans="2:26">
      <c r="B195" s="1"/>
      <c r="C195" s="28"/>
      <c r="D195" s="19"/>
      <c r="G195" s="29"/>
      <c r="H195" s="212"/>
      <c r="I195" s="1"/>
      <c r="K195" s="30"/>
      <c r="L195" s="30"/>
      <c r="M195" s="1"/>
      <c r="N195" s="211"/>
      <c r="O195" s="211"/>
      <c r="P195" s="31"/>
      <c r="Q195" s="211"/>
      <c r="R195" s="211"/>
      <c r="S195" s="31"/>
      <c r="V195" s="1"/>
      <c r="W195" s="1"/>
      <c r="X195" s="1"/>
      <c r="Y195" s="30"/>
      <c r="Z195" s="211"/>
    </row>
    <row r="196" spans="2:26">
      <c r="B196" s="1"/>
      <c r="C196" s="28"/>
      <c r="D196" s="19"/>
      <c r="G196" s="29"/>
      <c r="H196" s="212"/>
      <c r="I196" s="1"/>
      <c r="K196" s="30"/>
      <c r="L196" s="30"/>
      <c r="M196" s="1"/>
      <c r="N196" s="211"/>
      <c r="O196" s="211"/>
      <c r="P196" s="31"/>
      <c r="Q196" s="211"/>
      <c r="R196" s="211"/>
      <c r="S196" s="31"/>
      <c r="V196" s="1"/>
      <c r="W196" s="1"/>
      <c r="X196" s="1"/>
      <c r="Y196" s="30"/>
      <c r="Z196" s="211"/>
    </row>
    <row r="197" spans="2:26">
      <c r="B197" s="1"/>
      <c r="C197" s="28"/>
      <c r="D197" s="19"/>
      <c r="G197" s="29"/>
      <c r="H197" s="212"/>
      <c r="I197" s="1"/>
      <c r="K197" s="30"/>
      <c r="L197" s="30"/>
      <c r="M197" s="1"/>
      <c r="N197" s="211"/>
      <c r="O197" s="211"/>
      <c r="P197" s="31"/>
      <c r="Q197" s="211"/>
      <c r="R197" s="211"/>
      <c r="S197" s="31"/>
      <c r="V197" s="1"/>
      <c r="W197" s="1"/>
      <c r="X197" s="1"/>
      <c r="Y197" s="30"/>
      <c r="Z197" s="211"/>
    </row>
    <row r="198" spans="2:26">
      <c r="B198" s="1"/>
      <c r="C198" s="28"/>
      <c r="D198" s="19"/>
      <c r="G198" s="29"/>
      <c r="H198" s="212"/>
      <c r="I198" s="1"/>
      <c r="K198" s="30"/>
      <c r="L198" s="30"/>
      <c r="M198" s="1"/>
      <c r="N198" s="211"/>
      <c r="O198" s="211"/>
      <c r="P198" s="31"/>
      <c r="Q198" s="211"/>
      <c r="R198" s="211"/>
      <c r="S198" s="31"/>
      <c r="V198" s="1"/>
      <c r="W198" s="1"/>
      <c r="X198" s="1"/>
      <c r="Y198" s="30"/>
      <c r="Z198" s="211"/>
    </row>
    <row r="199" spans="2:26">
      <c r="B199" s="1"/>
      <c r="C199" s="28"/>
      <c r="D199" s="19"/>
      <c r="G199" s="29"/>
      <c r="H199" s="212"/>
      <c r="I199" s="1"/>
      <c r="K199" s="30"/>
      <c r="L199" s="30"/>
      <c r="M199" s="1"/>
      <c r="N199" s="211"/>
      <c r="O199" s="211"/>
      <c r="P199" s="31"/>
      <c r="Q199" s="211"/>
      <c r="R199" s="211"/>
      <c r="S199" s="31"/>
      <c r="V199" s="1"/>
      <c r="W199" s="1"/>
      <c r="X199" s="1"/>
      <c r="Y199" s="30"/>
      <c r="Z199" s="211"/>
    </row>
    <row r="200" spans="2:26">
      <c r="B200" s="1"/>
      <c r="C200" s="28"/>
      <c r="D200" s="19"/>
      <c r="G200" s="29"/>
      <c r="H200" s="212"/>
      <c r="I200" s="1"/>
      <c r="K200" s="30"/>
      <c r="L200" s="30"/>
      <c r="M200" s="1"/>
      <c r="N200" s="211"/>
      <c r="O200" s="211"/>
      <c r="P200" s="31"/>
      <c r="Q200" s="211"/>
      <c r="R200" s="211"/>
      <c r="S200" s="31"/>
      <c r="V200" s="1"/>
      <c r="W200" s="1"/>
      <c r="X200" s="1"/>
      <c r="Y200" s="30"/>
      <c r="Z200" s="211"/>
    </row>
    <row r="201" spans="2:26">
      <c r="B201" s="1"/>
      <c r="C201" s="28"/>
      <c r="D201" s="19"/>
      <c r="G201" s="29"/>
      <c r="H201" s="212"/>
      <c r="I201" s="1"/>
      <c r="K201" s="30"/>
      <c r="L201" s="30"/>
      <c r="M201" s="1"/>
      <c r="N201" s="211"/>
      <c r="O201" s="211"/>
      <c r="P201" s="31"/>
      <c r="Q201" s="211"/>
      <c r="R201" s="211"/>
      <c r="S201" s="31"/>
      <c r="V201" s="1"/>
      <c r="W201" s="1"/>
      <c r="X201" s="1"/>
      <c r="Y201" s="30"/>
      <c r="Z201" s="211"/>
    </row>
    <row r="202" spans="2:26">
      <c r="B202" s="1"/>
      <c r="C202" s="28"/>
      <c r="D202" s="19"/>
      <c r="G202" s="29"/>
      <c r="H202" s="212"/>
      <c r="I202" s="1"/>
      <c r="K202" s="30"/>
      <c r="L202" s="30"/>
      <c r="M202" s="1"/>
      <c r="N202" s="211"/>
      <c r="O202" s="211"/>
      <c r="P202" s="31"/>
      <c r="Q202" s="211"/>
      <c r="R202" s="211"/>
      <c r="S202" s="31"/>
      <c r="V202" s="1"/>
      <c r="W202" s="1"/>
      <c r="X202" s="1"/>
      <c r="Y202" s="30"/>
      <c r="Z202" s="211"/>
    </row>
    <row r="203" spans="2:26">
      <c r="B203" s="1"/>
      <c r="C203" s="28"/>
      <c r="D203" s="19"/>
      <c r="G203" s="29"/>
      <c r="H203" s="212"/>
      <c r="I203" s="1"/>
      <c r="K203" s="30"/>
      <c r="L203" s="30"/>
      <c r="M203" s="1"/>
      <c r="N203" s="211"/>
      <c r="O203" s="211"/>
      <c r="P203" s="31"/>
      <c r="Q203" s="211"/>
      <c r="R203" s="211"/>
      <c r="S203" s="31"/>
      <c r="V203" s="1"/>
      <c r="W203" s="1"/>
      <c r="X203" s="1"/>
      <c r="Y203" s="30"/>
      <c r="Z203" s="211"/>
    </row>
    <row r="204" spans="2:26">
      <c r="B204" s="1"/>
      <c r="C204" s="28"/>
      <c r="D204" s="19"/>
      <c r="G204" s="29"/>
      <c r="H204" s="212"/>
      <c r="I204" s="1"/>
      <c r="K204" s="30"/>
      <c r="L204" s="30"/>
      <c r="M204" s="1"/>
      <c r="N204" s="211"/>
      <c r="O204" s="211"/>
      <c r="P204" s="31"/>
      <c r="Q204" s="211"/>
      <c r="R204" s="211"/>
      <c r="S204" s="31"/>
      <c r="V204" s="1"/>
      <c r="W204" s="1"/>
      <c r="X204" s="1"/>
      <c r="Y204" s="30"/>
      <c r="Z204" s="211"/>
    </row>
    <row r="205" spans="2:26">
      <c r="B205" s="1"/>
      <c r="C205" s="28"/>
      <c r="D205" s="19"/>
      <c r="G205" s="29"/>
      <c r="H205" s="212"/>
      <c r="I205" s="1"/>
      <c r="K205" s="30"/>
      <c r="L205" s="30"/>
      <c r="M205" s="1"/>
      <c r="N205" s="211"/>
      <c r="O205" s="211"/>
      <c r="P205" s="31"/>
      <c r="Q205" s="211"/>
      <c r="R205" s="211"/>
      <c r="S205" s="31"/>
      <c r="V205" s="1"/>
      <c r="W205" s="1"/>
      <c r="X205" s="1"/>
      <c r="Y205" s="30"/>
      <c r="Z205" s="211"/>
    </row>
    <row r="206" spans="2:26">
      <c r="B206" s="1"/>
      <c r="C206" s="28"/>
      <c r="D206" s="19"/>
      <c r="G206" s="29"/>
      <c r="H206" s="212"/>
      <c r="I206" s="1"/>
      <c r="K206" s="30"/>
      <c r="L206" s="30"/>
      <c r="M206" s="1"/>
      <c r="N206" s="211"/>
      <c r="O206" s="211"/>
      <c r="P206" s="31"/>
      <c r="Q206" s="211"/>
      <c r="R206" s="211"/>
      <c r="S206" s="31"/>
      <c r="V206" s="1"/>
      <c r="W206" s="1"/>
      <c r="X206" s="1"/>
      <c r="Y206" s="30"/>
      <c r="Z206" s="211"/>
    </row>
    <row r="207" spans="2:26">
      <c r="B207" s="1"/>
      <c r="C207" s="28"/>
      <c r="D207" s="19"/>
      <c r="G207" s="29"/>
      <c r="H207" s="212"/>
      <c r="I207" s="1"/>
      <c r="K207" s="30"/>
      <c r="L207" s="30"/>
      <c r="M207" s="1"/>
      <c r="N207" s="211"/>
      <c r="O207" s="211"/>
      <c r="P207" s="31"/>
      <c r="Q207" s="211"/>
      <c r="R207" s="211"/>
      <c r="S207" s="31"/>
      <c r="V207" s="1"/>
      <c r="W207" s="1"/>
      <c r="X207" s="1"/>
      <c r="Y207" s="30"/>
      <c r="Z207" s="211"/>
    </row>
    <row r="208" spans="2:26">
      <c r="B208" s="1"/>
      <c r="C208" s="28"/>
      <c r="D208" s="19"/>
      <c r="G208" s="29"/>
      <c r="H208" s="212"/>
      <c r="I208" s="1"/>
      <c r="K208" s="30"/>
      <c r="L208" s="30"/>
      <c r="M208" s="1"/>
      <c r="N208" s="211"/>
      <c r="O208" s="211"/>
      <c r="P208" s="31"/>
      <c r="Q208" s="211"/>
      <c r="R208" s="211"/>
      <c r="S208" s="31"/>
      <c r="V208" s="1"/>
      <c r="W208" s="1"/>
      <c r="X208" s="1"/>
      <c r="Y208" s="30"/>
      <c r="Z208" s="211"/>
    </row>
    <row r="209" spans="2:26">
      <c r="B209" s="1"/>
      <c r="C209" s="28"/>
      <c r="D209" s="19"/>
      <c r="G209" s="29"/>
      <c r="H209" s="212"/>
      <c r="I209" s="1"/>
      <c r="K209" s="30"/>
      <c r="L209" s="30"/>
      <c r="M209" s="1"/>
      <c r="N209" s="211"/>
      <c r="O209" s="211"/>
      <c r="P209" s="31"/>
      <c r="Q209" s="211"/>
      <c r="R209" s="211"/>
      <c r="S209" s="31"/>
      <c r="V209" s="1"/>
      <c r="W209" s="1"/>
      <c r="X209" s="1"/>
      <c r="Y209" s="30"/>
      <c r="Z209" s="211"/>
    </row>
    <row r="210" spans="2:26">
      <c r="B210" s="1"/>
      <c r="C210" s="28"/>
      <c r="D210" s="19"/>
      <c r="G210" s="29"/>
      <c r="H210" s="212"/>
      <c r="I210" s="1"/>
      <c r="K210" s="30"/>
      <c r="L210" s="30"/>
      <c r="M210" s="1"/>
      <c r="N210" s="211"/>
      <c r="O210" s="211"/>
      <c r="P210" s="31"/>
      <c r="Q210" s="211"/>
      <c r="R210" s="211"/>
      <c r="S210" s="31"/>
      <c r="V210" s="1"/>
      <c r="W210" s="1"/>
      <c r="X210" s="1"/>
      <c r="Y210" s="30"/>
      <c r="Z210" s="211"/>
    </row>
    <row r="211" spans="2:26">
      <c r="B211" s="1"/>
      <c r="C211" s="28"/>
      <c r="D211" s="19"/>
      <c r="G211" s="29"/>
      <c r="H211" s="212"/>
      <c r="I211" s="1"/>
      <c r="K211" s="30"/>
      <c r="L211" s="30"/>
      <c r="M211" s="1"/>
      <c r="N211" s="211"/>
      <c r="O211" s="211"/>
      <c r="P211" s="31"/>
      <c r="Q211" s="211"/>
      <c r="R211" s="211"/>
      <c r="S211" s="31"/>
      <c r="V211" s="1"/>
      <c r="W211" s="1"/>
      <c r="X211" s="1"/>
      <c r="Y211" s="30"/>
      <c r="Z211" s="211"/>
    </row>
    <row r="212" spans="2:26">
      <c r="B212" s="1"/>
      <c r="C212" s="28"/>
      <c r="D212" s="19"/>
      <c r="G212" s="29"/>
      <c r="H212" s="212"/>
      <c r="I212" s="1"/>
      <c r="K212" s="30"/>
      <c r="L212" s="30"/>
      <c r="M212" s="1"/>
      <c r="N212" s="211"/>
      <c r="O212" s="211"/>
      <c r="P212" s="31"/>
      <c r="Q212" s="211"/>
      <c r="R212" s="211"/>
      <c r="S212" s="31"/>
      <c r="V212" s="1"/>
      <c r="W212" s="1"/>
      <c r="X212" s="1"/>
      <c r="Y212" s="30"/>
      <c r="Z212" s="211"/>
    </row>
    <row r="213" spans="2:26">
      <c r="B213" s="1"/>
      <c r="C213" s="28"/>
      <c r="D213" s="19"/>
      <c r="G213" s="29"/>
      <c r="H213" s="212"/>
      <c r="I213" s="1"/>
      <c r="K213" s="30"/>
      <c r="L213" s="30"/>
      <c r="M213" s="1"/>
      <c r="N213" s="211"/>
      <c r="O213" s="211"/>
      <c r="P213" s="31"/>
      <c r="Q213" s="211"/>
      <c r="R213" s="211"/>
      <c r="S213" s="31"/>
      <c r="V213" s="1"/>
      <c r="W213" s="1"/>
      <c r="X213" s="1"/>
      <c r="Y213" s="30"/>
      <c r="Z213" s="211"/>
    </row>
    <row r="214" spans="2:26">
      <c r="B214" s="1"/>
      <c r="C214" s="28"/>
      <c r="D214" s="19"/>
      <c r="G214" s="29"/>
      <c r="H214" s="212"/>
      <c r="I214" s="1"/>
      <c r="K214" s="30"/>
      <c r="L214" s="30"/>
      <c r="M214" s="1"/>
      <c r="N214" s="211"/>
      <c r="O214" s="211"/>
      <c r="P214" s="31"/>
      <c r="Q214" s="211"/>
      <c r="R214" s="211"/>
      <c r="S214" s="31"/>
      <c r="V214" s="1"/>
      <c r="W214" s="1"/>
      <c r="X214" s="1"/>
      <c r="Y214" s="30"/>
      <c r="Z214" s="211"/>
    </row>
    <row r="215" spans="2:26">
      <c r="B215" s="1"/>
      <c r="C215" s="28"/>
      <c r="D215" s="19"/>
      <c r="G215" s="29"/>
      <c r="H215" s="212"/>
      <c r="I215" s="1"/>
      <c r="K215" s="30"/>
      <c r="L215" s="30"/>
      <c r="M215" s="1"/>
      <c r="N215" s="211"/>
      <c r="O215" s="211"/>
      <c r="P215" s="31"/>
      <c r="Q215" s="211"/>
      <c r="R215" s="211"/>
      <c r="S215" s="31"/>
      <c r="V215" s="1"/>
      <c r="W215" s="1"/>
      <c r="X215" s="1"/>
      <c r="Y215" s="30"/>
      <c r="Z215" s="211"/>
    </row>
    <row r="216" spans="2:26">
      <c r="B216" s="1"/>
      <c r="C216" s="28"/>
      <c r="D216" s="19"/>
      <c r="G216" s="29"/>
      <c r="H216" s="212"/>
      <c r="I216" s="1"/>
      <c r="K216" s="30"/>
      <c r="L216" s="30"/>
      <c r="M216" s="1"/>
      <c r="N216" s="211"/>
      <c r="O216" s="211"/>
      <c r="P216" s="31"/>
      <c r="Q216" s="211"/>
      <c r="R216" s="211"/>
      <c r="S216" s="31"/>
      <c r="V216" s="1"/>
      <c r="W216" s="1"/>
      <c r="X216" s="1"/>
      <c r="Y216" s="30"/>
      <c r="Z216" s="211"/>
    </row>
    <row r="217" spans="2:26">
      <c r="B217" s="1"/>
      <c r="C217" s="28"/>
      <c r="D217" s="19"/>
      <c r="G217" s="29"/>
      <c r="H217" s="212"/>
      <c r="I217" s="1"/>
      <c r="K217" s="30"/>
      <c r="L217" s="30"/>
      <c r="M217" s="1"/>
      <c r="N217" s="211"/>
      <c r="O217" s="211"/>
      <c r="P217" s="31"/>
      <c r="Q217" s="211"/>
      <c r="R217" s="211"/>
      <c r="S217" s="31"/>
      <c r="V217" s="1"/>
      <c r="W217" s="1"/>
      <c r="X217" s="1"/>
      <c r="Y217" s="30"/>
      <c r="Z217" s="211"/>
    </row>
    <row r="218" spans="2:26">
      <c r="B218" s="1"/>
      <c r="C218" s="28"/>
      <c r="D218" s="19"/>
      <c r="G218" s="29"/>
      <c r="H218" s="212"/>
      <c r="I218" s="1"/>
      <c r="K218" s="30"/>
      <c r="L218" s="30"/>
      <c r="M218" s="1"/>
      <c r="N218" s="211"/>
      <c r="O218" s="211"/>
      <c r="P218" s="31"/>
      <c r="Q218" s="211"/>
      <c r="R218" s="211"/>
      <c r="S218" s="31"/>
      <c r="V218" s="1"/>
      <c r="W218" s="1"/>
      <c r="X218" s="1"/>
      <c r="Y218" s="30"/>
      <c r="Z218" s="211"/>
    </row>
    <row r="219" spans="2:26">
      <c r="B219" s="1"/>
      <c r="C219" s="28"/>
      <c r="D219" s="19"/>
      <c r="G219" s="29"/>
      <c r="H219" s="212"/>
      <c r="I219" s="1"/>
      <c r="K219" s="30"/>
      <c r="L219" s="30"/>
      <c r="M219" s="1"/>
      <c r="N219" s="211"/>
      <c r="O219" s="211"/>
      <c r="P219" s="31"/>
      <c r="Q219" s="211"/>
      <c r="R219" s="211"/>
      <c r="S219" s="31"/>
      <c r="V219" s="1"/>
      <c r="W219" s="1"/>
      <c r="X219" s="1"/>
      <c r="Y219" s="30"/>
      <c r="Z219" s="211"/>
    </row>
    <row r="220" spans="2:26">
      <c r="B220" s="1"/>
      <c r="C220" s="28"/>
      <c r="D220" s="19"/>
      <c r="G220" s="29"/>
      <c r="H220" s="212"/>
      <c r="I220" s="1"/>
      <c r="K220" s="30"/>
      <c r="L220" s="30"/>
      <c r="M220" s="1"/>
      <c r="N220" s="211"/>
      <c r="O220" s="211"/>
      <c r="P220" s="31"/>
      <c r="Q220" s="211"/>
      <c r="R220" s="211"/>
      <c r="S220" s="31"/>
      <c r="V220" s="1"/>
      <c r="W220" s="1"/>
      <c r="X220" s="1"/>
      <c r="Y220" s="30"/>
      <c r="Z220" s="211"/>
    </row>
    <row r="221" spans="2:26">
      <c r="B221" s="1"/>
      <c r="C221" s="28"/>
      <c r="D221" s="19"/>
      <c r="G221" s="29"/>
      <c r="H221" s="212"/>
      <c r="I221" s="1"/>
      <c r="K221" s="30"/>
      <c r="L221" s="30"/>
      <c r="M221" s="1"/>
      <c r="N221" s="211"/>
      <c r="O221" s="211"/>
      <c r="P221" s="31"/>
      <c r="Q221" s="211"/>
      <c r="R221" s="211"/>
      <c r="S221" s="31"/>
      <c r="V221" s="1"/>
      <c r="W221" s="1"/>
      <c r="X221" s="1"/>
      <c r="Y221" s="30"/>
      <c r="Z221" s="211"/>
    </row>
    <row r="222" spans="2:26">
      <c r="B222" s="1"/>
      <c r="C222" s="28"/>
      <c r="D222" s="19"/>
      <c r="G222" s="29"/>
      <c r="H222" s="212"/>
      <c r="I222" s="1"/>
      <c r="K222" s="30"/>
      <c r="L222" s="30"/>
      <c r="M222" s="1"/>
      <c r="N222" s="211"/>
      <c r="O222" s="211"/>
      <c r="P222" s="31"/>
      <c r="Q222" s="211"/>
      <c r="R222" s="211"/>
      <c r="S222" s="31"/>
      <c r="V222" s="1"/>
      <c r="W222" s="1"/>
      <c r="X222" s="1"/>
      <c r="Y222" s="30"/>
      <c r="Z222" s="211"/>
    </row>
    <row r="223" spans="2:26">
      <c r="B223" s="1"/>
      <c r="C223" s="28"/>
      <c r="D223" s="19"/>
      <c r="G223" s="29"/>
      <c r="H223" s="212"/>
      <c r="I223" s="1"/>
      <c r="K223" s="30"/>
      <c r="L223" s="30"/>
      <c r="M223" s="1"/>
      <c r="N223" s="211"/>
      <c r="O223" s="211"/>
      <c r="P223" s="31"/>
      <c r="Q223" s="211"/>
      <c r="R223" s="211"/>
      <c r="S223" s="31"/>
      <c r="V223" s="1"/>
      <c r="W223" s="1"/>
      <c r="X223" s="1"/>
      <c r="Y223" s="30"/>
      <c r="Z223" s="211"/>
    </row>
    <row r="224" spans="2:26">
      <c r="B224" s="1"/>
      <c r="C224" s="28"/>
      <c r="D224" s="19"/>
      <c r="G224" s="29"/>
      <c r="H224" s="212"/>
      <c r="I224" s="1"/>
      <c r="K224" s="30"/>
      <c r="L224" s="30"/>
      <c r="M224" s="1"/>
      <c r="N224" s="211"/>
      <c r="O224" s="211"/>
      <c r="P224" s="31"/>
      <c r="Q224" s="211"/>
      <c r="R224" s="211"/>
      <c r="S224" s="31"/>
      <c r="V224" s="1"/>
      <c r="W224" s="1"/>
      <c r="X224" s="1"/>
      <c r="Y224" s="30"/>
      <c r="Z224" s="211"/>
    </row>
    <row r="225" spans="2:26">
      <c r="B225" s="1"/>
      <c r="C225" s="28"/>
      <c r="D225" s="19"/>
      <c r="G225" s="29"/>
      <c r="H225" s="212"/>
      <c r="I225" s="1"/>
      <c r="K225" s="30"/>
      <c r="L225" s="30"/>
      <c r="M225" s="1"/>
      <c r="N225" s="211"/>
      <c r="O225" s="211"/>
      <c r="P225" s="31"/>
      <c r="Q225" s="211"/>
      <c r="R225" s="211"/>
      <c r="S225" s="31"/>
      <c r="V225" s="1"/>
      <c r="W225" s="1"/>
      <c r="X225" s="1"/>
      <c r="Y225" s="30"/>
      <c r="Z225" s="211"/>
    </row>
    <row r="226" spans="2:26">
      <c r="B226" s="1"/>
      <c r="C226" s="28"/>
      <c r="D226" s="19"/>
      <c r="G226" s="29"/>
      <c r="H226" s="212"/>
      <c r="I226" s="1"/>
      <c r="K226" s="30"/>
      <c r="L226" s="30"/>
      <c r="M226" s="1"/>
      <c r="N226" s="211"/>
      <c r="O226" s="211"/>
      <c r="P226" s="31"/>
      <c r="Q226" s="211"/>
      <c r="R226" s="211"/>
      <c r="S226" s="31"/>
      <c r="V226" s="1"/>
      <c r="W226" s="1"/>
      <c r="X226" s="1"/>
      <c r="Y226" s="30"/>
      <c r="Z226" s="211"/>
    </row>
    <row r="227" spans="2:26">
      <c r="B227" s="1"/>
      <c r="C227" s="28"/>
      <c r="D227" s="19"/>
      <c r="G227" s="29"/>
      <c r="H227" s="212"/>
      <c r="I227" s="1"/>
      <c r="K227" s="30"/>
      <c r="L227" s="30"/>
      <c r="M227" s="1"/>
      <c r="N227" s="211"/>
      <c r="O227" s="211"/>
      <c r="P227" s="31"/>
      <c r="Q227" s="211"/>
      <c r="R227" s="211"/>
      <c r="S227" s="31"/>
      <c r="V227" s="1"/>
      <c r="W227" s="1"/>
      <c r="X227" s="1"/>
      <c r="Y227" s="30"/>
      <c r="Z227" s="211"/>
    </row>
    <row r="228" spans="2:26">
      <c r="B228" s="1"/>
      <c r="C228" s="28"/>
      <c r="D228" s="19"/>
      <c r="G228" s="29"/>
      <c r="H228" s="212"/>
      <c r="I228" s="1"/>
      <c r="K228" s="30"/>
      <c r="L228" s="30"/>
      <c r="M228" s="1"/>
      <c r="N228" s="211"/>
      <c r="O228" s="211"/>
      <c r="P228" s="31"/>
      <c r="Q228" s="211"/>
      <c r="R228" s="211"/>
      <c r="S228" s="31"/>
      <c r="V228" s="1"/>
      <c r="W228" s="1"/>
      <c r="X228" s="1"/>
      <c r="Y228" s="30"/>
      <c r="Z228" s="211"/>
    </row>
    <row r="229" spans="2:26">
      <c r="B229" s="1"/>
      <c r="C229" s="28"/>
      <c r="D229" s="19"/>
      <c r="G229" s="29"/>
      <c r="H229" s="212"/>
      <c r="I229" s="1"/>
      <c r="K229" s="30"/>
      <c r="L229" s="30"/>
      <c r="M229" s="1"/>
      <c r="N229" s="211"/>
      <c r="O229" s="211"/>
      <c r="P229" s="31"/>
      <c r="Q229" s="211"/>
      <c r="R229" s="211"/>
      <c r="S229" s="31"/>
      <c r="V229" s="1"/>
      <c r="W229" s="1"/>
      <c r="X229" s="1"/>
      <c r="Y229" s="30"/>
      <c r="Z229" s="211"/>
    </row>
    <row r="230" spans="2:26">
      <c r="B230" s="1"/>
      <c r="C230" s="28"/>
      <c r="D230" s="19"/>
      <c r="G230" s="29"/>
      <c r="H230" s="212"/>
      <c r="I230" s="1"/>
      <c r="K230" s="30"/>
      <c r="L230" s="30"/>
      <c r="M230" s="1"/>
      <c r="N230" s="211"/>
      <c r="O230" s="211"/>
      <c r="P230" s="31"/>
      <c r="Q230" s="211"/>
      <c r="R230" s="211"/>
      <c r="S230" s="31"/>
      <c r="V230" s="1"/>
      <c r="W230" s="1"/>
      <c r="X230" s="1"/>
      <c r="Y230" s="30"/>
      <c r="Z230" s="211"/>
    </row>
    <row r="231" spans="2:26">
      <c r="B231" s="1"/>
      <c r="C231" s="28"/>
      <c r="D231" s="19"/>
      <c r="G231" s="29"/>
      <c r="H231" s="212"/>
      <c r="I231" s="1"/>
      <c r="K231" s="30"/>
      <c r="L231" s="30"/>
      <c r="M231" s="1"/>
      <c r="N231" s="211"/>
      <c r="O231" s="211"/>
      <c r="P231" s="31"/>
      <c r="Q231" s="211"/>
      <c r="R231" s="211"/>
      <c r="S231" s="31"/>
      <c r="V231" s="1"/>
      <c r="W231" s="1"/>
      <c r="X231" s="1"/>
      <c r="Y231" s="30"/>
      <c r="Z231" s="211"/>
    </row>
    <row r="232" spans="2:26">
      <c r="B232" s="1"/>
      <c r="C232" s="28"/>
      <c r="D232" s="19"/>
      <c r="G232" s="29"/>
      <c r="H232" s="212"/>
      <c r="I232" s="1"/>
      <c r="K232" s="30"/>
      <c r="L232" s="30"/>
      <c r="M232" s="1"/>
      <c r="N232" s="211"/>
      <c r="O232" s="211"/>
      <c r="P232" s="31"/>
      <c r="Q232" s="211"/>
      <c r="R232" s="211"/>
      <c r="S232" s="31"/>
      <c r="V232" s="1"/>
      <c r="W232" s="1"/>
      <c r="X232" s="1"/>
      <c r="Y232" s="30"/>
      <c r="Z232" s="211"/>
    </row>
    <row r="233" spans="2:26">
      <c r="B233" s="1"/>
      <c r="C233" s="28"/>
      <c r="D233" s="19"/>
      <c r="G233" s="29"/>
      <c r="H233" s="212"/>
      <c r="I233" s="1"/>
      <c r="K233" s="30"/>
      <c r="L233" s="30"/>
      <c r="M233" s="1"/>
      <c r="N233" s="211"/>
      <c r="O233" s="211"/>
      <c r="P233" s="31"/>
      <c r="Q233" s="211"/>
      <c r="R233" s="211"/>
      <c r="S233" s="31"/>
      <c r="V233" s="1"/>
      <c r="W233" s="1"/>
      <c r="X233" s="1"/>
      <c r="Y233" s="30"/>
      <c r="Z233" s="211"/>
    </row>
    <row r="234" spans="2:26">
      <c r="B234" s="1"/>
      <c r="C234" s="28"/>
      <c r="D234" s="19"/>
      <c r="G234" s="29"/>
      <c r="H234" s="212"/>
      <c r="I234" s="1"/>
      <c r="K234" s="30"/>
      <c r="L234" s="30"/>
      <c r="M234" s="1"/>
      <c r="N234" s="211"/>
      <c r="O234" s="211"/>
      <c r="P234" s="31"/>
      <c r="Q234" s="211"/>
      <c r="R234" s="211"/>
      <c r="S234" s="31"/>
      <c r="V234" s="1"/>
      <c r="W234" s="1"/>
      <c r="X234" s="1"/>
      <c r="Y234" s="30"/>
      <c r="Z234" s="211"/>
    </row>
    <row r="235" spans="2:26">
      <c r="B235" s="1"/>
      <c r="C235" s="28"/>
      <c r="D235" s="19"/>
      <c r="G235" s="29"/>
      <c r="H235" s="212"/>
      <c r="I235" s="1"/>
      <c r="K235" s="30"/>
      <c r="L235" s="30"/>
      <c r="M235" s="1"/>
      <c r="N235" s="211"/>
      <c r="O235" s="211"/>
      <c r="P235" s="31"/>
      <c r="Q235" s="211"/>
      <c r="R235" s="211"/>
      <c r="S235" s="31"/>
      <c r="V235" s="1"/>
      <c r="W235" s="1"/>
      <c r="X235" s="1"/>
      <c r="Y235" s="30"/>
      <c r="Z235" s="211"/>
    </row>
    <row r="236" spans="2:26">
      <c r="B236" s="1"/>
      <c r="C236" s="28"/>
      <c r="D236" s="19"/>
      <c r="G236" s="29"/>
      <c r="H236" s="212"/>
      <c r="I236" s="1"/>
      <c r="K236" s="30"/>
      <c r="L236" s="30"/>
      <c r="M236" s="1"/>
      <c r="N236" s="211"/>
      <c r="O236" s="211"/>
      <c r="P236" s="31"/>
      <c r="Q236" s="211"/>
      <c r="R236" s="211"/>
      <c r="S236" s="31"/>
      <c r="V236" s="1"/>
      <c r="W236" s="1"/>
      <c r="X236" s="1"/>
      <c r="Y236" s="30"/>
      <c r="Z236" s="211"/>
    </row>
    <row r="237" spans="2:26">
      <c r="B237" s="1"/>
      <c r="C237" s="28"/>
      <c r="D237" s="19"/>
      <c r="G237" s="29"/>
      <c r="H237" s="212"/>
      <c r="I237" s="1"/>
      <c r="K237" s="30"/>
      <c r="L237" s="30"/>
      <c r="M237" s="1"/>
      <c r="N237" s="211"/>
      <c r="O237" s="211"/>
      <c r="P237" s="31"/>
      <c r="Q237" s="211"/>
      <c r="R237" s="211"/>
      <c r="S237" s="31"/>
      <c r="V237" s="1"/>
      <c r="W237" s="1"/>
      <c r="X237" s="1"/>
      <c r="Y237" s="30"/>
      <c r="Z237" s="211"/>
    </row>
    <row r="238" spans="2:26">
      <c r="B238" s="1"/>
      <c r="C238" s="28"/>
      <c r="D238" s="19"/>
      <c r="G238" s="29"/>
      <c r="H238" s="212"/>
      <c r="I238" s="1"/>
      <c r="K238" s="30"/>
      <c r="L238" s="30"/>
      <c r="M238" s="1"/>
      <c r="N238" s="211"/>
      <c r="O238" s="211"/>
      <c r="P238" s="31"/>
      <c r="Q238" s="211"/>
      <c r="R238" s="211"/>
      <c r="S238" s="31"/>
      <c r="V238" s="1"/>
      <c r="W238" s="1"/>
      <c r="X238" s="1"/>
      <c r="Y238" s="30"/>
      <c r="Z238" s="211"/>
    </row>
    <row r="239" spans="2:26">
      <c r="B239" s="1"/>
      <c r="C239" s="28"/>
      <c r="D239" s="19"/>
      <c r="G239" s="29"/>
      <c r="H239" s="212"/>
      <c r="I239" s="1"/>
      <c r="K239" s="30"/>
      <c r="L239" s="30"/>
      <c r="M239" s="1"/>
      <c r="N239" s="211"/>
      <c r="O239" s="211"/>
      <c r="P239" s="31"/>
      <c r="Q239" s="211"/>
      <c r="R239" s="211"/>
      <c r="S239" s="31"/>
      <c r="V239" s="1"/>
      <c r="W239" s="1"/>
      <c r="X239" s="1"/>
      <c r="Y239" s="30"/>
      <c r="Z239" s="211"/>
    </row>
    <row r="240" spans="2:26">
      <c r="B240" s="1"/>
      <c r="C240" s="28"/>
      <c r="D240" s="19"/>
      <c r="G240" s="29"/>
      <c r="H240" s="212"/>
      <c r="I240" s="1"/>
      <c r="K240" s="30"/>
      <c r="L240" s="30"/>
      <c r="M240" s="1"/>
      <c r="N240" s="211"/>
      <c r="O240" s="211"/>
      <c r="P240" s="31"/>
      <c r="Q240" s="211"/>
      <c r="R240" s="211"/>
      <c r="S240" s="31"/>
      <c r="V240" s="1"/>
      <c r="W240" s="1"/>
      <c r="X240" s="1"/>
      <c r="Y240" s="30"/>
      <c r="Z240" s="211"/>
    </row>
    <row r="241" spans="2:26">
      <c r="B241" s="1"/>
      <c r="C241" s="28"/>
      <c r="D241" s="19"/>
      <c r="G241" s="29"/>
      <c r="H241" s="212"/>
      <c r="I241" s="1"/>
      <c r="K241" s="30"/>
      <c r="L241" s="30"/>
      <c r="M241" s="1"/>
      <c r="N241" s="211"/>
      <c r="O241" s="211"/>
      <c r="P241" s="31"/>
      <c r="Q241" s="211"/>
      <c r="R241" s="211"/>
      <c r="S241" s="31"/>
      <c r="V241" s="1"/>
      <c r="W241" s="1"/>
      <c r="X241" s="1"/>
      <c r="Y241" s="30"/>
      <c r="Z241" s="211"/>
    </row>
    <row r="242" spans="2:26">
      <c r="B242" s="1"/>
      <c r="C242" s="28"/>
      <c r="D242" s="19"/>
      <c r="G242" s="29"/>
      <c r="H242" s="212"/>
      <c r="I242" s="1"/>
      <c r="K242" s="30"/>
      <c r="L242" s="30"/>
      <c r="M242" s="1"/>
      <c r="N242" s="211"/>
      <c r="O242" s="211"/>
      <c r="P242" s="31"/>
      <c r="Q242" s="211"/>
      <c r="R242" s="211"/>
      <c r="S242" s="31"/>
      <c r="V242" s="1"/>
      <c r="W242" s="1"/>
      <c r="X242" s="1"/>
      <c r="Y242" s="30"/>
      <c r="Z242" s="211"/>
    </row>
    <row r="243" spans="2:26">
      <c r="B243" s="1"/>
      <c r="C243" s="28"/>
      <c r="D243" s="19"/>
      <c r="G243" s="29"/>
      <c r="H243" s="212"/>
      <c r="I243" s="1"/>
      <c r="K243" s="30"/>
      <c r="L243" s="30"/>
      <c r="M243" s="1"/>
      <c r="N243" s="211"/>
      <c r="O243" s="211"/>
      <c r="P243" s="31"/>
      <c r="Q243" s="211"/>
      <c r="R243" s="211"/>
      <c r="S243" s="31"/>
      <c r="V243" s="1"/>
      <c r="W243" s="1"/>
      <c r="X243" s="1"/>
      <c r="Y243" s="30"/>
      <c r="Z243" s="211"/>
    </row>
    <row r="244" spans="2:26">
      <c r="B244" s="1"/>
      <c r="C244" s="28"/>
      <c r="D244" s="19"/>
      <c r="G244" s="29"/>
      <c r="H244" s="212"/>
      <c r="I244" s="1"/>
      <c r="K244" s="30"/>
      <c r="L244" s="30"/>
      <c r="M244" s="1"/>
      <c r="N244" s="211"/>
      <c r="O244" s="211"/>
      <c r="P244" s="31"/>
      <c r="Q244" s="211"/>
      <c r="R244" s="211"/>
      <c r="S244" s="31"/>
      <c r="V244" s="1"/>
      <c r="W244" s="1"/>
      <c r="X244" s="1"/>
      <c r="Y244" s="30"/>
      <c r="Z244" s="211"/>
    </row>
    <row r="245" spans="2:26">
      <c r="B245" s="1"/>
      <c r="C245" s="28"/>
      <c r="D245" s="19"/>
      <c r="G245" s="29"/>
      <c r="H245" s="212"/>
      <c r="I245" s="1"/>
      <c r="K245" s="30"/>
      <c r="L245" s="30"/>
      <c r="M245" s="1"/>
      <c r="N245" s="211"/>
      <c r="O245" s="211"/>
      <c r="P245" s="31"/>
      <c r="Q245" s="211"/>
      <c r="R245" s="211"/>
      <c r="S245" s="31"/>
      <c r="V245" s="1"/>
      <c r="W245" s="1"/>
      <c r="X245" s="1"/>
      <c r="Y245" s="30"/>
      <c r="Z245" s="211"/>
    </row>
    <row r="246" spans="2:26">
      <c r="B246" s="1"/>
      <c r="C246" s="28"/>
      <c r="D246" s="19"/>
      <c r="G246" s="29"/>
      <c r="H246" s="212"/>
      <c r="I246" s="1"/>
      <c r="K246" s="30"/>
      <c r="L246" s="30"/>
      <c r="M246" s="1"/>
      <c r="N246" s="211"/>
      <c r="O246" s="211"/>
      <c r="P246" s="31"/>
      <c r="Q246" s="211"/>
      <c r="R246" s="211"/>
      <c r="S246" s="31"/>
      <c r="V246" s="1"/>
      <c r="W246" s="1"/>
      <c r="X246" s="1"/>
      <c r="Y246" s="30"/>
      <c r="Z246" s="211"/>
    </row>
    <row r="247" spans="2:26">
      <c r="B247" s="1"/>
      <c r="C247" s="28"/>
      <c r="D247" s="19"/>
      <c r="G247" s="29"/>
      <c r="H247" s="212"/>
      <c r="I247" s="1"/>
      <c r="K247" s="30"/>
      <c r="L247" s="30"/>
      <c r="M247" s="1"/>
      <c r="N247" s="211"/>
      <c r="O247" s="211"/>
      <c r="P247" s="31"/>
      <c r="Q247" s="211"/>
      <c r="R247" s="211"/>
      <c r="S247" s="31"/>
      <c r="V247" s="1"/>
      <c r="W247" s="1"/>
      <c r="X247" s="1"/>
      <c r="Y247" s="30"/>
      <c r="Z247" s="211"/>
    </row>
    <row r="248" spans="2:26">
      <c r="B248" s="1"/>
      <c r="C248" s="28"/>
      <c r="D248" s="19"/>
      <c r="G248" s="29"/>
      <c r="H248" s="212"/>
      <c r="I248" s="1"/>
      <c r="K248" s="30"/>
      <c r="L248" s="30"/>
      <c r="M248" s="1"/>
      <c r="N248" s="211"/>
      <c r="O248" s="211"/>
      <c r="P248" s="31"/>
      <c r="Q248" s="211"/>
      <c r="R248" s="211"/>
      <c r="S248" s="31"/>
      <c r="V248" s="1"/>
      <c r="W248" s="1"/>
      <c r="X248" s="1"/>
      <c r="Y248" s="30"/>
      <c r="Z248" s="211"/>
    </row>
    <row r="249" spans="2:26">
      <c r="B249" s="1"/>
      <c r="C249" s="28"/>
      <c r="D249" s="19"/>
      <c r="G249" s="29"/>
      <c r="H249" s="212"/>
      <c r="I249" s="1"/>
      <c r="K249" s="30"/>
      <c r="L249" s="30"/>
      <c r="M249" s="1"/>
      <c r="N249" s="211"/>
      <c r="O249" s="211"/>
      <c r="P249" s="31"/>
      <c r="Q249" s="211"/>
      <c r="R249" s="211"/>
      <c r="S249" s="31"/>
      <c r="V249" s="1"/>
      <c r="W249" s="1"/>
      <c r="X249" s="1"/>
      <c r="Y249" s="30"/>
      <c r="Z249" s="211"/>
    </row>
    <row r="250" spans="2:26">
      <c r="B250" s="1"/>
      <c r="C250" s="28"/>
      <c r="D250" s="19"/>
      <c r="G250" s="29"/>
      <c r="H250" s="212"/>
      <c r="I250" s="1"/>
      <c r="K250" s="30"/>
      <c r="L250" s="30"/>
      <c r="M250" s="1"/>
      <c r="N250" s="211"/>
      <c r="O250" s="211"/>
      <c r="P250" s="31"/>
      <c r="Q250" s="211"/>
      <c r="R250" s="211"/>
      <c r="S250" s="31"/>
      <c r="V250" s="1"/>
      <c r="W250" s="1"/>
      <c r="X250" s="1"/>
      <c r="Y250" s="30"/>
      <c r="Z250" s="211"/>
    </row>
    <row r="251" spans="2:26">
      <c r="B251" s="1"/>
      <c r="C251" s="28"/>
      <c r="D251" s="19"/>
      <c r="G251" s="29"/>
      <c r="H251" s="212"/>
      <c r="I251" s="1"/>
      <c r="K251" s="30"/>
      <c r="L251" s="30"/>
      <c r="M251" s="1"/>
      <c r="N251" s="211"/>
      <c r="O251" s="211"/>
      <c r="P251" s="31"/>
      <c r="Q251" s="211"/>
      <c r="R251" s="211"/>
      <c r="S251" s="31"/>
      <c r="V251" s="1"/>
      <c r="W251" s="1"/>
      <c r="X251" s="1"/>
      <c r="Y251" s="30"/>
      <c r="Z251" s="211"/>
    </row>
    <row r="252" spans="2:26">
      <c r="B252" s="1"/>
      <c r="C252" s="28"/>
      <c r="D252" s="19"/>
      <c r="G252" s="29"/>
      <c r="H252" s="212"/>
      <c r="I252" s="1"/>
      <c r="K252" s="30"/>
      <c r="L252" s="30"/>
      <c r="M252" s="1"/>
      <c r="N252" s="211"/>
      <c r="O252" s="211"/>
      <c r="P252" s="31"/>
      <c r="Q252" s="211"/>
      <c r="R252" s="211"/>
      <c r="S252" s="31"/>
      <c r="V252" s="1"/>
      <c r="W252" s="1"/>
      <c r="X252" s="1"/>
      <c r="Y252" s="30"/>
      <c r="Z252" s="211"/>
    </row>
    <row r="253" spans="2:26">
      <c r="B253" s="1"/>
      <c r="C253" s="28"/>
      <c r="D253" s="19"/>
      <c r="G253" s="29"/>
      <c r="H253" s="212"/>
      <c r="I253" s="1"/>
      <c r="K253" s="30"/>
      <c r="L253" s="30"/>
      <c r="M253" s="1"/>
      <c r="N253" s="211"/>
      <c r="O253" s="211"/>
      <c r="P253" s="31"/>
      <c r="Q253" s="211"/>
      <c r="R253" s="211"/>
      <c r="S253" s="31"/>
      <c r="V253" s="1"/>
      <c r="W253" s="1"/>
      <c r="X253" s="1"/>
      <c r="Y253" s="30"/>
      <c r="Z253" s="211"/>
    </row>
    <row r="254" spans="2:26">
      <c r="B254" s="1"/>
      <c r="C254" s="28"/>
      <c r="D254" s="19"/>
      <c r="G254" s="29"/>
      <c r="H254" s="212"/>
      <c r="I254" s="1"/>
      <c r="K254" s="30"/>
      <c r="L254" s="30"/>
      <c r="M254" s="1"/>
      <c r="N254" s="211"/>
      <c r="O254" s="211"/>
      <c r="P254" s="31"/>
      <c r="Q254" s="211"/>
      <c r="R254" s="211"/>
      <c r="S254" s="31"/>
      <c r="V254" s="1"/>
      <c r="W254" s="1"/>
      <c r="X254" s="1"/>
      <c r="Y254" s="30"/>
      <c r="Z254" s="211"/>
    </row>
    <row r="255" spans="2:26">
      <c r="B255" s="1"/>
      <c r="C255" s="28"/>
      <c r="D255" s="19"/>
      <c r="G255" s="29"/>
      <c r="H255" s="212"/>
      <c r="I255" s="1"/>
      <c r="K255" s="30"/>
      <c r="L255" s="30"/>
      <c r="M255" s="1"/>
      <c r="N255" s="211"/>
      <c r="O255" s="211"/>
      <c r="P255" s="31"/>
      <c r="Q255" s="211"/>
      <c r="R255" s="211"/>
      <c r="S255" s="31"/>
      <c r="V255" s="1"/>
      <c r="W255" s="1"/>
      <c r="X255" s="1"/>
      <c r="Y255" s="30"/>
      <c r="Z255" s="211"/>
    </row>
    <row r="256" spans="2:26">
      <c r="B256" s="1"/>
      <c r="C256" s="28"/>
      <c r="D256" s="19"/>
      <c r="G256" s="29"/>
      <c r="H256" s="212"/>
      <c r="I256" s="1"/>
      <c r="K256" s="30"/>
      <c r="L256" s="30"/>
      <c r="M256" s="1"/>
      <c r="N256" s="211"/>
      <c r="O256" s="211"/>
      <c r="P256" s="31"/>
      <c r="Q256" s="211"/>
      <c r="R256" s="211"/>
      <c r="S256" s="31"/>
      <c r="V256" s="1"/>
      <c r="W256" s="1"/>
      <c r="X256" s="1"/>
      <c r="Y256" s="30"/>
      <c r="Z256" s="211"/>
    </row>
    <row r="257" spans="2:26">
      <c r="B257" s="1"/>
      <c r="C257" s="28"/>
      <c r="D257" s="19"/>
      <c r="G257" s="29"/>
      <c r="H257" s="212"/>
      <c r="I257" s="1"/>
      <c r="K257" s="30"/>
      <c r="L257" s="30"/>
      <c r="M257" s="1"/>
      <c r="N257" s="211"/>
      <c r="O257" s="211"/>
      <c r="P257" s="31"/>
      <c r="Q257" s="211"/>
      <c r="R257" s="211"/>
      <c r="S257" s="31"/>
      <c r="V257" s="1"/>
      <c r="W257" s="1"/>
      <c r="X257" s="1"/>
      <c r="Y257" s="30"/>
      <c r="Z257" s="211"/>
    </row>
    <row r="258" spans="2:26">
      <c r="B258" s="1"/>
      <c r="C258" s="28"/>
      <c r="D258" s="19"/>
      <c r="G258" s="29"/>
      <c r="H258" s="212"/>
      <c r="I258" s="1"/>
      <c r="K258" s="30"/>
      <c r="L258" s="30"/>
      <c r="M258" s="1"/>
      <c r="N258" s="211"/>
      <c r="O258" s="211"/>
      <c r="P258" s="31"/>
      <c r="Q258" s="211"/>
      <c r="R258" s="211"/>
      <c r="S258" s="31"/>
      <c r="V258" s="1"/>
      <c r="W258" s="1"/>
      <c r="X258" s="1"/>
      <c r="Y258" s="30"/>
      <c r="Z258" s="211"/>
    </row>
    <row r="259" spans="2:26">
      <c r="B259" s="1"/>
      <c r="C259" s="28"/>
      <c r="D259" s="19"/>
      <c r="G259" s="29"/>
      <c r="H259" s="212"/>
      <c r="I259" s="1"/>
      <c r="K259" s="30"/>
      <c r="L259" s="30"/>
      <c r="M259" s="1"/>
      <c r="N259" s="211"/>
      <c r="O259" s="211"/>
      <c r="P259" s="31"/>
      <c r="Q259" s="211"/>
      <c r="R259" s="211"/>
      <c r="S259" s="31"/>
      <c r="V259" s="1"/>
      <c r="W259" s="1"/>
      <c r="X259" s="1"/>
      <c r="Y259" s="30"/>
      <c r="Z259" s="211"/>
    </row>
    <row r="260" spans="2:26">
      <c r="B260" s="1"/>
      <c r="C260" s="28"/>
      <c r="D260" s="19"/>
      <c r="G260" s="29"/>
      <c r="H260" s="212"/>
      <c r="I260" s="1"/>
      <c r="K260" s="30"/>
      <c r="L260" s="30"/>
      <c r="M260" s="1"/>
      <c r="N260" s="211"/>
      <c r="O260" s="211"/>
      <c r="P260" s="31"/>
      <c r="Q260" s="211"/>
      <c r="R260" s="211"/>
      <c r="S260" s="31"/>
      <c r="V260" s="1"/>
      <c r="W260" s="1"/>
      <c r="X260" s="1"/>
      <c r="Y260" s="30"/>
      <c r="Z260" s="211"/>
    </row>
    <row r="261" spans="2:26">
      <c r="B261" s="1"/>
      <c r="C261" s="28"/>
      <c r="D261" s="19"/>
      <c r="G261" s="29"/>
      <c r="H261" s="212"/>
      <c r="I261" s="1"/>
      <c r="K261" s="30"/>
      <c r="L261" s="30"/>
      <c r="M261" s="1"/>
      <c r="N261" s="211"/>
      <c r="O261" s="211"/>
      <c r="P261" s="31"/>
      <c r="Q261" s="211"/>
      <c r="R261" s="211"/>
      <c r="S261" s="31"/>
      <c r="V261" s="1"/>
      <c r="W261" s="1"/>
      <c r="X261" s="1"/>
      <c r="Y261" s="30"/>
      <c r="Z261" s="211"/>
    </row>
    <row r="262" spans="2:26">
      <c r="B262" s="1"/>
      <c r="C262" s="28"/>
      <c r="D262" s="19"/>
      <c r="G262" s="29"/>
      <c r="H262" s="212"/>
      <c r="I262" s="1"/>
      <c r="K262" s="30"/>
      <c r="L262" s="30"/>
      <c r="M262" s="1"/>
      <c r="N262" s="211"/>
      <c r="O262" s="211"/>
      <c r="P262" s="31"/>
      <c r="Q262" s="211"/>
      <c r="R262" s="211"/>
      <c r="S262" s="31"/>
      <c r="V262" s="1"/>
      <c r="W262" s="1"/>
      <c r="X262" s="1"/>
      <c r="Y262" s="30"/>
      <c r="Z262" s="211"/>
    </row>
    <row r="263" spans="2:26">
      <c r="B263" s="1"/>
      <c r="C263" s="28"/>
      <c r="D263" s="19"/>
      <c r="G263" s="29"/>
      <c r="H263" s="212"/>
      <c r="I263" s="1"/>
      <c r="K263" s="30"/>
      <c r="L263" s="30"/>
      <c r="M263" s="1"/>
      <c r="N263" s="211"/>
      <c r="O263" s="211"/>
      <c r="P263" s="31"/>
      <c r="Q263" s="211"/>
      <c r="R263" s="211"/>
      <c r="S263" s="31"/>
      <c r="V263" s="1"/>
      <c r="W263" s="1"/>
      <c r="X263" s="1"/>
      <c r="Y263" s="30"/>
      <c r="Z263" s="211"/>
    </row>
    <row r="264" spans="2:26">
      <c r="B264" s="1"/>
      <c r="C264" s="28"/>
      <c r="D264" s="19"/>
      <c r="G264" s="29"/>
      <c r="H264" s="212"/>
      <c r="I264" s="1"/>
      <c r="K264" s="30"/>
      <c r="L264" s="30"/>
      <c r="M264" s="1"/>
      <c r="N264" s="211"/>
      <c r="O264" s="211"/>
      <c r="P264" s="31"/>
      <c r="Q264" s="211"/>
      <c r="R264" s="211"/>
      <c r="S264" s="31"/>
      <c r="V264" s="1"/>
      <c r="W264" s="1"/>
      <c r="X264" s="1"/>
      <c r="Y264" s="30"/>
      <c r="Z264" s="211"/>
    </row>
    <row r="265" spans="2:26">
      <c r="B265" s="1"/>
      <c r="C265" s="28"/>
      <c r="D265" s="19"/>
      <c r="G265" s="29"/>
      <c r="H265" s="212"/>
      <c r="I265" s="1"/>
      <c r="K265" s="30"/>
      <c r="L265" s="30"/>
      <c r="M265" s="1"/>
      <c r="N265" s="211"/>
      <c r="O265" s="211"/>
      <c r="P265" s="31"/>
      <c r="Q265" s="211"/>
      <c r="R265" s="211"/>
      <c r="S265" s="31"/>
      <c r="V265" s="1"/>
      <c r="W265" s="1"/>
      <c r="X265" s="1"/>
      <c r="Y265" s="30"/>
      <c r="Z265" s="211"/>
    </row>
    <row r="266" spans="2:26">
      <c r="B266" s="1"/>
      <c r="C266" s="28"/>
      <c r="D266" s="19"/>
      <c r="G266" s="29"/>
      <c r="H266" s="212"/>
      <c r="I266" s="1"/>
      <c r="K266" s="30"/>
      <c r="L266" s="30"/>
      <c r="M266" s="1"/>
      <c r="N266" s="211"/>
      <c r="O266" s="211"/>
      <c r="P266" s="31"/>
      <c r="Q266" s="211"/>
      <c r="R266" s="211"/>
      <c r="S266" s="31"/>
      <c r="V266" s="1"/>
      <c r="W266" s="1"/>
      <c r="X266" s="1"/>
      <c r="Y266" s="30"/>
      <c r="Z266" s="211"/>
    </row>
    <row r="267" spans="2:26">
      <c r="B267" s="1"/>
      <c r="C267" s="28"/>
      <c r="D267" s="19"/>
      <c r="G267" s="29"/>
      <c r="H267" s="212"/>
      <c r="I267" s="1"/>
      <c r="K267" s="30"/>
      <c r="L267" s="30"/>
      <c r="M267" s="1"/>
      <c r="N267" s="211"/>
      <c r="O267" s="211"/>
      <c r="P267" s="31"/>
      <c r="Q267" s="211"/>
      <c r="R267" s="211"/>
      <c r="S267" s="31"/>
      <c r="V267" s="1"/>
      <c r="W267" s="1"/>
      <c r="X267" s="1"/>
      <c r="Y267" s="30"/>
      <c r="Z267" s="211"/>
    </row>
    <row r="268" spans="2:26">
      <c r="B268" s="1"/>
      <c r="C268" s="28"/>
      <c r="D268" s="19"/>
      <c r="G268" s="29"/>
      <c r="H268" s="212"/>
      <c r="I268" s="1"/>
      <c r="K268" s="30"/>
      <c r="L268" s="30"/>
      <c r="M268" s="1"/>
      <c r="N268" s="211"/>
      <c r="O268" s="211"/>
      <c r="P268" s="31"/>
      <c r="Q268" s="211"/>
      <c r="R268" s="211"/>
      <c r="S268" s="31"/>
      <c r="V268" s="1"/>
      <c r="W268" s="1"/>
      <c r="X268" s="1"/>
      <c r="Y268" s="30"/>
      <c r="Z268" s="211"/>
    </row>
    <row r="269" spans="2:26">
      <c r="B269" s="1"/>
      <c r="C269" s="28"/>
      <c r="D269" s="19"/>
      <c r="G269" s="29"/>
      <c r="H269" s="212"/>
      <c r="I269" s="1"/>
      <c r="K269" s="30"/>
      <c r="L269" s="30"/>
      <c r="M269" s="1"/>
      <c r="N269" s="211"/>
      <c r="O269" s="211"/>
      <c r="P269" s="31"/>
      <c r="Q269" s="211"/>
      <c r="R269" s="211"/>
      <c r="S269" s="31"/>
      <c r="V269" s="1"/>
      <c r="W269" s="1"/>
      <c r="X269" s="1"/>
      <c r="Y269" s="30"/>
      <c r="Z269" s="211"/>
    </row>
    <row r="270" spans="2:26">
      <c r="B270" s="1"/>
      <c r="C270" s="28"/>
      <c r="D270" s="19"/>
      <c r="G270" s="29"/>
      <c r="H270" s="212"/>
      <c r="I270" s="1"/>
      <c r="K270" s="30"/>
      <c r="L270" s="30"/>
      <c r="M270" s="1"/>
      <c r="N270" s="211"/>
      <c r="O270" s="211"/>
      <c r="P270" s="31"/>
      <c r="Q270" s="211"/>
      <c r="R270" s="211"/>
      <c r="S270" s="31"/>
      <c r="V270" s="1"/>
      <c r="W270" s="1"/>
      <c r="X270" s="1"/>
      <c r="Y270" s="30"/>
      <c r="Z270" s="211"/>
    </row>
    <row r="271" spans="2:26">
      <c r="B271" s="1"/>
      <c r="C271" s="28"/>
      <c r="D271" s="19"/>
      <c r="G271" s="29"/>
      <c r="H271" s="212"/>
      <c r="I271" s="1"/>
      <c r="K271" s="30"/>
      <c r="L271" s="30"/>
      <c r="M271" s="1"/>
      <c r="N271" s="211"/>
      <c r="O271" s="211"/>
      <c r="P271" s="31"/>
      <c r="Q271" s="211"/>
      <c r="R271" s="211"/>
      <c r="S271" s="31"/>
      <c r="V271" s="1"/>
      <c r="W271" s="1"/>
      <c r="X271" s="1"/>
      <c r="Y271" s="30"/>
      <c r="Z271" s="211"/>
    </row>
    <row r="272" spans="2:26">
      <c r="B272" s="1"/>
      <c r="C272" s="28"/>
      <c r="D272" s="19"/>
      <c r="G272" s="29"/>
      <c r="H272" s="212"/>
      <c r="I272" s="1"/>
      <c r="K272" s="30"/>
      <c r="L272" s="30"/>
      <c r="M272" s="1"/>
      <c r="N272" s="211"/>
      <c r="O272" s="211"/>
      <c r="P272" s="31"/>
      <c r="Q272" s="211"/>
      <c r="R272" s="211"/>
      <c r="S272" s="31"/>
      <c r="V272" s="1"/>
      <c r="W272" s="1"/>
      <c r="X272" s="1"/>
      <c r="Y272" s="30"/>
      <c r="Z272" s="211"/>
    </row>
    <row r="273" spans="2:26">
      <c r="B273" s="1"/>
      <c r="C273" s="28"/>
      <c r="D273" s="19"/>
      <c r="G273" s="29"/>
      <c r="H273" s="212"/>
      <c r="I273" s="1"/>
      <c r="K273" s="30"/>
      <c r="L273" s="30"/>
      <c r="M273" s="1"/>
      <c r="N273" s="211"/>
      <c r="O273" s="211"/>
      <c r="P273" s="31"/>
      <c r="Q273" s="211"/>
      <c r="R273" s="211"/>
      <c r="S273" s="31"/>
      <c r="V273" s="1"/>
      <c r="W273" s="1"/>
      <c r="X273" s="1"/>
      <c r="Y273" s="30"/>
      <c r="Z273" s="211"/>
    </row>
    <row r="274" spans="2:26">
      <c r="B274" s="1"/>
      <c r="C274" s="28"/>
      <c r="D274" s="19"/>
      <c r="G274" s="29"/>
      <c r="H274" s="212"/>
      <c r="I274" s="1"/>
      <c r="K274" s="30"/>
      <c r="L274" s="30"/>
      <c r="M274" s="1"/>
      <c r="N274" s="211"/>
      <c r="O274" s="211"/>
      <c r="P274" s="31"/>
      <c r="Q274" s="211"/>
      <c r="R274" s="211"/>
      <c r="S274" s="31"/>
      <c r="V274" s="1"/>
      <c r="W274" s="1"/>
      <c r="X274" s="1"/>
      <c r="Y274" s="30"/>
      <c r="Z274" s="211"/>
    </row>
    <row r="275" spans="2:26">
      <c r="B275" s="1"/>
      <c r="C275" s="28"/>
      <c r="D275" s="19"/>
      <c r="G275" s="29"/>
      <c r="H275" s="212"/>
      <c r="I275" s="1"/>
      <c r="K275" s="30"/>
      <c r="L275" s="30"/>
      <c r="M275" s="1"/>
      <c r="N275" s="211"/>
      <c r="O275" s="211"/>
      <c r="P275" s="31"/>
      <c r="Q275" s="211"/>
      <c r="R275" s="211"/>
      <c r="S275" s="31"/>
      <c r="V275" s="1"/>
      <c r="W275" s="1"/>
      <c r="X275" s="1"/>
      <c r="Y275" s="30"/>
      <c r="Z275" s="211"/>
    </row>
    <row r="276" spans="2:26">
      <c r="B276" s="1"/>
      <c r="C276" s="28"/>
      <c r="D276" s="19"/>
      <c r="G276" s="29"/>
      <c r="H276" s="212"/>
      <c r="I276" s="1"/>
      <c r="K276" s="30"/>
      <c r="L276" s="30"/>
      <c r="M276" s="1"/>
      <c r="N276" s="211"/>
      <c r="O276" s="211"/>
      <c r="P276" s="31"/>
      <c r="Q276" s="211"/>
      <c r="R276" s="211"/>
      <c r="S276" s="31"/>
      <c r="V276" s="1"/>
      <c r="W276" s="1"/>
      <c r="X276" s="1"/>
      <c r="Y276" s="30"/>
      <c r="Z276" s="211"/>
    </row>
    <row r="277" spans="2:26">
      <c r="B277" s="1"/>
      <c r="C277" s="28"/>
      <c r="D277" s="19"/>
      <c r="G277" s="29"/>
      <c r="H277" s="212"/>
      <c r="I277" s="1"/>
      <c r="K277" s="30"/>
      <c r="L277" s="30"/>
      <c r="M277" s="1"/>
      <c r="N277" s="211"/>
      <c r="O277" s="211"/>
      <c r="P277" s="31"/>
      <c r="Q277" s="211"/>
      <c r="R277" s="211"/>
      <c r="S277" s="31"/>
      <c r="V277" s="1"/>
      <c r="W277" s="1"/>
      <c r="X277" s="1"/>
      <c r="Y277" s="30"/>
      <c r="Z277" s="211"/>
    </row>
    <row r="278" spans="2:26">
      <c r="B278" s="1"/>
      <c r="C278" s="28"/>
      <c r="D278" s="19"/>
      <c r="G278" s="29"/>
      <c r="H278" s="212"/>
      <c r="I278" s="1"/>
      <c r="K278" s="30"/>
      <c r="L278" s="30"/>
      <c r="M278" s="1"/>
      <c r="N278" s="211"/>
      <c r="O278" s="211"/>
      <c r="P278" s="31"/>
      <c r="Q278" s="211"/>
      <c r="R278" s="211"/>
      <c r="S278" s="31"/>
      <c r="V278" s="1"/>
      <c r="W278" s="1"/>
      <c r="X278" s="1"/>
      <c r="Y278" s="30"/>
      <c r="Z278" s="211"/>
    </row>
    <row r="279" spans="2:26">
      <c r="B279" s="1"/>
      <c r="C279" s="28"/>
      <c r="D279" s="19"/>
      <c r="G279" s="29"/>
      <c r="H279" s="212"/>
      <c r="I279" s="1"/>
      <c r="K279" s="30"/>
      <c r="L279" s="30"/>
      <c r="M279" s="1"/>
      <c r="N279" s="211"/>
      <c r="O279" s="211"/>
      <c r="P279" s="31"/>
      <c r="Q279" s="211"/>
      <c r="R279" s="211"/>
      <c r="S279" s="31"/>
      <c r="V279" s="1"/>
      <c r="W279" s="1"/>
      <c r="X279" s="1"/>
      <c r="Y279" s="30"/>
      <c r="Z279" s="211"/>
    </row>
    <row r="280" spans="2:26">
      <c r="B280" s="1"/>
      <c r="C280" s="28"/>
      <c r="D280" s="19"/>
      <c r="G280" s="29"/>
      <c r="H280" s="212"/>
      <c r="I280" s="1"/>
      <c r="K280" s="30"/>
      <c r="L280" s="30"/>
      <c r="M280" s="1"/>
      <c r="N280" s="211"/>
      <c r="O280" s="211"/>
      <c r="P280" s="31"/>
      <c r="Q280" s="211"/>
      <c r="R280" s="211"/>
      <c r="S280" s="31"/>
      <c r="V280" s="1"/>
      <c r="W280" s="1"/>
      <c r="X280" s="1"/>
      <c r="Y280" s="30"/>
      <c r="Z280" s="211"/>
    </row>
    <row r="281" spans="2:26">
      <c r="B281" s="1"/>
      <c r="C281" s="28"/>
      <c r="D281" s="19"/>
      <c r="G281" s="29"/>
      <c r="H281" s="212"/>
      <c r="I281" s="1"/>
      <c r="K281" s="30"/>
      <c r="L281" s="30"/>
      <c r="M281" s="1"/>
      <c r="N281" s="211"/>
      <c r="O281" s="211"/>
      <c r="P281" s="31"/>
      <c r="Q281" s="211"/>
      <c r="R281" s="211"/>
      <c r="S281" s="31"/>
      <c r="V281" s="1"/>
      <c r="W281" s="1"/>
      <c r="X281" s="1"/>
      <c r="Y281" s="30"/>
      <c r="Z281" s="211"/>
    </row>
    <row r="282" spans="2:26">
      <c r="B282" s="1"/>
      <c r="C282" s="28"/>
      <c r="D282" s="19"/>
      <c r="G282" s="29"/>
      <c r="H282" s="212"/>
      <c r="I282" s="1"/>
      <c r="K282" s="30"/>
      <c r="L282" s="30"/>
      <c r="M282" s="1"/>
      <c r="N282" s="211"/>
      <c r="O282" s="211"/>
      <c r="P282" s="31"/>
      <c r="Q282" s="211"/>
      <c r="R282" s="211"/>
      <c r="S282" s="31"/>
      <c r="V282" s="1"/>
      <c r="W282" s="1"/>
      <c r="X282" s="1"/>
      <c r="Y282" s="30"/>
      <c r="Z282" s="211"/>
    </row>
    <row r="283" spans="2:26">
      <c r="B283" s="1"/>
      <c r="C283" s="28"/>
      <c r="D283" s="19"/>
      <c r="G283" s="29"/>
      <c r="H283" s="212"/>
      <c r="I283" s="1"/>
      <c r="K283" s="30"/>
      <c r="L283" s="30"/>
      <c r="M283" s="1"/>
      <c r="N283" s="211"/>
      <c r="O283" s="211"/>
      <c r="P283" s="31"/>
      <c r="Q283" s="211"/>
      <c r="R283" s="211"/>
      <c r="S283" s="31"/>
      <c r="V283" s="1"/>
      <c r="W283" s="1"/>
      <c r="X283" s="1"/>
      <c r="Y283" s="30"/>
      <c r="Z283" s="211"/>
    </row>
    <row r="284" spans="2:26">
      <c r="B284" s="1"/>
      <c r="C284" s="28"/>
      <c r="D284" s="19"/>
      <c r="G284" s="29"/>
      <c r="H284" s="212"/>
      <c r="I284" s="1"/>
      <c r="K284" s="30"/>
      <c r="L284" s="30"/>
      <c r="M284" s="1"/>
      <c r="N284" s="211"/>
      <c r="O284" s="211"/>
      <c r="P284" s="31"/>
      <c r="Q284" s="211"/>
      <c r="R284" s="211"/>
      <c r="S284" s="31"/>
      <c r="V284" s="1"/>
      <c r="W284" s="1"/>
      <c r="X284" s="1"/>
      <c r="Y284" s="30"/>
      <c r="Z284" s="211"/>
    </row>
    <row r="285" spans="2:26">
      <c r="B285" s="1"/>
      <c r="C285" s="28"/>
      <c r="D285" s="19"/>
      <c r="G285" s="29"/>
      <c r="H285" s="212"/>
      <c r="I285" s="1"/>
      <c r="K285" s="30"/>
      <c r="L285" s="30"/>
      <c r="M285" s="1"/>
      <c r="N285" s="211"/>
      <c r="O285" s="211"/>
      <c r="P285" s="31"/>
      <c r="Q285" s="211"/>
      <c r="R285" s="211"/>
      <c r="S285" s="31"/>
      <c r="V285" s="1"/>
      <c r="W285" s="1"/>
      <c r="X285" s="1"/>
      <c r="Y285" s="30"/>
      <c r="Z285" s="211"/>
    </row>
    <row r="286" spans="2:26">
      <c r="B286" s="1"/>
      <c r="C286" s="28"/>
      <c r="D286" s="19"/>
      <c r="G286" s="29"/>
      <c r="H286" s="212"/>
      <c r="I286" s="1"/>
      <c r="K286" s="30"/>
      <c r="L286" s="30"/>
      <c r="M286" s="1"/>
      <c r="N286" s="211"/>
      <c r="O286" s="211"/>
      <c r="P286" s="31"/>
      <c r="Q286" s="211"/>
      <c r="R286" s="211"/>
      <c r="S286" s="31"/>
      <c r="V286" s="1"/>
      <c r="W286" s="1"/>
      <c r="X286" s="1"/>
      <c r="Y286" s="30"/>
      <c r="Z286" s="211"/>
    </row>
    <row r="287" spans="2:26">
      <c r="B287" s="1"/>
      <c r="C287" s="28"/>
      <c r="D287" s="19"/>
      <c r="G287" s="29"/>
      <c r="H287" s="212"/>
      <c r="I287" s="1"/>
      <c r="K287" s="30"/>
      <c r="L287" s="30"/>
      <c r="M287" s="1"/>
      <c r="N287" s="211"/>
      <c r="O287" s="211"/>
      <c r="P287" s="31"/>
      <c r="Q287" s="211"/>
      <c r="R287" s="211"/>
      <c r="S287" s="31"/>
      <c r="V287" s="1"/>
      <c r="W287" s="1"/>
      <c r="X287" s="1"/>
      <c r="Y287" s="30"/>
      <c r="Z287" s="211"/>
    </row>
    <row r="288" spans="2:26">
      <c r="B288" s="1"/>
      <c r="C288" s="28"/>
      <c r="D288" s="19"/>
      <c r="G288" s="29"/>
      <c r="H288" s="212"/>
      <c r="I288" s="1"/>
      <c r="K288" s="30"/>
      <c r="L288" s="30"/>
      <c r="M288" s="1"/>
      <c r="N288" s="211"/>
      <c r="O288" s="211"/>
      <c r="P288" s="31"/>
      <c r="Q288" s="211"/>
      <c r="R288" s="211"/>
      <c r="S288" s="31"/>
      <c r="V288" s="1"/>
      <c r="W288" s="1"/>
      <c r="X288" s="1"/>
      <c r="Y288" s="30"/>
      <c r="Z288" s="211"/>
    </row>
    <row r="289" spans="2:26">
      <c r="B289" s="1"/>
      <c r="C289" s="28"/>
      <c r="D289" s="19"/>
      <c r="G289" s="29"/>
      <c r="H289" s="212"/>
      <c r="I289" s="1"/>
      <c r="K289" s="30"/>
      <c r="L289" s="30"/>
      <c r="M289" s="1"/>
      <c r="N289" s="211"/>
      <c r="O289" s="211"/>
      <c r="P289" s="31"/>
      <c r="Q289" s="211"/>
      <c r="R289" s="211"/>
      <c r="S289" s="31"/>
      <c r="V289" s="1"/>
      <c r="W289" s="1"/>
      <c r="X289" s="1"/>
      <c r="Y289" s="30"/>
      <c r="Z289" s="211"/>
    </row>
    <row r="290" spans="2:26">
      <c r="B290" s="1"/>
      <c r="C290" s="28"/>
      <c r="D290" s="19"/>
      <c r="G290" s="29"/>
      <c r="H290" s="212"/>
      <c r="I290" s="1"/>
      <c r="K290" s="30"/>
      <c r="L290" s="30"/>
      <c r="M290" s="1"/>
      <c r="N290" s="211"/>
      <c r="O290" s="211"/>
      <c r="P290" s="31"/>
      <c r="Q290" s="211"/>
      <c r="R290" s="211"/>
      <c r="S290" s="31"/>
      <c r="V290" s="1"/>
      <c r="W290" s="1"/>
      <c r="X290" s="1"/>
      <c r="Y290" s="30"/>
      <c r="Z290" s="211"/>
    </row>
    <row r="291" spans="2:26">
      <c r="B291" s="1"/>
      <c r="C291" s="28"/>
      <c r="D291" s="19"/>
      <c r="G291" s="29"/>
      <c r="H291" s="212"/>
      <c r="I291" s="1"/>
      <c r="K291" s="30"/>
      <c r="L291" s="30"/>
      <c r="M291" s="1"/>
      <c r="N291" s="211"/>
      <c r="O291" s="211"/>
      <c r="P291" s="31"/>
      <c r="Q291" s="211"/>
      <c r="R291" s="211"/>
      <c r="S291" s="31"/>
      <c r="V291" s="1"/>
      <c r="W291" s="1"/>
      <c r="X291" s="1"/>
      <c r="Y291" s="30"/>
      <c r="Z291" s="211"/>
    </row>
    <row r="292" spans="2:26">
      <c r="B292" s="1"/>
      <c r="C292" s="28"/>
      <c r="D292" s="19"/>
      <c r="G292" s="29"/>
      <c r="H292" s="212"/>
      <c r="I292" s="1"/>
      <c r="K292" s="30"/>
      <c r="L292" s="30"/>
      <c r="M292" s="1"/>
      <c r="N292" s="211"/>
      <c r="O292" s="211"/>
      <c r="P292" s="31"/>
      <c r="Q292" s="211"/>
      <c r="R292" s="211"/>
      <c r="S292" s="31"/>
      <c r="V292" s="1"/>
      <c r="W292" s="1"/>
      <c r="X292" s="1"/>
      <c r="Y292" s="30"/>
      <c r="Z292" s="211"/>
    </row>
    <row r="293" spans="2:26">
      <c r="B293" s="1"/>
      <c r="C293" s="28"/>
      <c r="D293" s="19"/>
      <c r="G293" s="29"/>
      <c r="H293" s="212"/>
      <c r="I293" s="1"/>
      <c r="K293" s="30"/>
      <c r="L293" s="30"/>
      <c r="M293" s="1"/>
      <c r="N293" s="211"/>
      <c r="O293" s="211"/>
      <c r="P293" s="31"/>
      <c r="Q293" s="211"/>
      <c r="R293" s="211"/>
      <c r="S293" s="31"/>
      <c r="V293" s="1"/>
      <c r="W293" s="1"/>
      <c r="X293" s="1"/>
      <c r="Y293" s="30"/>
      <c r="Z293" s="211"/>
    </row>
    <row r="294" spans="2:26">
      <c r="B294" s="1"/>
      <c r="C294" s="28"/>
      <c r="D294" s="19"/>
      <c r="G294" s="29"/>
      <c r="H294" s="212"/>
      <c r="I294" s="1"/>
      <c r="K294" s="30"/>
      <c r="L294" s="30"/>
      <c r="M294" s="1"/>
      <c r="N294" s="211"/>
      <c r="O294" s="211"/>
      <c r="P294" s="31"/>
      <c r="Q294" s="211"/>
      <c r="R294" s="211"/>
      <c r="S294" s="31"/>
      <c r="V294" s="1"/>
      <c r="W294" s="1"/>
      <c r="X294" s="1"/>
      <c r="Y294" s="30"/>
      <c r="Z294" s="211"/>
    </row>
    <row r="295" spans="2:26">
      <c r="B295" s="1"/>
      <c r="C295" s="28"/>
      <c r="D295" s="19"/>
      <c r="G295" s="29"/>
      <c r="H295" s="212"/>
      <c r="I295" s="1"/>
      <c r="K295" s="30"/>
      <c r="L295" s="30"/>
      <c r="M295" s="1"/>
      <c r="N295" s="211"/>
      <c r="O295" s="211"/>
      <c r="P295" s="31"/>
      <c r="Q295" s="211"/>
      <c r="R295" s="211"/>
      <c r="S295" s="31"/>
      <c r="V295" s="1"/>
      <c r="W295" s="1"/>
      <c r="X295" s="1"/>
      <c r="Y295" s="30"/>
      <c r="Z295" s="211"/>
    </row>
    <row r="296" spans="2:26">
      <c r="B296" s="1"/>
      <c r="C296" s="28"/>
      <c r="D296" s="19"/>
      <c r="G296" s="29"/>
      <c r="H296" s="212"/>
      <c r="I296" s="1"/>
      <c r="K296" s="30"/>
      <c r="L296" s="30"/>
      <c r="M296" s="1"/>
      <c r="N296" s="211"/>
      <c r="O296" s="211"/>
      <c r="P296" s="31"/>
      <c r="Q296" s="211"/>
      <c r="R296" s="211"/>
      <c r="S296" s="31"/>
      <c r="V296" s="1"/>
      <c r="W296" s="1"/>
      <c r="X296" s="1"/>
      <c r="Y296" s="30"/>
      <c r="Z296" s="211"/>
    </row>
    <row r="297" spans="2:26">
      <c r="B297" s="1"/>
      <c r="C297" s="28"/>
      <c r="D297" s="19"/>
      <c r="G297" s="29"/>
      <c r="H297" s="212"/>
      <c r="I297" s="1"/>
      <c r="K297" s="30"/>
      <c r="L297" s="30"/>
      <c r="M297" s="1"/>
      <c r="N297" s="211"/>
      <c r="O297" s="211"/>
      <c r="P297" s="31"/>
      <c r="Q297" s="211"/>
      <c r="R297" s="211"/>
      <c r="S297" s="31"/>
      <c r="V297" s="1"/>
      <c r="W297" s="1"/>
      <c r="X297" s="1"/>
      <c r="Y297" s="30"/>
      <c r="Z297" s="211"/>
    </row>
    <row r="298" spans="2:26">
      <c r="B298" s="1"/>
      <c r="C298" s="28"/>
      <c r="D298" s="19"/>
      <c r="G298" s="29"/>
      <c r="H298" s="212"/>
      <c r="I298" s="1"/>
      <c r="K298" s="30"/>
      <c r="L298" s="30"/>
      <c r="M298" s="1"/>
      <c r="N298" s="211"/>
      <c r="O298" s="211"/>
      <c r="P298" s="31"/>
      <c r="Q298" s="211"/>
      <c r="R298" s="211"/>
      <c r="S298" s="31"/>
      <c r="V298" s="1"/>
      <c r="W298" s="1"/>
      <c r="X298" s="1"/>
      <c r="Y298" s="30"/>
      <c r="Z298" s="211"/>
    </row>
    <row r="299" spans="2:26">
      <c r="B299" s="1"/>
      <c r="C299" s="28"/>
      <c r="D299" s="19"/>
      <c r="G299" s="29"/>
      <c r="H299" s="212"/>
      <c r="I299" s="1"/>
      <c r="K299" s="30"/>
      <c r="L299" s="30"/>
      <c r="M299" s="1"/>
      <c r="N299" s="211"/>
      <c r="O299" s="211"/>
      <c r="P299" s="31"/>
      <c r="Q299" s="211"/>
      <c r="R299" s="211"/>
      <c r="S299" s="31"/>
      <c r="V299" s="1"/>
      <c r="W299" s="1"/>
      <c r="X299" s="1"/>
      <c r="Y299" s="30"/>
      <c r="Z299" s="211"/>
    </row>
    <row r="300" spans="2:26">
      <c r="B300" s="1"/>
      <c r="C300" s="28"/>
      <c r="D300" s="19"/>
      <c r="G300" s="29"/>
      <c r="H300" s="212"/>
      <c r="I300" s="1"/>
      <c r="K300" s="30"/>
      <c r="L300" s="30"/>
      <c r="M300" s="1"/>
      <c r="N300" s="211"/>
      <c r="O300" s="211"/>
      <c r="P300" s="31"/>
      <c r="Q300" s="211"/>
      <c r="R300" s="211"/>
      <c r="S300" s="31"/>
      <c r="V300" s="1"/>
      <c r="W300" s="1"/>
      <c r="X300" s="1"/>
      <c r="Y300" s="30"/>
      <c r="Z300" s="211"/>
    </row>
    <row r="301" spans="2:26">
      <c r="B301" s="1"/>
      <c r="C301" s="28"/>
      <c r="D301" s="19"/>
      <c r="G301" s="29"/>
      <c r="H301" s="212"/>
      <c r="I301" s="1"/>
      <c r="K301" s="30"/>
      <c r="L301" s="30"/>
      <c r="M301" s="1"/>
      <c r="N301" s="211"/>
      <c r="O301" s="211"/>
      <c r="P301" s="31"/>
      <c r="Q301" s="211"/>
      <c r="R301" s="211"/>
      <c r="S301" s="31"/>
      <c r="V301" s="1"/>
      <c r="W301" s="1"/>
      <c r="X301" s="1"/>
      <c r="Y301" s="30"/>
      <c r="Z301" s="211"/>
    </row>
    <row r="302" spans="2:26">
      <c r="B302" s="1"/>
      <c r="C302" s="28"/>
      <c r="D302" s="19"/>
      <c r="G302" s="29"/>
      <c r="H302" s="212"/>
      <c r="I302" s="1"/>
      <c r="K302" s="30"/>
      <c r="L302" s="30"/>
      <c r="M302" s="1"/>
      <c r="N302" s="211"/>
      <c r="O302" s="211"/>
      <c r="P302" s="31"/>
      <c r="Q302" s="211"/>
      <c r="R302" s="211"/>
      <c r="S302" s="31"/>
      <c r="V302" s="1"/>
      <c r="W302" s="1"/>
      <c r="X302" s="1"/>
      <c r="Y302" s="30"/>
      <c r="Z302" s="211"/>
    </row>
    <row r="303" spans="2:26">
      <c r="B303" s="1"/>
      <c r="C303" s="28"/>
      <c r="D303" s="19"/>
      <c r="G303" s="29"/>
      <c r="H303" s="212"/>
      <c r="I303" s="1"/>
      <c r="K303" s="30"/>
      <c r="L303" s="30"/>
      <c r="M303" s="1"/>
      <c r="N303" s="211"/>
      <c r="O303" s="211"/>
      <c r="P303" s="31"/>
      <c r="Q303" s="211"/>
      <c r="R303" s="211"/>
      <c r="S303" s="31"/>
      <c r="V303" s="1"/>
      <c r="W303" s="1"/>
      <c r="X303" s="1"/>
      <c r="Y303" s="30"/>
      <c r="Z303" s="211"/>
    </row>
    <row r="304" spans="2:26">
      <c r="B304" s="1"/>
      <c r="C304" s="28"/>
      <c r="D304" s="19"/>
      <c r="G304" s="29"/>
      <c r="H304" s="212"/>
      <c r="I304" s="1"/>
      <c r="K304" s="30"/>
      <c r="L304" s="30"/>
      <c r="M304" s="1"/>
      <c r="N304" s="211"/>
      <c r="O304" s="211"/>
      <c r="P304" s="31"/>
      <c r="Q304" s="211"/>
      <c r="R304" s="211"/>
      <c r="S304" s="31"/>
      <c r="V304" s="1"/>
      <c r="W304" s="1"/>
      <c r="X304" s="1"/>
      <c r="Y304" s="30"/>
      <c r="Z304" s="211"/>
    </row>
    <row r="305" spans="2:26">
      <c r="B305" s="1"/>
      <c r="C305" s="28"/>
      <c r="D305" s="19"/>
      <c r="G305" s="29"/>
      <c r="H305" s="212"/>
      <c r="I305" s="1"/>
      <c r="K305" s="30"/>
      <c r="L305" s="30"/>
      <c r="M305" s="1"/>
      <c r="N305" s="211"/>
      <c r="O305" s="211"/>
      <c r="P305" s="31"/>
      <c r="Q305" s="211"/>
      <c r="R305" s="211"/>
      <c r="S305" s="31"/>
      <c r="V305" s="1"/>
      <c r="W305" s="1"/>
      <c r="X305" s="1"/>
      <c r="Y305" s="30"/>
      <c r="Z305" s="211"/>
    </row>
    <row r="306" spans="2:26">
      <c r="B306" s="1"/>
      <c r="C306" s="28"/>
      <c r="D306" s="19"/>
      <c r="G306" s="29"/>
      <c r="H306" s="212"/>
      <c r="I306" s="1"/>
      <c r="K306" s="30"/>
      <c r="L306" s="30"/>
      <c r="M306" s="1"/>
      <c r="N306" s="211"/>
      <c r="O306" s="211"/>
      <c r="P306" s="31"/>
      <c r="Q306" s="211"/>
      <c r="R306" s="211"/>
      <c r="S306" s="31"/>
      <c r="V306" s="1"/>
      <c r="W306" s="1"/>
      <c r="X306" s="1"/>
      <c r="Y306" s="30"/>
      <c r="Z306" s="211"/>
    </row>
    <row r="307" spans="2:26">
      <c r="B307" s="1"/>
      <c r="C307" s="28"/>
      <c r="D307" s="19"/>
      <c r="G307" s="29"/>
      <c r="H307" s="212"/>
      <c r="I307" s="1"/>
      <c r="K307" s="30"/>
      <c r="L307" s="30"/>
      <c r="M307" s="1"/>
      <c r="N307" s="211"/>
      <c r="O307" s="211"/>
      <c r="P307" s="31"/>
      <c r="Q307" s="211"/>
      <c r="R307" s="211"/>
      <c r="S307" s="31"/>
      <c r="V307" s="1"/>
      <c r="W307" s="1"/>
      <c r="X307" s="1"/>
      <c r="Y307" s="30"/>
      <c r="Z307" s="211"/>
    </row>
    <row r="308" spans="2:26">
      <c r="B308" s="1"/>
      <c r="C308" s="28"/>
      <c r="D308" s="19"/>
      <c r="G308" s="29"/>
      <c r="H308" s="212"/>
      <c r="I308" s="1"/>
      <c r="K308" s="30"/>
      <c r="L308" s="30"/>
      <c r="M308" s="1"/>
      <c r="N308" s="211"/>
      <c r="O308" s="211"/>
      <c r="P308" s="31"/>
      <c r="Q308" s="211"/>
      <c r="R308" s="211"/>
      <c r="S308" s="31"/>
      <c r="V308" s="1"/>
      <c r="W308" s="1"/>
      <c r="X308" s="1"/>
      <c r="Y308" s="30"/>
      <c r="Z308" s="211"/>
    </row>
    <row r="309" spans="2:26">
      <c r="B309" s="1"/>
      <c r="C309" s="28"/>
      <c r="D309" s="19"/>
      <c r="G309" s="29"/>
      <c r="H309" s="212"/>
      <c r="I309" s="1"/>
      <c r="K309" s="30"/>
      <c r="L309" s="30"/>
      <c r="M309" s="1"/>
      <c r="N309" s="211"/>
      <c r="O309" s="211"/>
      <c r="P309" s="31"/>
      <c r="Q309" s="211"/>
      <c r="R309" s="211"/>
      <c r="S309" s="31"/>
      <c r="V309" s="1"/>
      <c r="W309" s="1"/>
      <c r="X309" s="1"/>
      <c r="Y309" s="30"/>
      <c r="Z309" s="211"/>
    </row>
    <row r="310" spans="2:26">
      <c r="B310" s="1"/>
      <c r="C310" s="28"/>
      <c r="D310" s="19"/>
      <c r="G310" s="29"/>
      <c r="H310" s="212"/>
      <c r="I310" s="1"/>
      <c r="K310" s="30"/>
      <c r="L310" s="30"/>
      <c r="M310" s="1"/>
      <c r="N310" s="211"/>
      <c r="O310" s="211"/>
      <c r="P310" s="31"/>
      <c r="Q310" s="211"/>
      <c r="R310" s="211"/>
      <c r="S310" s="31"/>
      <c r="V310" s="1"/>
      <c r="W310" s="1"/>
      <c r="X310" s="1"/>
      <c r="Y310" s="30"/>
      <c r="Z310" s="211"/>
    </row>
    <row r="311" spans="2:26">
      <c r="B311" s="1"/>
      <c r="C311" s="28"/>
      <c r="D311" s="19"/>
      <c r="G311" s="29"/>
      <c r="H311" s="212"/>
      <c r="I311" s="1"/>
      <c r="K311" s="30"/>
      <c r="L311" s="30"/>
      <c r="M311" s="1"/>
      <c r="N311" s="211"/>
      <c r="O311" s="211"/>
      <c r="P311" s="31"/>
      <c r="Q311" s="211"/>
      <c r="R311" s="211"/>
      <c r="S311" s="31"/>
      <c r="V311" s="1"/>
      <c r="W311" s="1"/>
      <c r="X311" s="1"/>
      <c r="Y311" s="30"/>
      <c r="Z311" s="211"/>
    </row>
    <row r="312" spans="2:26">
      <c r="B312" s="1"/>
      <c r="C312" s="28"/>
      <c r="D312" s="19"/>
      <c r="G312" s="29"/>
      <c r="H312" s="212"/>
      <c r="I312" s="1"/>
      <c r="K312" s="30"/>
      <c r="L312" s="30"/>
      <c r="M312" s="1"/>
      <c r="N312" s="211"/>
      <c r="O312" s="211"/>
      <c r="P312" s="31"/>
      <c r="Q312" s="211"/>
      <c r="R312" s="211"/>
      <c r="S312" s="31"/>
      <c r="V312" s="1"/>
      <c r="W312" s="1"/>
      <c r="X312" s="1"/>
      <c r="Y312" s="30"/>
      <c r="Z312" s="211"/>
    </row>
    <row r="313" spans="2:26">
      <c r="B313" s="1"/>
      <c r="C313" s="28"/>
      <c r="D313" s="19"/>
      <c r="G313" s="29"/>
      <c r="H313" s="212"/>
      <c r="I313" s="1"/>
      <c r="K313" s="30"/>
      <c r="L313" s="30"/>
      <c r="M313" s="1"/>
      <c r="N313" s="211"/>
      <c r="O313" s="211"/>
      <c r="P313" s="31"/>
      <c r="Q313" s="211"/>
      <c r="R313" s="211"/>
      <c r="S313" s="31"/>
      <c r="V313" s="1"/>
      <c r="W313" s="1"/>
      <c r="X313" s="1"/>
      <c r="Y313" s="30"/>
      <c r="Z313" s="211"/>
    </row>
    <row r="314" spans="2:26">
      <c r="B314" s="1"/>
      <c r="C314" s="28"/>
      <c r="D314" s="19"/>
      <c r="G314" s="29"/>
      <c r="H314" s="212"/>
      <c r="I314" s="1"/>
      <c r="K314" s="30"/>
      <c r="L314" s="30"/>
      <c r="M314" s="1"/>
      <c r="N314" s="211"/>
      <c r="O314" s="211"/>
      <c r="P314" s="31"/>
      <c r="Q314" s="211"/>
      <c r="R314" s="211"/>
      <c r="S314" s="31"/>
      <c r="V314" s="1"/>
      <c r="W314" s="1"/>
      <c r="X314" s="1"/>
      <c r="Y314" s="30"/>
      <c r="Z314" s="211"/>
    </row>
    <row r="315" spans="2:26">
      <c r="B315" s="1"/>
      <c r="C315" s="28"/>
      <c r="D315" s="19"/>
      <c r="G315" s="29"/>
      <c r="H315" s="212"/>
      <c r="I315" s="1"/>
      <c r="K315" s="30"/>
      <c r="L315" s="30"/>
      <c r="M315" s="1"/>
      <c r="N315" s="211"/>
      <c r="O315" s="211"/>
      <c r="P315" s="31"/>
      <c r="Q315" s="211"/>
      <c r="R315" s="211"/>
      <c r="S315" s="31"/>
      <c r="V315" s="1"/>
      <c r="W315" s="1"/>
      <c r="X315" s="1"/>
      <c r="Y315" s="30"/>
      <c r="Z315" s="211"/>
    </row>
    <row r="316" spans="2:26">
      <c r="B316" s="1"/>
      <c r="C316" s="28"/>
      <c r="D316" s="19"/>
      <c r="G316" s="29"/>
      <c r="H316" s="212"/>
      <c r="I316" s="1"/>
      <c r="K316" s="30"/>
      <c r="L316" s="30"/>
      <c r="M316" s="1"/>
      <c r="N316" s="211"/>
      <c r="O316" s="211"/>
      <c r="P316" s="31"/>
      <c r="Q316" s="211"/>
      <c r="R316" s="211"/>
      <c r="S316" s="31"/>
      <c r="V316" s="1"/>
      <c r="W316" s="1"/>
      <c r="X316" s="1"/>
      <c r="Y316" s="30"/>
      <c r="Z316" s="211"/>
    </row>
    <row r="317" spans="2:26">
      <c r="B317" s="1"/>
      <c r="C317" s="28"/>
      <c r="D317" s="19"/>
      <c r="G317" s="29"/>
      <c r="H317" s="212"/>
      <c r="I317" s="1"/>
      <c r="K317" s="30"/>
      <c r="L317" s="30"/>
      <c r="M317" s="1"/>
      <c r="N317" s="211"/>
      <c r="O317" s="211"/>
      <c r="P317" s="31"/>
      <c r="Q317" s="211"/>
      <c r="R317" s="211"/>
      <c r="S317" s="31"/>
      <c r="V317" s="1"/>
      <c r="W317" s="1"/>
      <c r="X317" s="1"/>
      <c r="Y317" s="30"/>
      <c r="Z317" s="211"/>
    </row>
    <row r="318" spans="2:26">
      <c r="B318" s="1"/>
      <c r="C318" s="28"/>
      <c r="D318" s="19"/>
      <c r="G318" s="29"/>
      <c r="H318" s="212"/>
      <c r="I318" s="1"/>
      <c r="K318" s="30"/>
      <c r="L318" s="30"/>
      <c r="M318" s="1"/>
      <c r="N318" s="211"/>
      <c r="O318" s="211"/>
      <c r="P318" s="31"/>
      <c r="Q318" s="211"/>
      <c r="R318" s="211"/>
      <c r="S318" s="31"/>
      <c r="V318" s="1"/>
      <c r="W318" s="1"/>
      <c r="X318" s="1"/>
      <c r="Y318" s="30"/>
      <c r="Z318" s="211"/>
    </row>
    <row r="319" spans="2:26">
      <c r="B319" s="1"/>
      <c r="C319" s="28"/>
      <c r="D319" s="19"/>
      <c r="G319" s="29"/>
      <c r="H319" s="212"/>
      <c r="I319" s="1"/>
      <c r="K319" s="30"/>
      <c r="L319" s="30"/>
      <c r="M319" s="1"/>
      <c r="N319" s="211"/>
      <c r="O319" s="211"/>
      <c r="P319" s="31"/>
      <c r="Q319" s="211"/>
      <c r="R319" s="211"/>
      <c r="S319" s="31"/>
      <c r="V319" s="1"/>
      <c r="W319" s="1"/>
      <c r="X319" s="1"/>
      <c r="Y319" s="30"/>
      <c r="Z319" s="211"/>
    </row>
    <row r="320" spans="2:26">
      <c r="B320" s="1"/>
      <c r="C320" s="28"/>
      <c r="D320" s="19"/>
      <c r="G320" s="29"/>
      <c r="H320" s="212"/>
      <c r="I320" s="1"/>
      <c r="K320" s="30"/>
      <c r="L320" s="30"/>
      <c r="M320" s="1"/>
      <c r="N320" s="211"/>
      <c r="O320" s="211"/>
      <c r="P320" s="31"/>
      <c r="Q320" s="211"/>
      <c r="R320" s="211"/>
      <c r="S320" s="31"/>
      <c r="V320" s="1"/>
      <c r="W320" s="1"/>
      <c r="X320" s="1"/>
      <c r="Y320" s="30"/>
      <c r="Z320" s="211"/>
    </row>
    <row r="321" spans="2:26">
      <c r="B321" s="1"/>
      <c r="C321" s="28"/>
      <c r="D321" s="19"/>
      <c r="G321" s="29"/>
      <c r="H321" s="212"/>
      <c r="I321" s="1"/>
      <c r="K321" s="30"/>
      <c r="L321" s="30"/>
      <c r="M321" s="1"/>
      <c r="N321" s="211"/>
      <c r="O321" s="211"/>
      <c r="P321" s="31"/>
      <c r="Q321" s="211"/>
      <c r="R321" s="211"/>
      <c r="S321" s="31"/>
      <c r="V321" s="1"/>
      <c r="W321" s="1"/>
      <c r="X321" s="1"/>
      <c r="Y321" s="30"/>
      <c r="Z321" s="211"/>
    </row>
    <row r="322" spans="2:26">
      <c r="B322" s="1"/>
      <c r="C322" s="28"/>
      <c r="D322" s="19"/>
      <c r="G322" s="29"/>
      <c r="H322" s="212"/>
      <c r="I322" s="1"/>
      <c r="K322" s="30"/>
      <c r="L322" s="30"/>
      <c r="M322" s="1"/>
      <c r="N322" s="211"/>
      <c r="O322" s="211"/>
      <c r="P322" s="31"/>
      <c r="Q322" s="211"/>
      <c r="R322" s="211"/>
      <c r="S322" s="31"/>
      <c r="V322" s="1"/>
      <c r="W322" s="1"/>
      <c r="X322" s="1"/>
      <c r="Y322" s="30"/>
      <c r="Z322" s="211"/>
    </row>
    <row r="323" spans="2:26">
      <c r="B323" s="1"/>
      <c r="C323" s="28"/>
      <c r="D323" s="19"/>
      <c r="G323" s="29"/>
      <c r="H323" s="212"/>
      <c r="I323" s="1"/>
      <c r="K323" s="30"/>
      <c r="L323" s="30"/>
      <c r="M323" s="1"/>
      <c r="N323" s="211"/>
      <c r="O323" s="211"/>
      <c r="P323" s="31"/>
      <c r="Q323" s="211"/>
      <c r="R323" s="211"/>
      <c r="S323" s="31"/>
      <c r="V323" s="1"/>
      <c r="W323" s="1"/>
      <c r="X323" s="1"/>
      <c r="Y323" s="30"/>
      <c r="Z323" s="211"/>
    </row>
    <row r="324" spans="2:26">
      <c r="B324" s="1"/>
      <c r="C324" s="28"/>
      <c r="D324" s="19"/>
      <c r="G324" s="29"/>
      <c r="H324" s="212"/>
      <c r="I324" s="1"/>
      <c r="K324" s="30"/>
      <c r="L324" s="30"/>
      <c r="M324" s="1"/>
      <c r="N324" s="211"/>
      <c r="O324" s="211"/>
      <c r="P324" s="31"/>
      <c r="Q324" s="211"/>
      <c r="R324" s="211"/>
      <c r="S324" s="31"/>
      <c r="V324" s="1"/>
      <c r="W324" s="1"/>
      <c r="X324" s="1"/>
      <c r="Y324" s="30"/>
      <c r="Z324" s="211"/>
    </row>
    <row r="325" spans="2:26">
      <c r="B325" s="1"/>
      <c r="C325" s="28"/>
      <c r="D325" s="19"/>
      <c r="G325" s="29"/>
      <c r="H325" s="212"/>
      <c r="I325" s="1"/>
      <c r="K325" s="30"/>
      <c r="L325" s="30"/>
      <c r="M325" s="1"/>
      <c r="N325" s="211"/>
      <c r="O325" s="211"/>
      <c r="P325" s="31"/>
      <c r="Q325" s="211"/>
      <c r="R325" s="211"/>
      <c r="S325" s="31"/>
      <c r="V325" s="1"/>
      <c r="W325" s="1"/>
      <c r="X325" s="1"/>
      <c r="Y325" s="30"/>
      <c r="Z325" s="211"/>
    </row>
    <row r="326" spans="2:26">
      <c r="B326" s="1"/>
      <c r="C326" s="28"/>
      <c r="D326" s="19"/>
      <c r="G326" s="29"/>
      <c r="H326" s="212"/>
      <c r="I326" s="1"/>
      <c r="K326" s="30"/>
      <c r="L326" s="30"/>
      <c r="M326" s="1"/>
      <c r="N326" s="211"/>
      <c r="O326" s="211"/>
      <c r="P326" s="31"/>
      <c r="Q326" s="211"/>
      <c r="R326" s="211"/>
      <c r="S326" s="31"/>
      <c r="V326" s="1"/>
      <c r="W326" s="1"/>
      <c r="X326" s="1"/>
      <c r="Y326" s="30"/>
      <c r="Z326" s="211"/>
    </row>
    <row r="327" spans="2:26">
      <c r="B327" s="1"/>
      <c r="C327" s="28"/>
      <c r="D327" s="19"/>
      <c r="G327" s="29"/>
      <c r="H327" s="212"/>
      <c r="I327" s="1"/>
      <c r="K327" s="30"/>
      <c r="L327" s="30"/>
      <c r="M327" s="1"/>
      <c r="N327" s="211"/>
      <c r="O327" s="211"/>
      <c r="P327" s="31"/>
      <c r="Q327" s="211"/>
      <c r="R327" s="211"/>
      <c r="S327" s="31"/>
      <c r="V327" s="1"/>
      <c r="W327" s="1"/>
      <c r="X327" s="1"/>
      <c r="Y327" s="30"/>
      <c r="Z327" s="211"/>
    </row>
    <row r="328" spans="2:26">
      <c r="B328" s="1"/>
      <c r="C328" s="28"/>
      <c r="D328" s="19"/>
      <c r="G328" s="29"/>
      <c r="H328" s="212"/>
      <c r="I328" s="1"/>
      <c r="K328" s="30"/>
      <c r="L328" s="30"/>
      <c r="M328" s="1"/>
      <c r="N328" s="211"/>
      <c r="O328" s="211"/>
      <c r="P328" s="31"/>
      <c r="Q328" s="211"/>
      <c r="R328" s="211"/>
      <c r="S328" s="31"/>
      <c r="V328" s="1"/>
      <c r="W328" s="1"/>
      <c r="X328" s="1"/>
      <c r="Y328" s="30"/>
      <c r="Z328" s="211"/>
    </row>
    <row r="329" spans="2:26">
      <c r="B329" s="1"/>
      <c r="C329" s="28"/>
      <c r="D329" s="19"/>
      <c r="G329" s="29"/>
      <c r="H329" s="212"/>
      <c r="I329" s="1"/>
      <c r="K329" s="30"/>
      <c r="L329" s="30"/>
      <c r="M329" s="1"/>
      <c r="N329" s="211"/>
      <c r="O329" s="211"/>
      <c r="P329" s="31"/>
      <c r="Q329" s="211"/>
      <c r="R329" s="211"/>
      <c r="S329" s="31"/>
      <c r="V329" s="1"/>
      <c r="W329" s="1"/>
      <c r="X329" s="1"/>
      <c r="Y329" s="30"/>
      <c r="Z329" s="211"/>
    </row>
    <row r="330" spans="2:26">
      <c r="B330" s="1"/>
      <c r="C330" s="28"/>
      <c r="D330" s="19"/>
      <c r="G330" s="29"/>
      <c r="H330" s="212"/>
      <c r="I330" s="1"/>
      <c r="K330" s="30"/>
      <c r="L330" s="30"/>
      <c r="M330" s="1"/>
      <c r="N330" s="211"/>
      <c r="O330" s="211"/>
      <c r="P330" s="31"/>
      <c r="Q330" s="211"/>
      <c r="R330" s="211"/>
      <c r="S330" s="31"/>
      <c r="V330" s="1"/>
      <c r="W330" s="1"/>
      <c r="X330" s="1"/>
      <c r="Y330" s="30"/>
      <c r="Z330" s="211"/>
    </row>
    <row r="331" spans="2:26">
      <c r="B331" s="1"/>
      <c r="C331" s="28"/>
      <c r="D331" s="19"/>
      <c r="G331" s="29"/>
      <c r="H331" s="212"/>
      <c r="I331" s="1"/>
      <c r="K331" s="30"/>
      <c r="L331" s="30"/>
      <c r="M331" s="1"/>
      <c r="N331" s="211"/>
      <c r="O331" s="211"/>
      <c r="P331" s="31"/>
      <c r="Q331" s="211"/>
      <c r="R331" s="211"/>
      <c r="S331" s="31"/>
      <c r="V331" s="1"/>
      <c r="W331" s="1"/>
      <c r="X331" s="1"/>
      <c r="Y331" s="30"/>
      <c r="Z331" s="211"/>
    </row>
    <row r="332" spans="2:26">
      <c r="B332" s="1"/>
      <c r="C332" s="28"/>
      <c r="D332" s="19"/>
      <c r="G332" s="29"/>
      <c r="H332" s="212"/>
      <c r="I332" s="1"/>
      <c r="K332" s="30"/>
      <c r="L332" s="30"/>
      <c r="M332" s="1"/>
      <c r="N332" s="211"/>
      <c r="O332" s="211"/>
      <c r="P332" s="31"/>
      <c r="Q332" s="211"/>
      <c r="R332" s="211"/>
      <c r="S332" s="31"/>
      <c r="V332" s="1"/>
      <c r="W332" s="1"/>
      <c r="X332" s="1"/>
      <c r="Y332" s="30"/>
      <c r="Z332" s="211"/>
    </row>
    <row r="333" spans="2:26">
      <c r="B333" s="1"/>
      <c r="C333" s="28"/>
      <c r="D333" s="19"/>
      <c r="G333" s="29"/>
      <c r="H333" s="212"/>
      <c r="I333" s="1"/>
      <c r="K333" s="30"/>
      <c r="L333" s="30"/>
      <c r="M333" s="1"/>
      <c r="N333" s="211"/>
      <c r="O333" s="211"/>
      <c r="P333" s="31"/>
      <c r="Q333" s="211"/>
      <c r="R333" s="211"/>
      <c r="S333" s="31"/>
      <c r="V333" s="1"/>
      <c r="W333" s="1"/>
      <c r="X333" s="1"/>
      <c r="Y333" s="30"/>
      <c r="Z333" s="211"/>
    </row>
    <row r="334" spans="2:26">
      <c r="B334" s="1"/>
      <c r="C334" s="28"/>
      <c r="D334" s="19"/>
      <c r="G334" s="29"/>
      <c r="H334" s="212"/>
      <c r="I334" s="1"/>
      <c r="K334" s="30"/>
      <c r="L334" s="30"/>
      <c r="M334" s="1"/>
      <c r="N334" s="211"/>
      <c r="O334" s="211"/>
      <c r="P334" s="31"/>
      <c r="Q334" s="211"/>
      <c r="R334" s="211"/>
      <c r="S334" s="31"/>
      <c r="V334" s="1"/>
      <c r="W334" s="1"/>
      <c r="X334" s="1"/>
      <c r="Y334" s="30"/>
      <c r="Z334" s="211"/>
    </row>
    <row r="335" spans="2:26">
      <c r="B335" s="1"/>
      <c r="C335" s="28"/>
      <c r="D335" s="19"/>
      <c r="G335" s="29"/>
      <c r="H335" s="212"/>
      <c r="I335" s="1"/>
      <c r="K335" s="30"/>
      <c r="L335" s="30"/>
      <c r="M335" s="1"/>
      <c r="N335" s="211"/>
      <c r="O335" s="211"/>
      <c r="P335" s="31"/>
      <c r="Q335" s="211"/>
      <c r="R335" s="211"/>
      <c r="S335" s="31"/>
      <c r="V335" s="1"/>
      <c r="W335" s="1"/>
      <c r="X335" s="1"/>
      <c r="Y335" s="30"/>
      <c r="Z335" s="211"/>
    </row>
    <row r="336" spans="2:26">
      <c r="B336" s="1"/>
      <c r="C336" s="28"/>
      <c r="D336" s="19"/>
      <c r="G336" s="29"/>
      <c r="H336" s="212"/>
      <c r="I336" s="1"/>
      <c r="K336" s="30"/>
      <c r="L336" s="30"/>
      <c r="M336" s="1"/>
      <c r="N336" s="211"/>
      <c r="O336" s="211"/>
      <c r="P336" s="31"/>
      <c r="Q336" s="211"/>
      <c r="R336" s="211"/>
      <c r="S336" s="31"/>
      <c r="V336" s="1"/>
      <c r="W336" s="1"/>
      <c r="X336" s="1"/>
      <c r="Y336" s="30"/>
      <c r="Z336" s="211"/>
    </row>
    <row r="337" spans="2:26">
      <c r="B337" s="1"/>
      <c r="C337" s="28"/>
      <c r="D337" s="19"/>
      <c r="G337" s="29"/>
      <c r="H337" s="212"/>
      <c r="I337" s="1"/>
      <c r="K337" s="30"/>
      <c r="L337" s="30"/>
      <c r="M337" s="1"/>
      <c r="N337" s="211"/>
      <c r="O337" s="211"/>
      <c r="P337" s="31"/>
      <c r="Q337" s="211"/>
      <c r="R337" s="211"/>
      <c r="S337" s="31"/>
      <c r="V337" s="1"/>
      <c r="W337" s="1"/>
      <c r="X337" s="1"/>
      <c r="Y337" s="30"/>
      <c r="Z337" s="211"/>
    </row>
    <row r="338" spans="2:26">
      <c r="B338" s="1"/>
      <c r="C338" s="28"/>
      <c r="D338" s="19"/>
      <c r="G338" s="29"/>
      <c r="H338" s="212"/>
      <c r="I338" s="1"/>
      <c r="K338" s="30"/>
      <c r="L338" s="30"/>
      <c r="M338" s="1"/>
      <c r="N338" s="211"/>
      <c r="O338" s="211"/>
      <c r="P338" s="31"/>
      <c r="Q338" s="211"/>
      <c r="R338" s="211"/>
      <c r="S338" s="31"/>
      <c r="V338" s="1"/>
      <c r="W338" s="1"/>
      <c r="X338" s="1"/>
      <c r="Y338" s="30"/>
      <c r="Z338" s="211"/>
    </row>
    <row r="339" spans="2:26">
      <c r="B339" s="1"/>
      <c r="C339" s="28"/>
      <c r="D339" s="19"/>
      <c r="G339" s="29"/>
      <c r="H339" s="212"/>
      <c r="I339" s="1"/>
      <c r="K339" s="30"/>
      <c r="L339" s="30"/>
      <c r="M339" s="1"/>
      <c r="N339" s="211"/>
      <c r="O339" s="211"/>
      <c r="P339" s="31"/>
      <c r="Q339" s="211"/>
      <c r="R339" s="211"/>
      <c r="S339" s="31"/>
      <c r="V339" s="1"/>
      <c r="W339" s="1"/>
      <c r="X339" s="1"/>
      <c r="Y339" s="30"/>
      <c r="Z339" s="211"/>
    </row>
    <row r="340" spans="2:26">
      <c r="B340" s="1"/>
      <c r="C340" s="28"/>
      <c r="D340" s="19"/>
      <c r="G340" s="29"/>
      <c r="H340" s="212"/>
      <c r="I340" s="1"/>
      <c r="K340" s="30"/>
      <c r="L340" s="30"/>
      <c r="M340" s="1"/>
      <c r="N340" s="211"/>
      <c r="O340" s="211"/>
      <c r="P340" s="31"/>
      <c r="Q340" s="211"/>
      <c r="R340" s="211"/>
      <c r="S340" s="31"/>
      <c r="V340" s="1"/>
      <c r="W340" s="1"/>
      <c r="X340" s="1"/>
      <c r="Y340" s="30"/>
      <c r="Z340" s="211"/>
    </row>
    <row r="341" spans="2:26">
      <c r="B341" s="1"/>
      <c r="C341" s="28"/>
      <c r="D341" s="19"/>
      <c r="G341" s="29"/>
      <c r="H341" s="212"/>
      <c r="I341" s="1"/>
      <c r="K341" s="30"/>
      <c r="L341" s="30"/>
      <c r="M341" s="1"/>
      <c r="N341" s="211"/>
      <c r="O341" s="211"/>
      <c r="P341" s="31"/>
      <c r="Q341" s="211"/>
      <c r="R341" s="211"/>
      <c r="S341" s="31"/>
      <c r="V341" s="1"/>
      <c r="W341" s="1"/>
      <c r="X341" s="1"/>
      <c r="Y341" s="30"/>
      <c r="Z341" s="211"/>
    </row>
    <row r="342" spans="2:26">
      <c r="B342" s="1"/>
      <c r="C342" s="28"/>
      <c r="D342" s="19"/>
      <c r="G342" s="29"/>
      <c r="H342" s="212"/>
      <c r="I342" s="1"/>
      <c r="K342" s="30"/>
      <c r="L342" s="30"/>
      <c r="M342" s="1"/>
      <c r="N342" s="211"/>
      <c r="O342" s="211"/>
      <c r="P342" s="31"/>
      <c r="Q342" s="211"/>
      <c r="R342" s="211"/>
      <c r="S342" s="31"/>
      <c r="V342" s="1"/>
      <c r="W342" s="1"/>
      <c r="X342" s="1"/>
      <c r="Y342" s="30"/>
      <c r="Z342" s="211"/>
    </row>
    <row r="343" spans="2:26">
      <c r="B343" s="1"/>
      <c r="C343" s="28"/>
      <c r="D343" s="19"/>
      <c r="G343" s="29"/>
      <c r="H343" s="212"/>
      <c r="I343" s="1"/>
      <c r="K343" s="30"/>
      <c r="L343" s="30"/>
      <c r="M343" s="1"/>
      <c r="N343" s="211"/>
      <c r="O343" s="211"/>
      <c r="P343" s="31"/>
      <c r="Q343" s="211"/>
      <c r="R343" s="211"/>
      <c r="S343" s="31"/>
      <c r="V343" s="1"/>
      <c r="W343" s="1"/>
      <c r="X343" s="1"/>
      <c r="Y343" s="30"/>
      <c r="Z343" s="211"/>
    </row>
    <row r="344" spans="2:26">
      <c r="B344" s="1"/>
      <c r="C344" s="28"/>
      <c r="D344" s="19"/>
      <c r="G344" s="29"/>
      <c r="H344" s="212"/>
      <c r="I344" s="1"/>
      <c r="K344" s="30"/>
      <c r="L344" s="30"/>
      <c r="M344" s="1"/>
      <c r="N344" s="211"/>
      <c r="O344" s="211"/>
      <c r="P344" s="31"/>
      <c r="Q344" s="211"/>
      <c r="R344" s="211"/>
      <c r="S344" s="31"/>
      <c r="V344" s="1"/>
      <c r="W344" s="1"/>
      <c r="X344" s="1"/>
      <c r="Y344" s="30"/>
      <c r="Z344" s="211"/>
    </row>
    <row r="345" spans="2:26">
      <c r="B345" s="1"/>
      <c r="C345" s="28"/>
      <c r="D345" s="19"/>
      <c r="G345" s="29"/>
      <c r="H345" s="212"/>
      <c r="I345" s="1"/>
      <c r="K345" s="30"/>
      <c r="L345" s="30"/>
      <c r="M345" s="1"/>
      <c r="N345" s="211"/>
      <c r="O345" s="211"/>
      <c r="P345" s="31"/>
      <c r="Q345" s="211"/>
      <c r="R345" s="211"/>
      <c r="S345" s="31"/>
      <c r="V345" s="1"/>
      <c r="W345" s="1"/>
      <c r="X345" s="1"/>
      <c r="Y345" s="30"/>
      <c r="Z345" s="211"/>
    </row>
    <row r="346" spans="2:26">
      <c r="B346" s="1"/>
      <c r="C346" s="28"/>
      <c r="D346" s="19"/>
      <c r="G346" s="29"/>
      <c r="H346" s="212"/>
      <c r="I346" s="1"/>
      <c r="K346" s="30"/>
      <c r="L346" s="30"/>
      <c r="M346" s="1"/>
      <c r="N346" s="211"/>
      <c r="O346" s="211"/>
      <c r="P346" s="31"/>
      <c r="Q346" s="211"/>
      <c r="R346" s="211"/>
      <c r="S346" s="31"/>
      <c r="V346" s="1"/>
      <c r="W346" s="1"/>
      <c r="X346" s="1"/>
      <c r="Y346" s="30"/>
      <c r="Z346" s="211"/>
    </row>
    <row r="347" spans="2:26">
      <c r="B347" s="1"/>
      <c r="C347" s="28"/>
      <c r="D347" s="19"/>
      <c r="G347" s="29"/>
      <c r="H347" s="212"/>
      <c r="I347" s="1"/>
      <c r="K347" s="30"/>
      <c r="L347" s="30"/>
      <c r="M347" s="1"/>
      <c r="N347" s="211"/>
      <c r="O347" s="211"/>
      <c r="P347" s="31"/>
      <c r="Q347" s="211"/>
      <c r="R347" s="211"/>
      <c r="S347" s="31"/>
      <c r="V347" s="1"/>
      <c r="W347" s="1"/>
      <c r="X347" s="1"/>
      <c r="Y347" s="30"/>
      <c r="Z347" s="211"/>
    </row>
    <row r="348" spans="2:26">
      <c r="B348" s="1"/>
      <c r="C348" s="28"/>
      <c r="D348" s="19"/>
      <c r="G348" s="29"/>
      <c r="H348" s="212"/>
      <c r="I348" s="1"/>
      <c r="K348" s="30"/>
      <c r="L348" s="30"/>
      <c r="M348" s="1"/>
      <c r="N348" s="211"/>
      <c r="O348" s="211"/>
      <c r="P348" s="31"/>
      <c r="Q348" s="211"/>
      <c r="R348" s="211"/>
      <c r="S348" s="31"/>
      <c r="V348" s="1"/>
      <c r="W348" s="1"/>
      <c r="X348" s="1"/>
      <c r="Y348" s="30"/>
      <c r="Z348" s="211"/>
    </row>
    <row r="349" spans="2:26">
      <c r="B349" s="1"/>
      <c r="C349" s="28"/>
      <c r="D349" s="19"/>
      <c r="G349" s="29"/>
      <c r="H349" s="212"/>
      <c r="I349" s="1"/>
      <c r="K349" s="30"/>
      <c r="L349" s="30"/>
      <c r="M349" s="1"/>
      <c r="N349" s="211"/>
      <c r="O349" s="211"/>
      <c r="P349" s="31"/>
      <c r="Q349" s="211"/>
      <c r="R349" s="211"/>
      <c r="S349" s="31"/>
      <c r="V349" s="1"/>
      <c r="W349" s="1"/>
      <c r="X349" s="1"/>
      <c r="Y349" s="30"/>
      <c r="Z349" s="211"/>
    </row>
    <row r="350" spans="2:26">
      <c r="B350" s="1"/>
      <c r="C350" s="28"/>
      <c r="D350" s="19"/>
      <c r="G350" s="29"/>
      <c r="H350" s="212"/>
      <c r="I350" s="1"/>
      <c r="K350" s="30"/>
      <c r="L350" s="30"/>
      <c r="M350" s="1"/>
      <c r="N350" s="211"/>
      <c r="O350" s="211"/>
      <c r="P350" s="31"/>
      <c r="Q350" s="211"/>
      <c r="R350" s="211"/>
      <c r="S350" s="31"/>
      <c r="V350" s="1"/>
      <c r="W350" s="1"/>
      <c r="X350" s="1"/>
      <c r="Y350" s="30"/>
      <c r="Z350" s="211"/>
    </row>
    <row r="351" spans="2:26">
      <c r="B351" s="1"/>
      <c r="C351" s="28"/>
      <c r="D351" s="19"/>
      <c r="G351" s="29"/>
      <c r="H351" s="212"/>
      <c r="I351" s="1"/>
      <c r="K351" s="30"/>
      <c r="L351" s="30"/>
      <c r="M351" s="1"/>
      <c r="N351" s="211"/>
      <c r="O351" s="211"/>
      <c r="P351" s="31"/>
      <c r="Q351" s="211"/>
      <c r="R351" s="211"/>
      <c r="S351" s="31"/>
      <c r="V351" s="1"/>
      <c r="W351" s="1"/>
      <c r="X351" s="1"/>
      <c r="Y351" s="30"/>
      <c r="Z351" s="211"/>
    </row>
    <row r="352" spans="2:26">
      <c r="B352" s="1"/>
      <c r="C352" s="28"/>
      <c r="D352" s="19"/>
      <c r="G352" s="29"/>
      <c r="H352" s="212"/>
      <c r="I352" s="1"/>
      <c r="K352" s="30"/>
      <c r="L352" s="30"/>
      <c r="M352" s="1"/>
      <c r="N352" s="211"/>
      <c r="O352" s="211"/>
      <c r="P352" s="31"/>
      <c r="Q352" s="211"/>
      <c r="R352" s="211"/>
      <c r="S352" s="31"/>
      <c r="V352" s="1"/>
      <c r="W352" s="1"/>
      <c r="X352" s="1"/>
      <c r="Y352" s="30"/>
      <c r="Z352" s="211"/>
    </row>
    <row r="353" spans="2:26">
      <c r="B353" s="1"/>
      <c r="C353" s="28"/>
      <c r="D353" s="19"/>
      <c r="G353" s="29"/>
      <c r="H353" s="212"/>
      <c r="I353" s="1"/>
      <c r="K353" s="30"/>
      <c r="L353" s="30"/>
      <c r="M353" s="1"/>
      <c r="N353" s="211"/>
      <c r="O353" s="211"/>
      <c r="P353" s="31"/>
      <c r="Q353" s="211"/>
      <c r="R353" s="211"/>
      <c r="S353" s="31"/>
      <c r="V353" s="1"/>
      <c r="W353" s="1"/>
      <c r="X353" s="1"/>
      <c r="Y353" s="30"/>
      <c r="Z353" s="211"/>
    </row>
    <row r="354" spans="2:26">
      <c r="B354" s="1"/>
      <c r="C354" s="28"/>
      <c r="D354" s="19"/>
      <c r="G354" s="29"/>
      <c r="H354" s="212"/>
      <c r="I354" s="1"/>
      <c r="K354" s="30"/>
      <c r="L354" s="30"/>
      <c r="M354" s="1"/>
      <c r="N354" s="211"/>
      <c r="O354" s="211"/>
      <c r="P354" s="31"/>
      <c r="Q354" s="211"/>
      <c r="R354" s="211"/>
      <c r="S354" s="31"/>
      <c r="V354" s="1"/>
      <c r="W354" s="1"/>
      <c r="X354" s="1"/>
      <c r="Y354" s="30"/>
      <c r="Z354" s="211"/>
    </row>
    <row r="355" spans="2:26">
      <c r="B355" s="1"/>
      <c r="C355" s="28"/>
      <c r="D355" s="19"/>
      <c r="G355" s="29"/>
      <c r="H355" s="212"/>
      <c r="I355" s="1"/>
      <c r="K355" s="30"/>
      <c r="L355" s="30"/>
      <c r="M355" s="1"/>
      <c r="N355" s="211"/>
      <c r="O355" s="211"/>
      <c r="P355" s="31"/>
      <c r="Q355" s="211"/>
      <c r="R355" s="211"/>
      <c r="S355" s="31"/>
      <c r="V355" s="1"/>
      <c r="W355" s="1"/>
      <c r="X355" s="1"/>
      <c r="Y355" s="30"/>
      <c r="Z355" s="211"/>
    </row>
    <row r="356" spans="2:26">
      <c r="B356" s="1"/>
      <c r="C356" s="28"/>
      <c r="D356" s="19"/>
      <c r="G356" s="29"/>
      <c r="H356" s="212"/>
      <c r="I356" s="1"/>
      <c r="K356" s="30"/>
      <c r="L356" s="30"/>
      <c r="M356" s="1"/>
      <c r="N356" s="211"/>
      <c r="O356" s="211"/>
      <c r="P356" s="31"/>
      <c r="Q356" s="211"/>
      <c r="R356" s="211"/>
      <c r="S356" s="31"/>
      <c r="V356" s="1"/>
      <c r="W356" s="1"/>
      <c r="X356" s="1"/>
      <c r="Y356" s="30"/>
      <c r="Z356" s="211"/>
    </row>
    <row r="357" spans="2:26">
      <c r="B357" s="1"/>
      <c r="C357" s="28"/>
      <c r="D357" s="19"/>
      <c r="G357" s="29"/>
      <c r="H357" s="212"/>
      <c r="I357" s="1"/>
      <c r="K357" s="30"/>
      <c r="L357" s="30"/>
      <c r="M357" s="1"/>
      <c r="N357" s="211"/>
      <c r="O357" s="211"/>
      <c r="P357" s="31"/>
      <c r="Q357" s="211"/>
      <c r="R357" s="211"/>
      <c r="S357" s="31"/>
      <c r="V357" s="1"/>
      <c r="W357" s="1"/>
      <c r="X357" s="1"/>
      <c r="Y357" s="30"/>
      <c r="Z357" s="211"/>
    </row>
    <row r="358" spans="2:26">
      <c r="B358" s="1"/>
      <c r="C358" s="28"/>
      <c r="D358" s="19"/>
      <c r="G358" s="29"/>
      <c r="H358" s="212"/>
      <c r="I358" s="1"/>
      <c r="K358" s="30"/>
      <c r="L358" s="30"/>
      <c r="M358" s="1"/>
      <c r="N358" s="211"/>
      <c r="O358" s="211"/>
      <c r="P358" s="31"/>
      <c r="Q358" s="211"/>
      <c r="R358" s="211"/>
      <c r="S358" s="31"/>
      <c r="V358" s="1"/>
      <c r="W358" s="1"/>
      <c r="X358" s="1"/>
      <c r="Y358" s="30"/>
      <c r="Z358" s="211"/>
    </row>
    <row r="359" spans="2:26">
      <c r="B359" s="1"/>
      <c r="C359" s="28"/>
      <c r="D359" s="19"/>
      <c r="G359" s="29"/>
      <c r="H359" s="212"/>
      <c r="I359" s="1"/>
      <c r="K359" s="30"/>
      <c r="L359" s="30"/>
      <c r="M359" s="1"/>
      <c r="N359" s="211"/>
      <c r="O359" s="211"/>
      <c r="P359" s="31"/>
      <c r="Q359" s="211"/>
      <c r="R359" s="211"/>
      <c r="S359" s="31"/>
      <c r="V359" s="1"/>
      <c r="W359" s="1"/>
      <c r="X359" s="1"/>
      <c r="Y359" s="30"/>
      <c r="Z359" s="211"/>
    </row>
    <row r="360" spans="2:26">
      <c r="B360" s="1"/>
      <c r="C360" s="28"/>
      <c r="D360" s="19"/>
      <c r="G360" s="29"/>
      <c r="H360" s="212"/>
      <c r="I360" s="1"/>
      <c r="K360" s="30"/>
      <c r="L360" s="30"/>
      <c r="M360" s="1"/>
      <c r="N360" s="211"/>
      <c r="O360" s="211"/>
      <c r="P360" s="31"/>
      <c r="Q360" s="211"/>
      <c r="R360" s="211"/>
      <c r="S360" s="31"/>
      <c r="V360" s="1"/>
      <c r="W360" s="1"/>
      <c r="X360" s="1"/>
      <c r="Y360" s="30"/>
      <c r="Z360" s="211"/>
    </row>
    <row r="361" spans="2:26">
      <c r="B361" s="1"/>
      <c r="C361" s="28"/>
      <c r="D361" s="19"/>
      <c r="G361" s="29"/>
      <c r="H361" s="212"/>
      <c r="I361" s="1"/>
      <c r="K361" s="30"/>
      <c r="L361" s="30"/>
      <c r="M361" s="1"/>
      <c r="N361" s="211"/>
      <c r="O361" s="211"/>
      <c r="P361" s="31"/>
      <c r="Q361" s="211"/>
      <c r="R361" s="211"/>
      <c r="S361" s="31"/>
      <c r="V361" s="1"/>
      <c r="W361" s="1"/>
      <c r="X361" s="1"/>
      <c r="Y361" s="30"/>
      <c r="Z361" s="211"/>
    </row>
    <row r="362" spans="2:26">
      <c r="B362" s="1"/>
      <c r="C362" s="28"/>
      <c r="D362" s="19"/>
      <c r="G362" s="29"/>
      <c r="H362" s="212"/>
      <c r="I362" s="1"/>
      <c r="K362" s="30"/>
      <c r="L362" s="30"/>
      <c r="M362" s="1"/>
      <c r="N362" s="211"/>
      <c r="O362" s="211"/>
      <c r="P362" s="31"/>
      <c r="Q362" s="211"/>
      <c r="R362" s="211"/>
      <c r="S362" s="31"/>
      <c r="V362" s="1"/>
      <c r="W362" s="1"/>
      <c r="X362" s="1"/>
      <c r="Y362" s="30"/>
      <c r="Z362" s="211"/>
    </row>
    <row r="363" spans="2:26">
      <c r="B363" s="1"/>
      <c r="C363" s="28"/>
      <c r="D363" s="19"/>
      <c r="G363" s="29"/>
      <c r="H363" s="212"/>
      <c r="I363" s="1"/>
      <c r="K363" s="30"/>
      <c r="L363" s="30"/>
      <c r="M363" s="1"/>
      <c r="N363" s="211"/>
      <c r="O363" s="211"/>
      <c r="P363" s="31"/>
      <c r="Q363" s="211"/>
      <c r="R363" s="211"/>
      <c r="S363" s="31"/>
      <c r="V363" s="1"/>
      <c r="W363" s="1"/>
      <c r="X363" s="1"/>
      <c r="Y363" s="30"/>
      <c r="Z363" s="211"/>
    </row>
    <row r="364" spans="2:26">
      <c r="B364" s="1"/>
      <c r="C364" s="28"/>
      <c r="D364" s="19"/>
      <c r="G364" s="29"/>
      <c r="H364" s="212"/>
      <c r="I364" s="1"/>
      <c r="K364" s="30"/>
      <c r="L364" s="30"/>
      <c r="M364" s="1"/>
      <c r="N364" s="211"/>
      <c r="O364" s="211"/>
      <c r="P364" s="31"/>
      <c r="Q364" s="211"/>
      <c r="R364" s="211"/>
      <c r="S364" s="31"/>
      <c r="V364" s="1"/>
      <c r="W364" s="1"/>
      <c r="X364" s="1"/>
      <c r="Y364" s="30"/>
      <c r="Z364" s="211"/>
    </row>
    <row r="365" spans="2:26">
      <c r="B365" s="1"/>
      <c r="C365" s="28"/>
      <c r="D365" s="19"/>
      <c r="G365" s="29"/>
      <c r="H365" s="212"/>
      <c r="I365" s="1"/>
      <c r="K365" s="30"/>
      <c r="L365" s="30"/>
      <c r="M365" s="1"/>
      <c r="N365" s="211"/>
      <c r="O365" s="211"/>
      <c r="P365" s="31"/>
      <c r="Q365" s="211"/>
      <c r="R365" s="211"/>
      <c r="S365" s="31"/>
      <c r="V365" s="1"/>
      <c r="W365" s="1"/>
      <c r="X365" s="1"/>
      <c r="Y365" s="30"/>
      <c r="Z365" s="211"/>
    </row>
    <row r="366" spans="2:26">
      <c r="B366" s="1"/>
      <c r="C366" s="28"/>
      <c r="D366" s="19"/>
      <c r="G366" s="29"/>
      <c r="H366" s="212"/>
      <c r="I366" s="1"/>
      <c r="K366" s="30"/>
      <c r="L366" s="30"/>
      <c r="M366" s="1"/>
      <c r="N366" s="211"/>
      <c r="O366" s="211"/>
      <c r="P366" s="31"/>
      <c r="Q366" s="211"/>
      <c r="R366" s="211"/>
      <c r="S366" s="31"/>
      <c r="V366" s="1"/>
      <c r="W366" s="1"/>
      <c r="X366" s="1"/>
      <c r="Y366" s="30"/>
      <c r="Z366" s="211"/>
    </row>
    <row r="367" spans="2:26">
      <c r="B367" s="1"/>
      <c r="C367" s="28"/>
      <c r="D367" s="19"/>
      <c r="G367" s="29"/>
      <c r="H367" s="212"/>
      <c r="I367" s="1"/>
      <c r="K367" s="30"/>
      <c r="L367" s="30"/>
      <c r="M367" s="1"/>
      <c r="N367" s="211"/>
      <c r="O367" s="211"/>
      <c r="P367" s="31"/>
      <c r="Q367" s="211"/>
      <c r="R367" s="211"/>
      <c r="S367" s="31"/>
      <c r="V367" s="1"/>
      <c r="W367" s="1"/>
      <c r="X367" s="1"/>
      <c r="Y367" s="30"/>
      <c r="Z367" s="211"/>
    </row>
    <row r="368" spans="2:26">
      <c r="B368" s="1"/>
      <c r="C368" s="28"/>
      <c r="D368" s="19"/>
      <c r="G368" s="29"/>
      <c r="H368" s="212"/>
      <c r="I368" s="1"/>
      <c r="K368" s="30"/>
      <c r="L368" s="30"/>
      <c r="M368" s="1"/>
      <c r="N368" s="211"/>
      <c r="O368" s="211"/>
      <c r="P368" s="31"/>
      <c r="Q368" s="211"/>
      <c r="R368" s="211"/>
      <c r="S368" s="31"/>
      <c r="V368" s="1"/>
      <c r="W368" s="1"/>
      <c r="X368" s="1"/>
      <c r="Y368" s="30"/>
      <c r="Z368" s="211"/>
    </row>
    <row r="369" spans="2:26">
      <c r="B369" s="1"/>
      <c r="C369" s="28"/>
      <c r="D369" s="19"/>
      <c r="G369" s="29"/>
      <c r="H369" s="212"/>
      <c r="I369" s="1"/>
      <c r="K369" s="30"/>
      <c r="L369" s="30"/>
      <c r="M369" s="1"/>
      <c r="N369" s="211"/>
      <c r="O369" s="211"/>
      <c r="P369" s="31"/>
      <c r="Q369" s="211"/>
      <c r="R369" s="211"/>
      <c r="S369" s="31"/>
      <c r="V369" s="1"/>
      <c r="W369" s="1"/>
      <c r="X369" s="1"/>
      <c r="Y369" s="30"/>
      <c r="Z369" s="211"/>
    </row>
    <row r="370" spans="2:26">
      <c r="B370" s="1"/>
      <c r="C370" s="28"/>
      <c r="D370" s="19"/>
      <c r="G370" s="29"/>
      <c r="H370" s="212"/>
      <c r="I370" s="1"/>
      <c r="K370" s="30"/>
      <c r="L370" s="30"/>
      <c r="M370" s="1"/>
      <c r="N370" s="211"/>
      <c r="O370" s="211"/>
      <c r="P370" s="31"/>
      <c r="Q370" s="211"/>
      <c r="R370" s="211"/>
      <c r="S370" s="31"/>
      <c r="V370" s="1"/>
      <c r="W370" s="1"/>
      <c r="X370" s="1"/>
      <c r="Y370" s="30"/>
      <c r="Z370" s="211"/>
    </row>
    <row r="371" spans="2:26">
      <c r="B371" s="1"/>
      <c r="C371" s="28"/>
      <c r="D371" s="19"/>
      <c r="G371" s="29"/>
      <c r="H371" s="212"/>
      <c r="I371" s="1"/>
      <c r="K371" s="30"/>
      <c r="L371" s="30"/>
      <c r="M371" s="1"/>
      <c r="N371" s="211"/>
      <c r="O371" s="211"/>
      <c r="P371" s="31"/>
      <c r="Q371" s="211"/>
      <c r="R371" s="211"/>
      <c r="S371" s="31"/>
      <c r="V371" s="1"/>
      <c r="W371" s="1"/>
      <c r="X371" s="1"/>
      <c r="Y371" s="30"/>
      <c r="Z371" s="211"/>
    </row>
    <row r="372" spans="2:26">
      <c r="B372" s="1"/>
      <c r="C372" s="28"/>
      <c r="D372" s="19"/>
      <c r="G372" s="29"/>
      <c r="H372" s="212"/>
      <c r="I372" s="1"/>
      <c r="K372" s="30"/>
      <c r="L372" s="30"/>
      <c r="M372" s="1"/>
      <c r="N372" s="211"/>
      <c r="O372" s="211"/>
      <c r="P372" s="31"/>
      <c r="Q372" s="211"/>
      <c r="R372" s="211"/>
      <c r="S372" s="31"/>
      <c r="V372" s="1"/>
      <c r="W372" s="1"/>
      <c r="X372" s="1"/>
      <c r="Y372" s="30"/>
      <c r="Z372" s="211"/>
    </row>
    <row r="373" spans="2:26">
      <c r="B373" s="1"/>
      <c r="C373" s="28"/>
      <c r="D373" s="19"/>
      <c r="G373" s="29"/>
      <c r="H373" s="212"/>
      <c r="I373" s="1"/>
      <c r="K373" s="30"/>
      <c r="L373" s="30"/>
      <c r="M373" s="1"/>
      <c r="N373" s="211"/>
      <c r="O373" s="211"/>
      <c r="P373" s="31"/>
      <c r="Q373" s="211"/>
      <c r="R373" s="211"/>
      <c r="S373" s="31"/>
      <c r="V373" s="1"/>
      <c r="W373" s="1"/>
      <c r="X373" s="1"/>
      <c r="Y373" s="30"/>
      <c r="Z373" s="211"/>
    </row>
    <row r="374" spans="2:26">
      <c r="B374" s="1"/>
      <c r="C374" s="28"/>
      <c r="D374" s="19"/>
      <c r="G374" s="29"/>
      <c r="H374" s="212"/>
      <c r="I374" s="1"/>
      <c r="K374" s="30"/>
      <c r="L374" s="30"/>
      <c r="M374" s="1"/>
      <c r="N374" s="211"/>
      <c r="O374" s="211"/>
      <c r="P374" s="31"/>
      <c r="Q374" s="211"/>
      <c r="R374" s="211"/>
      <c r="S374" s="31"/>
      <c r="V374" s="1"/>
      <c r="W374" s="1"/>
      <c r="X374" s="1"/>
      <c r="Y374" s="30"/>
      <c r="Z374" s="211"/>
    </row>
    <row r="375" spans="2:26">
      <c r="B375" s="1"/>
      <c r="C375" s="28"/>
      <c r="D375" s="19"/>
      <c r="G375" s="29"/>
      <c r="H375" s="212"/>
      <c r="I375" s="1"/>
      <c r="K375" s="30"/>
      <c r="L375" s="30"/>
      <c r="M375" s="1"/>
      <c r="N375" s="211"/>
      <c r="O375" s="211"/>
      <c r="P375" s="31"/>
      <c r="Q375" s="211"/>
      <c r="R375" s="211"/>
      <c r="S375" s="31"/>
      <c r="V375" s="1"/>
      <c r="W375" s="1"/>
      <c r="X375" s="1"/>
      <c r="Y375" s="30"/>
      <c r="Z375" s="211"/>
    </row>
    <row r="376" spans="2:26">
      <c r="B376" s="1"/>
      <c r="C376" s="28"/>
      <c r="D376" s="19"/>
      <c r="G376" s="29"/>
      <c r="H376" s="212"/>
      <c r="I376" s="1"/>
      <c r="K376" s="30"/>
      <c r="L376" s="30"/>
      <c r="M376" s="1"/>
      <c r="N376" s="211"/>
      <c r="O376" s="211"/>
      <c r="P376" s="31"/>
      <c r="Q376" s="211"/>
      <c r="R376" s="211"/>
      <c r="S376" s="31"/>
      <c r="V376" s="1"/>
      <c r="W376" s="1"/>
      <c r="X376" s="1"/>
      <c r="Y376" s="30"/>
      <c r="Z376" s="211"/>
    </row>
    <row r="377" spans="2:26">
      <c r="B377" s="1"/>
      <c r="C377" s="28"/>
      <c r="D377" s="19"/>
      <c r="G377" s="29"/>
      <c r="H377" s="212"/>
      <c r="I377" s="1"/>
      <c r="K377" s="30"/>
      <c r="L377" s="30"/>
      <c r="M377" s="1"/>
      <c r="N377" s="211"/>
      <c r="O377" s="211"/>
      <c r="P377" s="31"/>
      <c r="Q377" s="211"/>
      <c r="R377" s="211"/>
      <c r="S377" s="31"/>
      <c r="V377" s="1"/>
      <c r="W377" s="1"/>
      <c r="X377" s="1"/>
      <c r="Y377" s="30"/>
      <c r="Z377" s="211"/>
    </row>
    <row r="378" spans="2:26">
      <c r="B378" s="1"/>
      <c r="C378" s="28"/>
      <c r="D378" s="19"/>
      <c r="G378" s="29"/>
      <c r="H378" s="212"/>
      <c r="I378" s="1"/>
      <c r="K378" s="30"/>
      <c r="L378" s="30"/>
      <c r="M378" s="1"/>
      <c r="N378" s="211"/>
      <c r="O378" s="211"/>
      <c r="P378" s="31"/>
      <c r="Q378" s="211"/>
      <c r="R378" s="211"/>
      <c r="S378" s="31"/>
      <c r="V378" s="1"/>
      <c r="W378" s="1"/>
      <c r="X378" s="1"/>
      <c r="Y378" s="30"/>
      <c r="Z378" s="211"/>
    </row>
    <row r="379" spans="2:26">
      <c r="B379" s="1"/>
      <c r="C379" s="28"/>
      <c r="D379" s="19"/>
      <c r="G379" s="29"/>
      <c r="H379" s="212"/>
      <c r="I379" s="1"/>
      <c r="K379" s="30"/>
      <c r="L379" s="30"/>
      <c r="M379" s="1"/>
      <c r="N379" s="211"/>
      <c r="O379" s="211"/>
      <c r="P379" s="31"/>
      <c r="Q379" s="211"/>
      <c r="R379" s="211"/>
      <c r="S379" s="31"/>
      <c r="V379" s="1"/>
      <c r="W379" s="1"/>
      <c r="X379" s="1"/>
      <c r="Y379" s="30"/>
      <c r="Z379" s="211"/>
    </row>
    <row r="380" spans="2:26">
      <c r="B380" s="1"/>
      <c r="C380" s="28"/>
      <c r="D380" s="19"/>
      <c r="G380" s="29"/>
      <c r="H380" s="212"/>
      <c r="I380" s="1"/>
      <c r="K380" s="30"/>
      <c r="L380" s="30"/>
      <c r="M380" s="1"/>
      <c r="N380" s="211"/>
      <c r="O380" s="211"/>
      <c r="P380" s="31"/>
      <c r="Q380" s="211"/>
      <c r="R380" s="211"/>
      <c r="S380" s="31"/>
      <c r="V380" s="1"/>
      <c r="W380" s="1"/>
      <c r="X380" s="1"/>
      <c r="Y380" s="30"/>
      <c r="Z380" s="211"/>
    </row>
    <row r="381" spans="2:26">
      <c r="B381" s="1"/>
      <c r="C381" s="28"/>
      <c r="D381" s="19"/>
      <c r="G381" s="29"/>
      <c r="H381" s="212"/>
      <c r="I381" s="1"/>
      <c r="K381" s="30"/>
      <c r="L381" s="30"/>
      <c r="M381" s="1"/>
      <c r="N381" s="211"/>
      <c r="O381" s="211"/>
      <c r="P381" s="31"/>
      <c r="Q381" s="211"/>
      <c r="R381" s="211"/>
      <c r="S381" s="31"/>
      <c r="V381" s="1"/>
      <c r="W381" s="1"/>
      <c r="X381" s="1"/>
      <c r="Y381" s="30"/>
      <c r="Z381" s="211"/>
    </row>
    <row r="382" spans="2:26">
      <c r="B382" s="1"/>
      <c r="C382" s="28"/>
      <c r="D382" s="19"/>
      <c r="G382" s="29"/>
      <c r="H382" s="212"/>
      <c r="I382" s="1"/>
      <c r="K382" s="30"/>
      <c r="L382" s="30"/>
      <c r="M382" s="1"/>
      <c r="N382" s="211"/>
      <c r="O382" s="211"/>
      <c r="P382" s="31"/>
      <c r="Q382" s="211"/>
      <c r="R382" s="211"/>
      <c r="S382" s="31"/>
      <c r="V382" s="1"/>
      <c r="W382" s="1"/>
      <c r="X382" s="1"/>
      <c r="Y382" s="30"/>
      <c r="Z382" s="211"/>
    </row>
    <row r="383" spans="2:26">
      <c r="B383" s="1"/>
      <c r="C383" s="28"/>
      <c r="D383" s="19"/>
      <c r="G383" s="29"/>
      <c r="H383" s="212"/>
      <c r="I383" s="1"/>
      <c r="K383" s="30"/>
      <c r="L383" s="30"/>
      <c r="M383" s="1"/>
      <c r="N383" s="211"/>
      <c r="O383" s="211"/>
      <c r="P383" s="31"/>
      <c r="Q383" s="211"/>
      <c r="R383" s="211"/>
      <c r="S383" s="31"/>
      <c r="V383" s="1"/>
      <c r="W383" s="1"/>
      <c r="X383" s="1"/>
      <c r="Y383" s="30"/>
      <c r="Z383" s="211"/>
    </row>
    <row r="384" spans="2:26">
      <c r="B384" s="1"/>
      <c r="C384" s="28"/>
      <c r="D384" s="19"/>
      <c r="G384" s="29"/>
      <c r="H384" s="212"/>
      <c r="I384" s="1"/>
      <c r="K384" s="30"/>
      <c r="L384" s="30"/>
      <c r="M384" s="1"/>
      <c r="N384" s="211"/>
      <c r="O384" s="211"/>
      <c r="P384" s="31"/>
      <c r="Q384" s="211"/>
      <c r="R384" s="211"/>
      <c r="S384" s="31"/>
      <c r="V384" s="1"/>
      <c r="W384" s="1"/>
      <c r="X384" s="1"/>
      <c r="Y384" s="30"/>
      <c r="Z384" s="211"/>
    </row>
    <row r="385" spans="2:26">
      <c r="B385" s="1"/>
      <c r="C385" s="28"/>
      <c r="D385" s="19"/>
      <c r="G385" s="29"/>
      <c r="H385" s="212"/>
      <c r="I385" s="1"/>
      <c r="K385" s="30"/>
      <c r="L385" s="30"/>
      <c r="M385" s="1"/>
      <c r="N385" s="211"/>
      <c r="O385" s="211"/>
      <c r="P385" s="31"/>
      <c r="Q385" s="211"/>
      <c r="R385" s="211"/>
      <c r="S385" s="31"/>
      <c r="V385" s="1"/>
      <c r="W385" s="1"/>
      <c r="X385" s="1"/>
      <c r="Y385" s="30"/>
      <c r="Z385" s="211"/>
    </row>
    <row r="386" spans="2:26">
      <c r="B386" s="1"/>
      <c r="C386" s="28"/>
      <c r="D386" s="19"/>
      <c r="G386" s="29"/>
      <c r="H386" s="212"/>
      <c r="I386" s="1"/>
      <c r="K386" s="30"/>
      <c r="L386" s="30"/>
      <c r="M386" s="1"/>
      <c r="N386" s="211"/>
      <c r="O386" s="211"/>
      <c r="P386" s="31"/>
      <c r="Q386" s="211"/>
      <c r="R386" s="211"/>
      <c r="S386" s="31"/>
      <c r="V386" s="1"/>
      <c r="W386" s="1"/>
      <c r="X386" s="1"/>
      <c r="Y386" s="30"/>
      <c r="Z386" s="211"/>
    </row>
    <row r="387" spans="2:26">
      <c r="B387" s="1"/>
      <c r="C387" s="28"/>
      <c r="D387" s="19"/>
      <c r="G387" s="29"/>
      <c r="H387" s="212"/>
      <c r="I387" s="1"/>
      <c r="K387" s="30"/>
      <c r="L387" s="30"/>
      <c r="M387" s="1"/>
      <c r="N387" s="211"/>
      <c r="O387" s="211"/>
      <c r="P387" s="31"/>
      <c r="Q387" s="211"/>
      <c r="R387" s="211"/>
      <c r="S387" s="31"/>
      <c r="V387" s="1"/>
      <c r="W387" s="1"/>
      <c r="X387" s="1"/>
      <c r="Y387" s="30"/>
      <c r="Z387" s="211"/>
    </row>
    <row r="388" spans="2:26">
      <c r="B388" s="1"/>
      <c r="C388" s="28"/>
      <c r="D388" s="19"/>
      <c r="G388" s="29"/>
      <c r="H388" s="212"/>
      <c r="I388" s="1"/>
      <c r="K388" s="30"/>
      <c r="L388" s="30"/>
      <c r="M388" s="1"/>
      <c r="N388" s="211"/>
      <c r="O388" s="211"/>
      <c r="P388" s="31"/>
      <c r="Q388" s="211"/>
      <c r="R388" s="211"/>
      <c r="S388" s="31"/>
      <c r="V388" s="1"/>
      <c r="W388" s="1"/>
      <c r="X388" s="1"/>
      <c r="Y388" s="30"/>
      <c r="Z388" s="211"/>
    </row>
    <row r="389" spans="2:26">
      <c r="B389" s="1"/>
      <c r="C389" s="28"/>
      <c r="D389" s="19"/>
      <c r="G389" s="29"/>
      <c r="H389" s="212"/>
      <c r="I389" s="1"/>
      <c r="K389" s="30"/>
      <c r="L389" s="30"/>
      <c r="M389" s="1"/>
      <c r="N389" s="211"/>
      <c r="O389" s="211"/>
      <c r="P389" s="31"/>
      <c r="Q389" s="211"/>
      <c r="R389" s="211"/>
      <c r="S389" s="31"/>
      <c r="V389" s="1"/>
      <c r="W389" s="1"/>
      <c r="X389" s="1"/>
      <c r="Y389" s="30"/>
      <c r="Z389" s="211"/>
    </row>
    <row r="390" spans="2:26">
      <c r="B390" s="1"/>
      <c r="C390" s="28"/>
      <c r="D390" s="19"/>
      <c r="G390" s="29"/>
      <c r="H390" s="212"/>
      <c r="I390" s="1"/>
      <c r="K390" s="30"/>
      <c r="L390" s="30"/>
      <c r="M390" s="1"/>
      <c r="N390" s="211"/>
      <c r="O390" s="211"/>
      <c r="P390" s="31"/>
      <c r="Q390" s="211"/>
      <c r="R390" s="211"/>
      <c r="S390" s="31"/>
      <c r="V390" s="1"/>
      <c r="W390" s="1"/>
      <c r="X390" s="1"/>
      <c r="Y390" s="30"/>
      <c r="Z390" s="211"/>
    </row>
    <row r="391" spans="2:26">
      <c r="B391" s="1"/>
      <c r="C391" s="28"/>
      <c r="D391" s="19"/>
      <c r="G391" s="29"/>
      <c r="H391" s="212"/>
      <c r="I391" s="1"/>
      <c r="K391" s="30"/>
      <c r="L391" s="30"/>
      <c r="M391" s="1"/>
      <c r="N391" s="211"/>
      <c r="O391" s="211"/>
      <c r="P391" s="31"/>
      <c r="Q391" s="211"/>
      <c r="R391" s="211"/>
      <c r="S391" s="31"/>
      <c r="V391" s="1"/>
      <c r="W391" s="1"/>
      <c r="X391" s="1"/>
      <c r="Y391" s="30"/>
      <c r="Z391" s="211"/>
    </row>
    <row r="392" spans="2:26">
      <c r="B392" s="1"/>
      <c r="C392" s="28"/>
      <c r="D392" s="19"/>
      <c r="G392" s="29"/>
      <c r="H392" s="212"/>
      <c r="I392" s="1"/>
      <c r="K392" s="30"/>
      <c r="L392" s="30"/>
      <c r="M392" s="1"/>
      <c r="N392" s="211"/>
      <c r="O392" s="211"/>
      <c r="P392" s="31"/>
      <c r="Q392" s="211"/>
      <c r="R392" s="211"/>
      <c r="S392" s="31"/>
      <c r="V392" s="1"/>
      <c r="W392" s="1"/>
      <c r="X392" s="1"/>
      <c r="Y392" s="30"/>
      <c r="Z392" s="211"/>
    </row>
    <row r="393" spans="2:26">
      <c r="B393" s="1"/>
      <c r="C393" s="28"/>
      <c r="D393" s="19"/>
      <c r="G393" s="29"/>
      <c r="H393" s="212"/>
      <c r="I393" s="1"/>
      <c r="K393" s="30"/>
      <c r="L393" s="30"/>
      <c r="M393" s="1"/>
      <c r="N393" s="211"/>
      <c r="O393" s="211"/>
      <c r="P393" s="31"/>
      <c r="Q393" s="211"/>
      <c r="R393" s="211"/>
      <c r="S393" s="31"/>
      <c r="V393" s="1"/>
      <c r="W393" s="1"/>
      <c r="X393" s="1"/>
      <c r="Y393" s="30"/>
      <c r="Z393" s="211"/>
    </row>
    <row r="394" spans="2:26">
      <c r="B394" s="1"/>
      <c r="C394" s="28"/>
      <c r="D394" s="19"/>
      <c r="G394" s="29"/>
      <c r="H394" s="212"/>
      <c r="I394" s="1"/>
      <c r="K394" s="30"/>
      <c r="L394" s="30"/>
      <c r="M394" s="1"/>
      <c r="N394" s="211"/>
      <c r="O394" s="211"/>
      <c r="P394" s="31"/>
      <c r="Q394" s="211"/>
      <c r="R394" s="211"/>
      <c r="S394" s="31"/>
      <c r="V394" s="1"/>
      <c r="W394" s="1"/>
      <c r="X394" s="1"/>
      <c r="Y394" s="30"/>
      <c r="Z394" s="211"/>
    </row>
    <row r="395" spans="2:26">
      <c r="B395" s="1"/>
      <c r="C395" s="28"/>
      <c r="D395" s="19"/>
      <c r="G395" s="29"/>
      <c r="H395" s="212"/>
      <c r="I395" s="1"/>
      <c r="K395" s="30"/>
      <c r="L395" s="30"/>
      <c r="M395" s="1"/>
      <c r="N395" s="211"/>
      <c r="O395" s="211"/>
      <c r="P395" s="31"/>
      <c r="Q395" s="211"/>
      <c r="R395" s="211"/>
      <c r="S395" s="31"/>
      <c r="V395" s="1"/>
      <c r="W395" s="1"/>
      <c r="X395" s="1"/>
      <c r="Y395" s="30"/>
      <c r="Z395" s="211"/>
    </row>
    <row r="396" spans="2:26">
      <c r="B396" s="1"/>
      <c r="C396" s="28"/>
      <c r="D396" s="19"/>
      <c r="G396" s="29"/>
      <c r="H396" s="212"/>
      <c r="I396" s="1"/>
      <c r="K396" s="30"/>
      <c r="L396" s="30"/>
      <c r="M396" s="1"/>
      <c r="N396" s="211"/>
      <c r="O396" s="211"/>
      <c r="P396" s="31"/>
      <c r="Q396" s="211"/>
      <c r="R396" s="211"/>
      <c r="S396" s="31"/>
      <c r="V396" s="1"/>
      <c r="W396" s="1"/>
      <c r="X396" s="1"/>
      <c r="Y396" s="30"/>
      <c r="Z396" s="211"/>
    </row>
    <row r="397" spans="2:26">
      <c r="B397" s="1"/>
      <c r="C397" s="28"/>
      <c r="D397" s="19"/>
      <c r="G397" s="29"/>
      <c r="H397" s="212"/>
      <c r="I397" s="1"/>
      <c r="K397" s="30"/>
      <c r="L397" s="30"/>
      <c r="M397" s="1"/>
      <c r="N397" s="211"/>
      <c r="O397" s="211"/>
      <c r="P397" s="31"/>
      <c r="Q397" s="211"/>
      <c r="R397" s="211"/>
      <c r="S397" s="31"/>
      <c r="V397" s="1"/>
      <c r="W397" s="1"/>
      <c r="X397" s="1"/>
      <c r="Y397" s="30"/>
      <c r="Z397" s="211"/>
    </row>
    <row r="398" spans="2:26">
      <c r="B398" s="1"/>
      <c r="C398" s="28"/>
      <c r="D398" s="19"/>
      <c r="G398" s="29"/>
      <c r="H398" s="212"/>
      <c r="I398" s="1"/>
      <c r="K398" s="30"/>
      <c r="L398" s="30"/>
      <c r="M398" s="1"/>
      <c r="N398" s="211"/>
      <c r="O398" s="211"/>
      <c r="P398" s="31"/>
      <c r="Q398" s="211"/>
      <c r="R398" s="211"/>
      <c r="S398" s="31"/>
      <c r="V398" s="1"/>
      <c r="W398" s="1"/>
      <c r="X398" s="1"/>
      <c r="Y398" s="30"/>
      <c r="Z398" s="211"/>
    </row>
    <row r="399" spans="2:26">
      <c r="B399" s="1"/>
      <c r="C399" s="28"/>
      <c r="D399" s="19"/>
      <c r="G399" s="29"/>
      <c r="H399" s="212"/>
      <c r="I399" s="1"/>
      <c r="K399" s="30"/>
      <c r="L399" s="30"/>
      <c r="M399" s="1"/>
      <c r="N399" s="211"/>
      <c r="O399" s="211"/>
      <c r="P399" s="31"/>
      <c r="Q399" s="211"/>
      <c r="R399" s="211"/>
      <c r="S399" s="31"/>
      <c r="V399" s="1"/>
      <c r="W399" s="1"/>
      <c r="X399" s="1"/>
      <c r="Y399" s="30"/>
      <c r="Z399" s="211"/>
    </row>
    <row r="400" spans="2:26">
      <c r="B400" s="1"/>
      <c r="C400" s="28"/>
      <c r="D400" s="19"/>
      <c r="G400" s="29"/>
      <c r="H400" s="212"/>
      <c r="I400" s="1"/>
      <c r="K400" s="30"/>
      <c r="L400" s="30"/>
      <c r="M400" s="1"/>
      <c r="N400" s="211"/>
      <c r="O400" s="211"/>
      <c r="P400" s="31"/>
      <c r="Q400" s="211"/>
      <c r="R400" s="211"/>
      <c r="S400" s="31"/>
      <c r="V400" s="1"/>
      <c r="W400" s="1"/>
      <c r="X400" s="1"/>
      <c r="Y400" s="30"/>
      <c r="Z400" s="211"/>
    </row>
    <row r="401" spans="2:26">
      <c r="B401" s="1"/>
      <c r="C401" s="28"/>
      <c r="D401" s="19"/>
      <c r="G401" s="29"/>
      <c r="H401" s="212"/>
      <c r="I401" s="1"/>
      <c r="K401" s="30"/>
      <c r="L401" s="30"/>
      <c r="M401" s="1"/>
      <c r="N401" s="211"/>
      <c r="O401" s="211"/>
      <c r="P401" s="31"/>
      <c r="Q401" s="211"/>
      <c r="R401" s="211"/>
      <c r="S401" s="31"/>
      <c r="V401" s="1"/>
      <c r="W401" s="1"/>
      <c r="X401" s="1"/>
      <c r="Y401" s="30"/>
      <c r="Z401" s="211"/>
    </row>
    <row r="402" spans="2:26">
      <c r="B402" s="1"/>
      <c r="C402" s="28"/>
      <c r="D402" s="19"/>
      <c r="G402" s="29"/>
      <c r="H402" s="212"/>
      <c r="I402" s="1"/>
      <c r="K402" s="30"/>
      <c r="L402" s="30"/>
      <c r="M402" s="1"/>
      <c r="N402" s="211"/>
      <c r="O402" s="211"/>
      <c r="P402" s="31"/>
      <c r="Q402" s="211"/>
      <c r="R402" s="211"/>
      <c r="S402" s="31"/>
      <c r="V402" s="1"/>
      <c r="W402" s="1"/>
      <c r="X402" s="1"/>
      <c r="Y402" s="30"/>
      <c r="Z402" s="211"/>
    </row>
    <row r="403" spans="2:26">
      <c r="B403" s="1"/>
      <c r="C403" s="28"/>
      <c r="D403" s="19"/>
      <c r="G403" s="29"/>
      <c r="H403" s="212"/>
      <c r="I403" s="1"/>
      <c r="K403" s="30"/>
      <c r="L403" s="30"/>
      <c r="M403" s="1"/>
      <c r="N403" s="211"/>
      <c r="O403" s="211"/>
      <c r="P403" s="31"/>
      <c r="Q403" s="211"/>
      <c r="R403" s="211"/>
      <c r="S403" s="31"/>
      <c r="V403" s="1"/>
      <c r="W403" s="1"/>
      <c r="X403" s="1"/>
      <c r="Y403" s="30"/>
      <c r="Z403" s="211"/>
    </row>
    <row r="404" spans="2:26">
      <c r="B404" s="1"/>
      <c r="C404" s="28"/>
      <c r="D404" s="19"/>
      <c r="G404" s="29"/>
      <c r="H404" s="212"/>
      <c r="I404" s="1"/>
      <c r="K404" s="30"/>
      <c r="L404" s="30"/>
      <c r="M404" s="1"/>
      <c r="N404" s="211"/>
      <c r="O404" s="211"/>
      <c r="P404" s="31"/>
      <c r="Q404" s="211"/>
      <c r="R404" s="211"/>
      <c r="S404" s="31"/>
      <c r="V404" s="1"/>
      <c r="W404" s="1"/>
      <c r="X404" s="1"/>
      <c r="Y404" s="30"/>
      <c r="Z404" s="211"/>
    </row>
    <row r="405" spans="2:26">
      <c r="B405" s="1"/>
      <c r="C405" s="28"/>
      <c r="D405" s="19"/>
      <c r="G405" s="29"/>
      <c r="H405" s="212"/>
      <c r="I405" s="1"/>
      <c r="K405" s="30"/>
      <c r="L405" s="30"/>
      <c r="M405" s="1"/>
      <c r="N405" s="211"/>
      <c r="O405" s="211"/>
      <c r="P405" s="31"/>
      <c r="Q405" s="211"/>
      <c r="R405" s="211"/>
      <c r="S405" s="31"/>
      <c r="V405" s="1"/>
      <c r="W405" s="1"/>
      <c r="X405" s="1"/>
      <c r="Y405" s="30"/>
      <c r="Z405" s="211"/>
    </row>
    <row r="406" spans="2:26">
      <c r="B406" s="1"/>
      <c r="C406" s="28"/>
      <c r="D406" s="19"/>
      <c r="G406" s="29"/>
      <c r="H406" s="214"/>
      <c r="I406" s="1"/>
      <c r="K406" s="30"/>
      <c r="L406" s="30"/>
      <c r="M406" s="1"/>
      <c r="N406" s="211"/>
      <c r="O406" s="211"/>
      <c r="P406" s="31"/>
      <c r="Q406" s="211"/>
      <c r="R406" s="211"/>
      <c r="S406" s="31"/>
      <c r="V406" s="1"/>
      <c r="W406" s="1"/>
      <c r="X406" s="1"/>
      <c r="Y406" s="30"/>
      <c r="Z406" s="211"/>
    </row>
    <row r="407" spans="2:26">
      <c r="B407" s="1"/>
      <c r="C407" s="28"/>
      <c r="D407" s="19"/>
      <c r="G407" s="29"/>
      <c r="H407" s="212"/>
      <c r="I407" s="1"/>
      <c r="K407" s="30"/>
      <c r="L407" s="30"/>
      <c r="M407" s="1"/>
      <c r="N407" s="211"/>
      <c r="O407" s="211"/>
      <c r="P407" s="31"/>
      <c r="Q407" s="211"/>
      <c r="R407" s="211"/>
      <c r="S407" s="31"/>
      <c r="V407" s="1"/>
      <c r="W407" s="1"/>
      <c r="X407" s="1"/>
      <c r="Y407" s="30"/>
      <c r="Z407" s="211"/>
    </row>
    <row r="408" spans="2:26">
      <c r="B408" s="1"/>
      <c r="C408" s="28"/>
      <c r="D408" s="19"/>
      <c r="G408" s="29"/>
      <c r="H408" s="212"/>
      <c r="I408" s="1"/>
      <c r="K408" s="30"/>
      <c r="L408" s="30"/>
      <c r="M408" s="1"/>
      <c r="N408" s="211"/>
      <c r="O408" s="211"/>
      <c r="P408" s="31"/>
      <c r="Q408" s="211"/>
      <c r="R408" s="211"/>
      <c r="S408" s="31"/>
      <c r="V408" s="1"/>
      <c r="W408" s="1"/>
      <c r="X408" s="1"/>
      <c r="Y408" s="30"/>
      <c r="Z408" s="211"/>
    </row>
    <row r="409" spans="2:26">
      <c r="B409" s="1"/>
      <c r="C409" s="28"/>
      <c r="D409" s="19"/>
      <c r="G409" s="29"/>
      <c r="H409" s="212"/>
      <c r="I409" s="1"/>
      <c r="K409" s="30"/>
      <c r="L409" s="30"/>
      <c r="M409" s="1"/>
      <c r="N409" s="211"/>
      <c r="O409" s="211"/>
      <c r="P409" s="31"/>
      <c r="Q409" s="211"/>
      <c r="R409" s="211"/>
      <c r="S409" s="31"/>
      <c r="V409" s="1"/>
      <c r="W409" s="1"/>
      <c r="X409" s="1"/>
      <c r="Y409" s="30"/>
      <c r="Z409" s="211"/>
    </row>
    <row r="410" spans="2:26">
      <c r="B410" s="1"/>
      <c r="C410" s="28"/>
      <c r="D410" s="19"/>
      <c r="G410" s="29"/>
      <c r="H410" s="212"/>
      <c r="I410" s="1"/>
      <c r="K410" s="30"/>
      <c r="L410" s="30"/>
      <c r="M410" s="1"/>
      <c r="N410" s="211"/>
      <c r="O410" s="211"/>
      <c r="P410" s="31"/>
      <c r="Q410" s="211"/>
      <c r="R410" s="211"/>
      <c r="S410" s="31"/>
      <c r="V410" s="1"/>
      <c r="W410" s="1"/>
      <c r="X410" s="1"/>
      <c r="Y410" s="30"/>
      <c r="Z410" s="211"/>
    </row>
    <row r="411" spans="2:26">
      <c r="B411" s="1"/>
      <c r="C411" s="28"/>
      <c r="D411" s="19"/>
      <c r="G411" s="29"/>
      <c r="H411" s="212"/>
      <c r="I411" s="1"/>
      <c r="K411" s="30"/>
      <c r="L411" s="30"/>
      <c r="M411" s="1"/>
      <c r="N411" s="211"/>
      <c r="O411" s="211"/>
      <c r="P411" s="31"/>
      <c r="Q411" s="211"/>
      <c r="R411" s="211"/>
      <c r="S411" s="31"/>
      <c r="V411" s="1"/>
      <c r="W411" s="1"/>
      <c r="X411" s="1"/>
      <c r="Y411" s="30"/>
      <c r="Z411" s="211"/>
    </row>
    <row r="412" spans="2:26">
      <c r="B412" s="1"/>
      <c r="C412" s="28"/>
      <c r="D412" s="19"/>
      <c r="G412" s="29"/>
      <c r="H412" s="212"/>
      <c r="I412" s="1"/>
      <c r="K412" s="30"/>
      <c r="L412" s="30"/>
      <c r="M412" s="1"/>
      <c r="N412" s="211"/>
      <c r="O412" s="211"/>
      <c r="P412" s="31"/>
      <c r="Q412" s="211"/>
      <c r="R412" s="211"/>
      <c r="S412" s="31"/>
      <c r="V412" s="1"/>
      <c r="W412" s="1"/>
      <c r="X412" s="1"/>
      <c r="Y412" s="30"/>
      <c r="Z412" s="211"/>
    </row>
    <row r="413" spans="2:26">
      <c r="B413" s="1"/>
      <c r="C413" s="28"/>
      <c r="D413" s="19"/>
      <c r="G413" s="29"/>
      <c r="H413" s="212"/>
      <c r="I413" s="1"/>
      <c r="K413" s="30"/>
      <c r="L413" s="30"/>
      <c r="M413" s="1"/>
      <c r="N413" s="211"/>
      <c r="O413" s="211"/>
      <c r="P413" s="31"/>
      <c r="Q413" s="211"/>
      <c r="R413" s="211"/>
      <c r="S413" s="31"/>
      <c r="V413" s="1"/>
      <c r="W413" s="1"/>
      <c r="X413" s="1"/>
      <c r="Y413" s="30"/>
      <c r="Z413" s="211"/>
    </row>
    <row r="414" spans="2:26">
      <c r="B414" s="1"/>
      <c r="C414" s="28"/>
      <c r="D414" s="19"/>
      <c r="G414" s="29"/>
      <c r="H414" s="212"/>
      <c r="I414" s="1"/>
      <c r="K414" s="30"/>
      <c r="L414" s="30"/>
      <c r="M414" s="1"/>
      <c r="N414" s="211"/>
      <c r="O414" s="211"/>
      <c r="P414" s="31"/>
      <c r="Q414" s="211"/>
      <c r="R414" s="211"/>
      <c r="S414" s="31"/>
      <c r="V414" s="1"/>
      <c r="W414" s="1"/>
      <c r="X414" s="1"/>
      <c r="Y414" s="30"/>
      <c r="Z414" s="211"/>
    </row>
    <row r="415" spans="2:26">
      <c r="B415" s="1"/>
      <c r="C415" s="28"/>
      <c r="D415" s="19"/>
      <c r="G415" s="29"/>
      <c r="H415" s="212"/>
      <c r="I415" s="1"/>
      <c r="K415" s="30"/>
      <c r="L415" s="30"/>
      <c r="M415" s="1"/>
      <c r="N415" s="211"/>
      <c r="O415" s="211"/>
      <c r="P415" s="31"/>
      <c r="Q415" s="211"/>
      <c r="R415" s="211"/>
      <c r="S415" s="31"/>
      <c r="V415" s="1"/>
      <c r="W415" s="1"/>
      <c r="X415" s="1"/>
      <c r="Y415" s="30"/>
      <c r="Z415" s="211"/>
    </row>
    <row r="416" spans="2:26">
      <c r="B416" s="1"/>
      <c r="C416" s="28"/>
      <c r="D416" s="19"/>
      <c r="G416" s="29"/>
      <c r="H416" s="212"/>
      <c r="I416" s="1"/>
      <c r="K416" s="30"/>
      <c r="L416" s="30"/>
      <c r="M416" s="1"/>
      <c r="N416" s="211"/>
      <c r="O416" s="211"/>
      <c r="P416" s="31"/>
      <c r="Q416" s="211"/>
      <c r="R416" s="211"/>
      <c r="S416" s="31"/>
      <c r="V416" s="1"/>
      <c r="W416" s="1"/>
      <c r="X416" s="1"/>
      <c r="Y416" s="30"/>
      <c r="Z416" s="211"/>
    </row>
    <row r="417" spans="2:26">
      <c r="B417" s="1"/>
      <c r="C417" s="28"/>
      <c r="D417" s="19"/>
      <c r="G417" s="29"/>
      <c r="H417" s="212"/>
      <c r="I417" s="1"/>
      <c r="K417" s="30"/>
      <c r="L417" s="30"/>
      <c r="M417" s="1"/>
      <c r="N417" s="211"/>
      <c r="O417" s="211"/>
      <c r="P417" s="31"/>
      <c r="Q417" s="211"/>
      <c r="R417" s="211"/>
      <c r="S417" s="31"/>
      <c r="V417" s="1"/>
      <c r="W417" s="1"/>
      <c r="X417" s="1"/>
      <c r="Y417" s="30"/>
      <c r="Z417" s="211"/>
    </row>
    <row r="418" spans="2:26">
      <c r="B418" s="1"/>
      <c r="C418" s="28"/>
      <c r="D418" s="19"/>
      <c r="G418" s="29"/>
      <c r="H418" s="212"/>
      <c r="I418" s="1"/>
      <c r="K418" s="30"/>
      <c r="L418" s="30"/>
      <c r="M418" s="1"/>
      <c r="N418" s="211"/>
      <c r="O418" s="211"/>
      <c r="P418" s="31"/>
      <c r="Q418" s="211"/>
      <c r="R418" s="211"/>
      <c r="S418" s="31"/>
      <c r="V418" s="1"/>
      <c r="W418" s="1"/>
      <c r="X418" s="1"/>
      <c r="Y418" s="30"/>
      <c r="Z418" s="211"/>
    </row>
    <row r="419" spans="2:26">
      <c r="B419" s="1"/>
      <c r="C419" s="28"/>
      <c r="D419" s="19"/>
      <c r="G419" s="29"/>
      <c r="H419" s="212"/>
      <c r="I419" s="1"/>
      <c r="K419" s="30"/>
      <c r="L419" s="30"/>
      <c r="M419" s="1"/>
      <c r="N419" s="211"/>
      <c r="O419" s="211"/>
      <c r="P419" s="31"/>
      <c r="Q419" s="211"/>
      <c r="R419" s="211"/>
      <c r="S419" s="31"/>
      <c r="V419" s="1"/>
      <c r="W419" s="1"/>
      <c r="X419" s="1"/>
      <c r="Y419" s="30"/>
      <c r="Z419" s="211"/>
    </row>
    <row r="420" spans="2:26">
      <c r="B420" s="1"/>
      <c r="C420" s="28"/>
      <c r="D420" s="19"/>
      <c r="G420" s="29"/>
      <c r="H420" s="212"/>
      <c r="I420" s="1"/>
      <c r="K420" s="30"/>
      <c r="L420" s="30"/>
      <c r="M420" s="1"/>
      <c r="N420" s="211"/>
      <c r="O420" s="211"/>
      <c r="P420" s="31"/>
      <c r="Q420" s="211"/>
      <c r="R420" s="211"/>
      <c r="S420" s="31"/>
      <c r="V420" s="1"/>
      <c r="W420" s="1"/>
      <c r="X420" s="1"/>
      <c r="Y420" s="30"/>
      <c r="Z420" s="211"/>
    </row>
    <row r="421" spans="2:26">
      <c r="B421" s="1"/>
      <c r="C421" s="28"/>
      <c r="D421" s="19"/>
      <c r="G421" s="29"/>
      <c r="H421" s="212"/>
      <c r="I421" s="1"/>
      <c r="K421" s="30"/>
      <c r="L421" s="30"/>
      <c r="M421" s="1"/>
      <c r="N421" s="211"/>
      <c r="O421" s="211"/>
      <c r="P421" s="31"/>
      <c r="Q421" s="211"/>
      <c r="R421" s="211"/>
      <c r="S421" s="31"/>
      <c r="V421" s="1"/>
      <c r="W421" s="1"/>
      <c r="X421" s="1"/>
      <c r="Y421" s="30"/>
      <c r="Z421" s="211"/>
    </row>
    <row r="422" spans="2:26">
      <c r="B422" s="1"/>
      <c r="C422" s="28"/>
      <c r="D422" s="19"/>
      <c r="G422" s="29"/>
      <c r="H422" s="212"/>
      <c r="I422" s="1"/>
      <c r="K422" s="30"/>
      <c r="L422" s="30"/>
      <c r="M422" s="1"/>
      <c r="N422" s="211"/>
      <c r="O422" s="211"/>
      <c r="P422" s="31"/>
      <c r="Q422" s="211"/>
      <c r="R422" s="211"/>
      <c r="S422" s="31"/>
      <c r="V422" s="1"/>
      <c r="W422" s="1"/>
      <c r="X422" s="1"/>
      <c r="Y422" s="30"/>
      <c r="Z422" s="211"/>
    </row>
    <row r="423" spans="2:26">
      <c r="B423" s="1"/>
      <c r="C423" s="28"/>
      <c r="D423" s="19"/>
      <c r="G423" s="29"/>
      <c r="H423" s="212"/>
      <c r="I423" s="1"/>
      <c r="K423" s="30"/>
      <c r="L423" s="30"/>
      <c r="M423" s="1"/>
      <c r="N423" s="211"/>
      <c r="O423" s="211"/>
      <c r="P423" s="31"/>
      <c r="Q423" s="211"/>
      <c r="R423" s="211"/>
      <c r="S423" s="31"/>
      <c r="V423" s="1"/>
      <c r="W423" s="1"/>
      <c r="X423" s="1"/>
      <c r="Y423" s="30"/>
      <c r="Z423" s="211"/>
    </row>
    <row r="424" spans="2:26">
      <c r="B424" s="1"/>
      <c r="C424" s="28"/>
      <c r="D424" s="19"/>
      <c r="G424" s="29"/>
      <c r="H424" s="212"/>
      <c r="I424" s="1"/>
      <c r="K424" s="30"/>
      <c r="L424" s="30"/>
      <c r="M424" s="1"/>
      <c r="N424" s="211"/>
      <c r="O424" s="211"/>
      <c r="P424" s="31"/>
      <c r="Q424" s="211"/>
      <c r="R424" s="211"/>
      <c r="S424" s="31"/>
      <c r="V424" s="1"/>
      <c r="W424" s="1"/>
      <c r="X424" s="1"/>
      <c r="Y424" s="30"/>
      <c r="Z424" s="211"/>
    </row>
    <row r="425" spans="2:26">
      <c r="B425" s="1"/>
      <c r="C425" s="28"/>
      <c r="D425" s="19"/>
      <c r="G425" s="29"/>
      <c r="H425" s="212"/>
      <c r="I425" s="1"/>
      <c r="K425" s="30"/>
      <c r="L425" s="30"/>
      <c r="M425" s="1"/>
      <c r="N425" s="211"/>
      <c r="O425" s="211"/>
      <c r="P425" s="31"/>
      <c r="Q425" s="211"/>
      <c r="R425" s="211"/>
      <c r="S425" s="31"/>
      <c r="V425" s="1"/>
      <c r="W425" s="1"/>
      <c r="X425" s="1"/>
      <c r="Y425" s="30"/>
      <c r="Z425" s="211"/>
    </row>
    <row r="426" spans="2:26">
      <c r="B426" s="1"/>
      <c r="C426" s="28"/>
      <c r="D426" s="19"/>
      <c r="G426" s="29"/>
      <c r="H426" s="212"/>
      <c r="I426" s="1"/>
      <c r="K426" s="30"/>
      <c r="L426" s="30"/>
      <c r="M426" s="1"/>
      <c r="N426" s="211"/>
      <c r="O426" s="211"/>
      <c r="P426" s="31"/>
      <c r="Q426" s="211"/>
      <c r="R426" s="211"/>
      <c r="S426" s="31"/>
      <c r="V426" s="1"/>
      <c r="W426" s="1"/>
      <c r="X426" s="1"/>
      <c r="Y426" s="30"/>
      <c r="Z426" s="211"/>
    </row>
    <row r="427" spans="2:26">
      <c r="B427" s="1"/>
      <c r="C427" s="28"/>
      <c r="D427" s="19"/>
      <c r="G427" s="29"/>
      <c r="H427" s="212"/>
      <c r="I427" s="1"/>
      <c r="K427" s="30"/>
      <c r="L427" s="30"/>
      <c r="M427" s="1"/>
      <c r="N427" s="211"/>
      <c r="O427" s="211"/>
      <c r="P427" s="31"/>
      <c r="Q427" s="211"/>
      <c r="R427" s="211"/>
      <c r="S427" s="31"/>
      <c r="V427" s="1"/>
      <c r="W427" s="1"/>
      <c r="X427" s="1"/>
      <c r="Y427" s="30"/>
      <c r="Z427" s="211"/>
    </row>
    <row r="428" spans="2:26">
      <c r="B428" s="1"/>
      <c r="C428" s="28"/>
      <c r="D428" s="19"/>
      <c r="G428" s="29"/>
      <c r="H428" s="212"/>
      <c r="I428" s="1"/>
      <c r="K428" s="30"/>
      <c r="L428" s="30"/>
      <c r="M428" s="1"/>
      <c r="N428" s="211"/>
      <c r="O428" s="211"/>
      <c r="P428" s="31"/>
      <c r="Q428" s="211"/>
      <c r="R428" s="211"/>
      <c r="S428" s="31"/>
      <c r="V428" s="1"/>
      <c r="W428" s="1"/>
      <c r="X428" s="1"/>
      <c r="Y428" s="30"/>
      <c r="Z428" s="211"/>
    </row>
    <row r="429" spans="2:26">
      <c r="B429" s="1"/>
      <c r="C429" s="28"/>
      <c r="D429" s="19"/>
      <c r="G429" s="29"/>
      <c r="H429" s="212"/>
      <c r="I429" s="1"/>
      <c r="K429" s="30"/>
      <c r="L429" s="30"/>
      <c r="M429" s="1"/>
      <c r="N429" s="211"/>
      <c r="O429" s="211"/>
      <c r="P429" s="31"/>
      <c r="Q429" s="211"/>
      <c r="R429" s="211"/>
      <c r="S429" s="31"/>
      <c r="V429" s="1"/>
      <c r="W429" s="1"/>
      <c r="X429" s="1"/>
      <c r="Y429" s="30"/>
      <c r="Z429" s="211"/>
    </row>
    <row r="430" spans="2:26">
      <c r="B430" s="1"/>
      <c r="C430" s="28"/>
      <c r="D430" s="19"/>
      <c r="G430" s="29"/>
      <c r="H430" s="212"/>
      <c r="I430" s="1"/>
      <c r="K430" s="30"/>
      <c r="L430" s="30"/>
      <c r="M430" s="1"/>
      <c r="N430" s="211"/>
      <c r="O430" s="211"/>
      <c r="P430" s="31"/>
      <c r="Q430" s="211"/>
      <c r="R430" s="211"/>
      <c r="S430" s="31"/>
      <c r="V430" s="1"/>
      <c r="W430" s="1"/>
      <c r="X430" s="1"/>
      <c r="Y430" s="30"/>
      <c r="Z430" s="211"/>
    </row>
    <row r="431" spans="2:26">
      <c r="B431" s="1"/>
      <c r="C431" s="28"/>
      <c r="D431" s="19"/>
      <c r="G431" s="29"/>
      <c r="H431" s="212"/>
      <c r="I431" s="1"/>
      <c r="K431" s="30"/>
      <c r="L431" s="30"/>
      <c r="M431" s="1"/>
      <c r="N431" s="211"/>
      <c r="O431" s="211"/>
      <c r="P431" s="31"/>
      <c r="Q431" s="211"/>
      <c r="R431" s="211"/>
      <c r="S431" s="31"/>
      <c r="V431" s="1"/>
      <c r="W431" s="1"/>
      <c r="X431" s="1"/>
      <c r="Y431" s="30"/>
      <c r="Z431" s="211"/>
    </row>
    <row r="432" spans="2:26">
      <c r="B432" s="1"/>
      <c r="C432" s="28"/>
      <c r="D432" s="19"/>
      <c r="G432" s="29"/>
      <c r="H432" s="212"/>
      <c r="I432" s="1"/>
      <c r="K432" s="30"/>
      <c r="L432" s="30"/>
      <c r="M432" s="1"/>
      <c r="N432" s="211"/>
      <c r="O432" s="211"/>
      <c r="P432" s="31"/>
      <c r="Q432" s="211"/>
      <c r="R432" s="211"/>
      <c r="S432" s="31"/>
      <c r="V432" s="1"/>
      <c r="W432" s="1"/>
      <c r="X432" s="1"/>
      <c r="Y432" s="30"/>
      <c r="Z432" s="211"/>
    </row>
    <row r="433" spans="2:26">
      <c r="B433" s="1"/>
      <c r="C433" s="28"/>
      <c r="D433" s="19"/>
      <c r="G433" s="29"/>
      <c r="H433" s="212"/>
      <c r="I433" s="1"/>
      <c r="K433" s="30"/>
      <c r="L433" s="30"/>
      <c r="M433" s="1"/>
      <c r="N433" s="211"/>
      <c r="O433" s="211"/>
      <c r="P433" s="31"/>
      <c r="Q433" s="211"/>
      <c r="R433" s="211"/>
      <c r="S433" s="31"/>
      <c r="V433" s="1"/>
      <c r="W433" s="1"/>
      <c r="X433" s="1"/>
      <c r="Y433" s="30"/>
      <c r="Z433" s="211"/>
    </row>
    <row r="434" spans="2:26">
      <c r="B434" s="1"/>
      <c r="C434" s="28"/>
      <c r="D434" s="19"/>
      <c r="G434" s="29"/>
      <c r="H434" s="212"/>
      <c r="I434" s="1"/>
      <c r="K434" s="30"/>
      <c r="L434" s="30"/>
      <c r="M434" s="1"/>
      <c r="N434" s="211"/>
      <c r="O434" s="211"/>
      <c r="P434" s="31"/>
      <c r="Q434" s="211"/>
      <c r="R434" s="211"/>
      <c r="S434" s="31"/>
      <c r="V434" s="1"/>
      <c r="W434" s="1"/>
      <c r="X434" s="1"/>
      <c r="Y434" s="30"/>
      <c r="Z434" s="211"/>
    </row>
    <row r="435" spans="2:26">
      <c r="B435" s="1"/>
      <c r="C435" s="28"/>
      <c r="D435" s="19"/>
      <c r="G435" s="29"/>
      <c r="H435" s="212"/>
      <c r="I435" s="1"/>
      <c r="K435" s="30"/>
      <c r="L435" s="30"/>
      <c r="M435" s="1"/>
      <c r="N435" s="211"/>
      <c r="O435" s="211"/>
      <c r="P435" s="31"/>
      <c r="Q435" s="211"/>
      <c r="R435" s="211"/>
      <c r="S435" s="31"/>
      <c r="V435" s="1"/>
      <c r="W435" s="1"/>
      <c r="X435" s="1"/>
      <c r="Y435" s="30"/>
      <c r="Z435" s="211"/>
    </row>
    <row r="436" spans="2:26">
      <c r="B436" s="1"/>
      <c r="C436" s="28"/>
      <c r="D436" s="19"/>
      <c r="G436" s="29"/>
      <c r="H436" s="212"/>
      <c r="I436" s="1"/>
      <c r="K436" s="30"/>
      <c r="L436" s="30"/>
      <c r="M436" s="1"/>
      <c r="N436" s="211"/>
      <c r="O436" s="211"/>
      <c r="P436" s="31"/>
      <c r="Q436" s="211"/>
      <c r="R436" s="211"/>
      <c r="S436" s="31"/>
      <c r="V436" s="1"/>
      <c r="W436" s="1"/>
      <c r="X436" s="1"/>
      <c r="Y436" s="30"/>
      <c r="Z436" s="211"/>
    </row>
    <row r="437" spans="2:26">
      <c r="B437" s="1"/>
      <c r="C437" s="28"/>
      <c r="D437" s="19"/>
      <c r="G437" s="29"/>
      <c r="H437" s="212"/>
      <c r="I437" s="1"/>
      <c r="K437" s="30"/>
      <c r="L437" s="30"/>
      <c r="M437" s="1"/>
      <c r="N437" s="211"/>
      <c r="O437" s="211"/>
      <c r="P437" s="31"/>
      <c r="Q437" s="211"/>
      <c r="R437" s="211"/>
      <c r="S437" s="31"/>
      <c r="V437" s="1"/>
      <c r="W437" s="1"/>
      <c r="X437" s="1"/>
      <c r="Y437" s="30"/>
      <c r="Z437" s="211"/>
    </row>
    <row r="438" spans="2:26">
      <c r="B438" s="1"/>
      <c r="C438" s="28"/>
      <c r="D438" s="19"/>
      <c r="G438" s="29"/>
      <c r="H438" s="212"/>
      <c r="I438" s="1"/>
      <c r="K438" s="30"/>
      <c r="L438" s="30"/>
      <c r="M438" s="1"/>
      <c r="N438" s="211"/>
      <c r="O438" s="211"/>
      <c r="P438" s="31"/>
      <c r="Q438" s="211"/>
      <c r="R438" s="211"/>
      <c r="S438" s="31"/>
      <c r="V438" s="1"/>
      <c r="W438" s="1"/>
      <c r="X438" s="1"/>
      <c r="Y438" s="30"/>
      <c r="Z438" s="211"/>
    </row>
    <row r="439" spans="2:26">
      <c r="B439" s="1"/>
      <c r="C439" s="28"/>
      <c r="D439" s="19"/>
      <c r="G439" s="29"/>
      <c r="H439" s="212"/>
      <c r="I439" s="1"/>
      <c r="K439" s="30"/>
      <c r="L439" s="30"/>
      <c r="M439" s="1"/>
      <c r="N439" s="211"/>
      <c r="O439" s="211"/>
      <c r="P439" s="31"/>
      <c r="Q439" s="211"/>
      <c r="R439" s="211"/>
      <c r="S439" s="31"/>
      <c r="V439" s="1"/>
      <c r="W439" s="1"/>
      <c r="X439" s="1"/>
      <c r="Y439" s="30"/>
      <c r="Z439" s="211"/>
    </row>
    <row r="440" spans="2:26">
      <c r="B440" s="1"/>
      <c r="C440" s="28"/>
      <c r="D440" s="19"/>
      <c r="G440" s="29"/>
      <c r="H440" s="212"/>
      <c r="I440" s="1"/>
      <c r="K440" s="30"/>
      <c r="L440" s="30"/>
      <c r="M440" s="1"/>
      <c r="N440" s="211"/>
      <c r="O440" s="211"/>
      <c r="P440" s="31"/>
      <c r="Q440" s="211"/>
      <c r="R440" s="211"/>
      <c r="S440" s="31"/>
      <c r="V440" s="1"/>
      <c r="W440" s="1"/>
      <c r="X440" s="1"/>
      <c r="Y440" s="30"/>
      <c r="Z440" s="211"/>
    </row>
    <row r="441" spans="2:26">
      <c r="B441" s="1"/>
      <c r="C441" s="28"/>
      <c r="D441" s="19"/>
      <c r="G441" s="29"/>
      <c r="H441" s="212"/>
      <c r="I441" s="1"/>
      <c r="K441" s="30"/>
      <c r="L441" s="30"/>
      <c r="M441" s="1"/>
      <c r="N441" s="211"/>
      <c r="O441" s="211"/>
      <c r="P441" s="31"/>
      <c r="Q441" s="211"/>
      <c r="R441" s="211"/>
      <c r="S441" s="31"/>
      <c r="V441" s="1"/>
      <c r="W441" s="1"/>
      <c r="X441" s="1"/>
      <c r="Y441" s="30"/>
      <c r="Z441" s="211"/>
    </row>
    <row r="442" spans="2:26">
      <c r="B442" s="1"/>
      <c r="C442" s="28"/>
      <c r="D442" s="19"/>
      <c r="G442" s="29"/>
      <c r="H442" s="212"/>
      <c r="I442" s="1"/>
      <c r="K442" s="30"/>
      <c r="L442" s="30"/>
      <c r="M442" s="1"/>
      <c r="N442" s="211"/>
      <c r="O442" s="211"/>
      <c r="P442" s="31"/>
      <c r="Q442" s="211"/>
      <c r="R442" s="211"/>
      <c r="S442" s="31"/>
      <c r="V442" s="1"/>
      <c r="W442" s="1"/>
      <c r="X442" s="1"/>
      <c r="Y442" s="30"/>
      <c r="Z442" s="211"/>
    </row>
    <row r="443" spans="2:26">
      <c r="B443" s="1"/>
      <c r="C443" s="28"/>
      <c r="D443" s="19"/>
      <c r="G443" s="29"/>
      <c r="H443" s="212"/>
      <c r="I443" s="1"/>
      <c r="K443" s="30"/>
      <c r="L443" s="30"/>
      <c r="M443" s="1"/>
      <c r="N443" s="211"/>
      <c r="O443" s="211"/>
      <c r="P443" s="31"/>
      <c r="Q443" s="211"/>
      <c r="R443" s="211"/>
      <c r="S443" s="31"/>
      <c r="V443" s="1"/>
      <c r="W443" s="1"/>
      <c r="X443" s="1"/>
      <c r="Y443" s="30"/>
      <c r="Z443" s="211"/>
    </row>
    <row r="444" spans="2:26">
      <c r="B444" s="1"/>
      <c r="C444" s="28"/>
      <c r="D444" s="19"/>
      <c r="G444" s="29"/>
      <c r="H444" s="212"/>
      <c r="I444" s="1"/>
      <c r="K444" s="30"/>
      <c r="L444" s="30"/>
      <c r="M444" s="1"/>
      <c r="N444" s="211"/>
      <c r="O444" s="211"/>
      <c r="P444" s="31"/>
      <c r="Q444" s="211"/>
      <c r="R444" s="211"/>
      <c r="S444" s="31"/>
      <c r="V444" s="1"/>
      <c r="W444" s="1"/>
      <c r="X444" s="1"/>
      <c r="Y444" s="30"/>
      <c r="Z444" s="211"/>
    </row>
    <row r="445" spans="2:26">
      <c r="B445" s="1"/>
      <c r="C445" s="28"/>
      <c r="D445" s="19"/>
      <c r="G445" s="29"/>
      <c r="H445" s="212"/>
      <c r="I445" s="1"/>
      <c r="K445" s="30"/>
      <c r="L445" s="30"/>
      <c r="M445" s="1"/>
      <c r="N445" s="211"/>
      <c r="O445" s="211"/>
      <c r="P445" s="31"/>
      <c r="Q445" s="211"/>
      <c r="R445" s="211"/>
      <c r="S445" s="31"/>
      <c r="V445" s="1"/>
      <c r="W445" s="1"/>
      <c r="X445" s="1"/>
      <c r="Y445" s="30"/>
      <c r="Z445" s="211"/>
    </row>
    <row r="446" spans="2:26">
      <c r="B446" s="1"/>
      <c r="C446" s="28"/>
      <c r="D446" s="19"/>
      <c r="G446" s="29"/>
      <c r="H446" s="212"/>
      <c r="I446" s="1"/>
      <c r="K446" s="30"/>
      <c r="L446" s="30"/>
      <c r="M446" s="1"/>
      <c r="N446" s="211"/>
      <c r="O446" s="211"/>
      <c r="P446" s="31"/>
      <c r="Q446" s="211"/>
      <c r="R446" s="211"/>
      <c r="S446" s="31"/>
      <c r="V446" s="1"/>
      <c r="W446" s="1"/>
      <c r="X446" s="1"/>
      <c r="Y446" s="30"/>
      <c r="Z446" s="211"/>
    </row>
    <row r="447" spans="2:26">
      <c r="B447" s="1"/>
      <c r="C447" s="28"/>
      <c r="D447" s="19"/>
      <c r="G447" s="29"/>
      <c r="H447" s="212"/>
      <c r="I447" s="1"/>
      <c r="K447" s="30"/>
      <c r="L447" s="30"/>
      <c r="M447" s="1"/>
      <c r="N447" s="211"/>
      <c r="O447" s="211"/>
      <c r="P447" s="31"/>
      <c r="Q447" s="211"/>
      <c r="R447" s="211"/>
      <c r="S447" s="31"/>
      <c r="V447" s="1"/>
      <c r="W447" s="1"/>
      <c r="X447" s="1"/>
      <c r="Y447" s="30"/>
      <c r="Z447" s="211"/>
    </row>
    <row r="448" spans="2:26">
      <c r="B448" s="1"/>
      <c r="C448" s="28"/>
      <c r="D448" s="19"/>
      <c r="G448" s="29"/>
      <c r="H448" s="212"/>
      <c r="I448" s="1"/>
      <c r="K448" s="30"/>
      <c r="L448" s="30"/>
      <c r="M448" s="1"/>
      <c r="N448" s="211"/>
      <c r="O448" s="211"/>
      <c r="P448" s="31"/>
      <c r="Q448" s="211"/>
      <c r="R448" s="211"/>
      <c r="S448" s="31"/>
      <c r="V448" s="1"/>
      <c r="W448" s="1"/>
      <c r="X448" s="1"/>
      <c r="Y448" s="30"/>
      <c r="Z448" s="211"/>
    </row>
    <row r="449" spans="2:26">
      <c r="B449" s="1"/>
      <c r="C449" s="28"/>
      <c r="D449" s="19"/>
      <c r="G449" s="29"/>
      <c r="H449" s="212"/>
      <c r="I449" s="1"/>
      <c r="K449" s="30"/>
      <c r="L449" s="30"/>
      <c r="M449" s="1"/>
      <c r="N449" s="211"/>
      <c r="O449" s="211"/>
      <c r="P449" s="31"/>
      <c r="Q449" s="211"/>
      <c r="R449" s="211"/>
      <c r="S449" s="31"/>
      <c r="V449" s="1"/>
      <c r="W449" s="1"/>
      <c r="X449" s="1"/>
      <c r="Y449" s="30"/>
      <c r="Z449" s="211"/>
    </row>
    <row r="450" spans="2:26">
      <c r="B450" s="1"/>
      <c r="C450" s="28"/>
      <c r="D450" s="19"/>
      <c r="G450" s="29"/>
      <c r="H450" s="212"/>
      <c r="I450" s="1"/>
      <c r="K450" s="30"/>
      <c r="L450" s="30"/>
      <c r="M450" s="1"/>
      <c r="N450" s="211"/>
      <c r="O450" s="211"/>
      <c r="P450" s="31"/>
      <c r="Q450" s="211"/>
      <c r="R450" s="211"/>
      <c r="S450" s="31"/>
      <c r="V450" s="1"/>
      <c r="W450" s="1"/>
      <c r="X450" s="1"/>
      <c r="Y450" s="30"/>
      <c r="Z450" s="211"/>
    </row>
    <row r="451" spans="2:26">
      <c r="B451" s="1"/>
      <c r="C451" s="28"/>
      <c r="D451" s="19"/>
      <c r="G451" s="29"/>
      <c r="H451" s="212"/>
      <c r="I451" s="1"/>
      <c r="K451" s="30"/>
      <c r="L451" s="30"/>
      <c r="M451" s="1"/>
      <c r="N451" s="211"/>
      <c r="O451" s="211"/>
      <c r="P451" s="31"/>
      <c r="Q451" s="211"/>
      <c r="R451" s="211"/>
      <c r="S451" s="31"/>
      <c r="V451" s="1"/>
      <c r="W451" s="1"/>
      <c r="X451" s="1"/>
      <c r="Y451" s="30"/>
      <c r="Z451" s="211"/>
    </row>
    <row r="452" spans="2:26">
      <c r="B452" s="1"/>
      <c r="C452" s="28"/>
      <c r="D452" s="19"/>
      <c r="G452" s="29"/>
      <c r="H452" s="212"/>
      <c r="I452" s="1"/>
      <c r="K452" s="30"/>
      <c r="L452" s="30"/>
      <c r="M452" s="1"/>
      <c r="N452" s="211"/>
      <c r="O452" s="211"/>
      <c r="P452" s="31"/>
      <c r="Q452" s="211"/>
      <c r="R452" s="211"/>
      <c r="S452" s="31"/>
      <c r="V452" s="1"/>
      <c r="W452" s="1"/>
      <c r="X452" s="1"/>
      <c r="Y452" s="30"/>
      <c r="Z452" s="211"/>
    </row>
    <row r="453" spans="2:26">
      <c r="B453" s="1"/>
      <c r="C453" s="28"/>
      <c r="D453" s="19"/>
      <c r="G453" s="29"/>
      <c r="H453" s="212"/>
      <c r="I453" s="1"/>
      <c r="K453" s="30"/>
      <c r="L453" s="30"/>
      <c r="M453" s="1"/>
      <c r="N453" s="211"/>
      <c r="O453" s="211"/>
      <c r="P453" s="31"/>
      <c r="Q453" s="211"/>
      <c r="R453" s="211"/>
      <c r="S453" s="31"/>
      <c r="V453" s="1"/>
      <c r="W453" s="1"/>
      <c r="X453" s="1"/>
      <c r="Y453" s="30"/>
      <c r="Z453" s="211"/>
    </row>
    <row r="454" spans="2:26">
      <c r="B454" s="1"/>
      <c r="C454" s="28"/>
      <c r="D454" s="19"/>
      <c r="G454" s="29"/>
      <c r="H454" s="212"/>
      <c r="I454" s="1"/>
      <c r="K454" s="30"/>
      <c r="L454" s="30"/>
      <c r="M454" s="1"/>
      <c r="N454" s="211"/>
      <c r="O454" s="211"/>
      <c r="P454" s="31"/>
      <c r="Q454" s="211"/>
      <c r="R454" s="211"/>
      <c r="S454" s="31"/>
      <c r="V454" s="1"/>
      <c r="W454" s="1"/>
      <c r="X454" s="1"/>
      <c r="Y454" s="30"/>
      <c r="Z454" s="211"/>
    </row>
    <row r="455" spans="2:26">
      <c r="B455" s="1"/>
      <c r="C455" s="28"/>
      <c r="D455" s="19"/>
      <c r="G455" s="29"/>
      <c r="H455" s="212"/>
      <c r="I455" s="1"/>
      <c r="K455" s="30"/>
      <c r="L455" s="30"/>
      <c r="M455" s="1"/>
      <c r="N455" s="211"/>
      <c r="O455" s="211"/>
      <c r="P455" s="31"/>
      <c r="Q455" s="211"/>
      <c r="R455" s="211"/>
      <c r="S455" s="31"/>
      <c r="V455" s="1"/>
      <c r="W455" s="1"/>
      <c r="X455" s="1"/>
      <c r="Y455" s="30"/>
      <c r="Z455" s="211"/>
    </row>
    <row r="456" spans="2:26">
      <c r="B456" s="1"/>
      <c r="C456" s="28"/>
      <c r="D456" s="19"/>
      <c r="G456" s="29"/>
      <c r="H456" s="212"/>
      <c r="I456" s="1"/>
      <c r="K456" s="30"/>
      <c r="L456" s="30"/>
      <c r="M456" s="1"/>
      <c r="N456" s="211"/>
      <c r="O456" s="211"/>
      <c r="P456" s="31"/>
      <c r="Q456" s="211"/>
      <c r="R456" s="211"/>
      <c r="S456" s="31"/>
      <c r="V456" s="1"/>
      <c r="W456" s="1"/>
      <c r="X456" s="1"/>
      <c r="Y456" s="30"/>
      <c r="Z456" s="211"/>
    </row>
    <row r="457" spans="2:26">
      <c r="B457" s="1"/>
      <c r="C457" s="28"/>
      <c r="D457" s="19"/>
      <c r="G457" s="29"/>
      <c r="H457" s="212"/>
      <c r="I457" s="1"/>
      <c r="K457" s="30"/>
      <c r="L457" s="30"/>
      <c r="M457" s="1"/>
      <c r="N457" s="211"/>
      <c r="O457" s="211"/>
      <c r="P457" s="31"/>
      <c r="Q457" s="211"/>
      <c r="R457" s="211"/>
      <c r="S457" s="31"/>
      <c r="V457" s="1"/>
      <c r="W457" s="1"/>
      <c r="X457" s="1"/>
      <c r="Y457" s="30"/>
      <c r="Z457" s="211"/>
    </row>
    <row r="458" spans="2:26">
      <c r="B458" s="1"/>
      <c r="C458" s="28"/>
      <c r="D458" s="19"/>
      <c r="G458" s="29"/>
      <c r="H458" s="212"/>
      <c r="I458" s="1"/>
      <c r="K458" s="30"/>
      <c r="L458" s="30"/>
      <c r="M458" s="1"/>
      <c r="N458" s="211"/>
      <c r="O458" s="211"/>
      <c r="P458" s="31"/>
      <c r="Q458" s="211"/>
      <c r="R458" s="211"/>
      <c r="S458" s="31"/>
      <c r="V458" s="1"/>
      <c r="W458" s="1"/>
      <c r="X458" s="1"/>
      <c r="Y458" s="30"/>
      <c r="Z458" s="211"/>
    </row>
    <row r="459" spans="2:26">
      <c r="B459" s="1"/>
      <c r="C459" s="28"/>
      <c r="D459" s="19"/>
      <c r="G459" s="29"/>
      <c r="H459" s="212"/>
      <c r="I459" s="1"/>
      <c r="K459" s="30"/>
      <c r="L459" s="30"/>
      <c r="M459" s="1"/>
      <c r="N459" s="211"/>
      <c r="O459" s="211"/>
      <c r="P459" s="31"/>
      <c r="Q459" s="211"/>
      <c r="R459" s="211"/>
      <c r="S459" s="31"/>
      <c r="V459" s="1"/>
      <c r="W459" s="1"/>
      <c r="X459" s="1"/>
      <c r="Y459" s="30"/>
      <c r="Z459" s="211"/>
    </row>
    <row r="460" spans="2:26">
      <c r="B460" s="1"/>
      <c r="C460" s="28"/>
      <c r="D460" s="19"/>
      <c r="G460" s="29"/>
      <c r="H460" s="212"/>
      <c r="I460" s="1"/>
      <c r="K460" s="30"/>
      <c r="L460" s="30"/>
      <c r="M460" s="1"/>
      <c r="N460" s="211"/>
      <c r="O460" s="211"/>
      <c r="P460" s="31"/>
      <c r="Q460" s="211"/>
      <c r="R460" s="211"/>
      <c r="S460" s="31"/>
      <c r="V460" s="1"/>
      <c r="W460" s="1"/>
      <c r="X460" s="1"/>
      <c r="Y460" s="30"/>
      <c r="Z460" s="211"/>
    </row>
    <row r="461" spans="2:26">
      <c r="B461" s="1"/>
      <c r="C461" s="28"/>
      <c r="D461" s="19"/>
      <c r="G461" s="29"/>
      <c r="H461" s="212"/>
      <c r="I461" s="1"/>
      <c r="K461" s="30"/>
      <c r="L461" s="30"/>
      <c r="M461" s="1"/>
      <c r="N461" s="211"/>
      <c r="O461" s="211"/>
      <c r="P461" s="31"/>
      <c r="Q461" s="211"/>
      <c r="R461" s="211"/>
      <c r="S461" s="31"/>
      <c r="V461" s="1"/>
      <c r="W461" s="1"/>
      <c r="X461" s="1"/>
      <c r="Y461" s="30"/>
      <c r="Z461" s="211"/>
    </row>
    <row r="462" spans="2:26">
      <c r="B462" s="1"/>
      <c r="C462" s="28"/>
      <c r="D462" s="19"/>
      <c r="G462" s="29"/>
      <c r="H462" s="212"/>
      <c r="I462" s="1"/>
      <c r="K462" s="30"/>
      <c r="L462" s="30"/>
      <c r="M462" s="1"/>
      <c r="N462" s="211"/>
      <c r="O462" s="211"/>
      <c r="P462" s="31"/>
      <c r="Q462" s="211"/>
      <c r="R462" s="211"/>
      <c r="S462" s="31"/>
      <c r="V462" s="1"/>
      <c r="W462" s="1"/>
      <c r="X462" s="1"/>
      <c r="Y462" s="30"/>
      <c r="Z462" s="211"/>
    </row>
    <row r="463" spans="2:26">
      <c r="B463" s="1"/>
      <c r="C463" s="28"/>
      <c r="D463" s="19"/>
      <c r="G463" s="29"/>
      <c r="H463" s="212"/>
      <c r="I463" s="1"/>
      <c r="K463" s="30"/>
      <c r="L463" s="30"/>
      <c r="M463" s="1"/>
      <c r="N463" s="211"/>
      <c r="O463" s="211"/>
      <c r="P463" s="31"/>
      <c r="Q463" s="211"/>
      <c r="R463" s="211"/>
      <c r="S463" s="31"/>
      <c r="V463" s="1"/>
      <c r="W463" s="1"/>
      <c r="X463" s="1"/>
      <c r="Y463" s="30"/>
      <c r="Z463" s="211"/>
    </row>
    <row r="464" spans="2:26">
      <c r="B464" s="1"/>
      <c r="C464" s="28"/>
      <c r="D464" s="19"/>
      <c r="G464" s="29"/>
      <c r="H464" s="212"/>
      <c r="I464" s="1"/>
      <c r="K464" s="30"/>
      <c r="L464" s="30"/>
      <c r="M464" s="1"/>
      <c r="N464" s="211"/>
      <c r="O464" s="211"/>
      <c r="P464" s="31"/>
      <c r="Q464" s="211"/>
      <c r="R464" s="211"/>
      <c r="S464" s="31"/>
      <c r="V464" s="1"/>
      <c r="W464" s="1"/>
      <c r="X464" s="1"/>
      <c r="Y464" s="30"/>
      <c r="Z464" s="211"/>
    </row>
    <row r="465" spans="2:26">
      <c r="B465" s="1"/>
      <c r="C465" s="28"/>
      <c r="D465" s="19"/>
      <c r="G465" s="29"/>
      <c r="H465" s="212"/>
      <c r="I465" s="1"/>
      <c r="K465" s="30"/>
      <c r="L465" s="30"/>
      <c r="M465" s="1"/>
      <c r="N465" s="211"/>
      <c r="O465" s="211"/>
      <c r="P465" s="31"/>
      <c r="Q465" s="211"/>
      <c r="R465" s="211"/>
      <c r="S465" s="31"/>
      <c r="V465" s="1"/>
      <c r="W465" s="1"/>
      <c r="X465" s="1"/>
      <c r="Y465" s="30"/>
      <c r="Z465" s="211"/>
    </row>
    <row r="466" spans="2:26">
      <c r="B466" s="1"/>
      <c r="C466" s="28"/>
      <c r="D466" s="19"/>
      <c r="G466" s="29"/>
      <c r="H466" s="212"/>
      <c r="I466" s="1"/>
      <c r="K466" s="30"/>
      <c r="L466" s="30"/>
      <c r="M466" s="1"/>
      <c r="N466" s="211"/>
      <c r="O466" s="211"/>
      <c r="P466" s="31"/>
      <c r="Q466" s="211"/>
      <c r="R466" s="211"/>
      <c r="S466" s="31"/>
      <c r="V466" s="1"/>
      <c r="W466" s="1"/>
      <c r="X466" s="1"/>
      <c r="Y466" s="30"/>
      <c r="Z466" s="211"/>
    </row>
    <row r="467" spans="2:26">
      <c r="B467" s="1"/>
      <c r="C467" s="28"/>
      <c r="D467" s="19"/>
      <c r="G467" s="29"/>
      <c r="H467" s="212"/>
      <c r="I467" s="1"/>
      <c r="K467" s="30"/>
      <c r="L467" s="30"/>
      <c r="M467" s="1"/>
      <c r="N467" s="211"/>
      <c r="O467" s="211"/>
      <c r="P467" s="31"/>
      <c r="Q467" s="211"/>
      <c r="R467" s="211"/>
      <c r="S467" s="31"/>
      <c r="V467" s="1"/>
      <c r="W467" s="1"/>
      <c r="X467" s="1"/>
      <c r="Y467" s="30"/>
      <c r="Z467" s="211"/>
    </row>
    <row r="468" spans="2:26">
      <c r="B468" s="1"/>
      <c r="C468" s="28"/>
      <c r="D468" s="19"/>
      <c r="G468" s="29"/>
      <c r="H468" s="212"/>
      <c r="I468" s="1"/>
      <c r="K468" s="30"/>
      <c r="L468" s="30"/>
      <c r="M468" s="1"/>
      <c r="N468" s="211"/>
      <c r="O468" s="211"/>
      <c r="P468" s="31"/>
      <c r="Q468" s="211"/>
      <c r="R468" s="211"/>
      <c r="S468" s="31"/>
      <c r="V468" s="1"/>
      <c r="W468" s="1"/>
      <c r="X468" s="1"/>
      <c r="Y468" s="30"/>
      <c r="Z468" s="211"/>
    </row>
    <row r="469" spans="2:26">
      <c r="B469" s="1"/>
      <c r="C469" s="28"/>
      <c r="D469" s="19"/>
      <c r="G469" s="29"/>
      <c r="H469" s="212"/>
      <c r="I469" s="1"/>
      <c r="K469" s="30"/>
      <c r="L469" s="30"/>
      <c r="M469" s="1"/>
      <c r="N469" s="211"/>
      <c r="O469" s="211"/>
      <c r="P469" s="31"/>
      <c r="Q469" s="211"/>
      <c r="R469" s="211"/>
      <c r="S469" s="31"/>
      <c r="V469" s="1"/>
      <c r="W469" s="1"/>
      <c r="X469" s="1"/>
      <c r="Y469" s="30"/>
      <c r="Z469" s="211"/>
    </row>
    <row r="470" spans="2:26">
      <c r="B470" s="1"/>
      <c r="C470" s="28"/>
      <c r="D470" s="19"/>
      <c r="G470" s="29"/>
      <c r="H470" s="212"/>
      <c r="I470" s="1"/>
      <c r="K470" s="30"/>
      <c r="L470" s="30"/>
      <c r="M470" s="1"/>
      <c r="N470" s="211"/>
      <c r="O470" s="211"/>
      <c r="P470" s="31"/>
      <c r="Q470" s="211"/>
      <c r="R470" s="211"/>
      <c r="S470" s="31"/>
      <c r="V470" s="1"/>
      <c r="W470" s="1"/>
      <c r="X470" s="1"/>
      <c r="Y470" s="30"/>
      <c r="Z470" s="211"/>
    </row>
    <row r="471" spans="2:26">
      <c r="B471" s="1"/>
      <c r="C471" s="28"/>
      <c r="D471" s="19"/>
      <c r="G471" s="29"/>
      <c r="H471" s="212"/>
      <c r="I471" s="1"/>
      <c r="K471" s="30"/>
      <c r="L471" s="30"/>
      <c r="M471" s="1"/>
      <c r="N471" s="211"/>
      <c r="O471" s="211"/>
      <c r="P471" s="31"/>
      <c r="Q471" s="211"/>
      <c r="R471" s="211"/>
      <c r="S471" s="31"/>
      <c r="V471" s="1"/>
      <c r="W471" s="1"/>
      <c r="X471" s="1"/>
      <c r="Y471" s="30"/>
      <c r="Z471" s="211"/>
    </row>
    <row r="472" spans="2:26">
      <c r="B472" s="1"/>
      <c r="C472" s="28"/>
      <c r="D472" s="19"/>
      <c r="G472" s="29"/>
      <c r="H472" s="212"/>
      <c r="I472" s="1"/>
      <c r="K472" s="30"/>
      <c r="L472" s="30"/>
      <c r="M472" s="1"/>
      <c r="N472" s="211"/>
      <c r="O472" s="211"/>
      <c r="P472" s="31"/>
      <c r="Q472" s="211"/>
      <c r="R472" s="211"/>
      <c r="S472" s="31"/>
      <c r="V472" s="1"/>
      <c r="W472" s="1"/>
      <c r="X472" s="1"/>
      <c r="Y472" s="30"/>
      <c r="Z472" s="211"/>
    </row>
    <row r="473" spans="2:26">
      <c r="B473" s="1"/>
      <c r="C473" s="28"/>
      <c r="D473" s="19"/>
      <c r="G473" s="29"/>
      <c r="H473" s="212"/>
      <c r="I473" s="1"/>
      <c r="K473" s="30"/>
      <c r="L473" s="30"/>
      <c r="M473" s="1"/>
      <c r="N473" s="211"/>
      <c r="O473" s="211"/>
      <c r="P473" s="31"/>
      <c r="Q473" s="211"/>
      <c r="R473" s="211"/>
      <c r="S473" s="31"/>
      <c r="V473" s="1"/>
      <c r="W473" s="1"/>
      <c r="X473" s="1"/>
      <c r="Y473" s="30"/>
      <c r="Z473" s="211"/>
    </row>
    <row r="474" spans="2:26">
      <c r="B474" s="1"/>
      <c r="C474" s="28"/>
      <c r="D474" s="19"/>
      <c r="G474" s="29"/>
      <c r="H474" s="212"/>
      <c r="I474" s="1"/>
      <c r="K474" s="30"/>
      <c r="L474" s="30"/>
      <c r="M474" s="1"/>
      <c r="N474" s="211"/>
      <c r="O474" s="211"/>
      <c r="P474" s="31"/>
      <c r="Q474" s="211"/>
      <c r="R474" s="211"/>
      <c r="S474" s="31"/>
      <c r="V474" s="1"/>
      <c r="W474" s="1"/>
      <c r="X474" s="1"/>
      <c r="Y474" s="30"/>
      <c r="Z474" s="211"/>
    </row>
    <row r="475" spans="2:26">
      <c r="B475" s="1"/>
      <c r="C475" s="28"/>
      <c r="D475" s="19"/>
      <c r="G475" s="29"/>
      <c r="H475" s="212"/>
      <c r="I475" s="1"/>
      <c r="K475" s="30"/>
      <c r="L475" s="30"/>
      <c r="M475" s="1"/>
      <c r="N475" s="211"/>
      <c r="O475" s="211"/>
      <c r="P475" s="31"/>
      <c r="Q475" s="211"/>
      <c r="R475" s="211"/>
      <c r="S475" s="31"/>
      <c r="V475" s="1"/>
      <c r="W475" s="1"/>
      <c r="X475" s="1"/>
      <c r="Y475" s="30"/>
      <c r="Z475" s="211"/>
    </row>
    <row r="476" spans="2:26">
      <c r="B476" s="1"/>
      <c r="C476" s="28"/>
      <c r="D476" s="19"/>
      <c r="G476" s="29"/>
      <c r="H476" s="212"/>
      <c r="I476" s="1"/>
      <c r="K476" s="30"/>
      <c r="L476" s="30"/>
      <c r="M476" s="1"/>
      <c r="N476" s="211"/>
      <c r="O476" s="211"/>
      <c r="P476" s="31"/>
      <c r="Q476" s="211"/>
      <c r="R476" s="211"/>
      <c r="S476" s="31"/>
      <c r="V476" s="1"/>
      <c r="W476" s="1"/>
      <c r="X476" s="1"/>
      <c r="Y476" s="30"/>
      <c r="Z476" s="211"/>
    </row>
    <row r="477" spans="2:26">
      <c r="B477" s="1"/>
      <c r="C477" s="28"/>
      <c r="D477" s="19"/>
      <c r="G477" s="29"/>
      <c r="H477" s="212"/>
      <c r="I477" s="1"/>
      <c r="K477" s="30"/>
      <c r="L477" s="30"/>
      <c r="M477" s="1"/>
      <c r="N477" s="211"/>
      <c r="O477" s="211"/>
      <c r="P477" s="31"/>
      <c r="Q477" s="211"/>
      <c r="R477" s="211"/>
      <c r="S477" s="31"/>
      <c r="V477" s="1"/>
      <c r="W477" s="1"/>
      <c r="X477" s="1"/>
      <c r="Y477" s="30"/>
      <c r="Z477" s="211"/>
    </row>
    <row r="478" spans="2:26">
      <c r="B478" s="1"/>
      <c r="C478" s="28"/>
      <c r="D478" s="19"/>
      <c r="G478" s="29"/>
      <c r="H478" s="212"/>
      <c r="I478" s="1"/>
      <c r="K478" s="30"/>
      <c r="L478" s="30"/>
      <c r="M478" s="1"/>
      <c r="N478" s="211"/>
      <c r="O478" s="211"/>
      <c r="P478" s="31"/>
      <c r="Q478" s="211"/>
      <c r="R478" s="211"/>
      <c r="S478" s="31"/>
      <c r="V478" s="1"/>
      <c r="W478" s="1"/>
      <c r="X478" s="1"/>
      <c r="Y478" s="30"/>
      <c r="Z478" s="211"/>
    </row>
    <row r="479" spans="2:26">
      <c r="B479" s="1"/>
      <c r="C479" s="28"/>
      <c r="D479" s="19"/>
      <c r="G479" s="29"/>
      <c r="H479" s="212"/>
      <c r="I479" s="1"/>
      <c r="K479" s="30"/>
      <c r="L479" s="30"/>
      <c r="M479" s="1"/>
      <c r="N479" s="211"/>
      <c r="O479" s="211"/>
      <c r="P479" s="31"/>
      <c r="Q479" s="211"/>
      <c r="R479" s="211"/>
      <c r="S479" s="31"/>
      <c r="V479" s="1"/>
      <c r="W479" s="1"/>
      <c r="X479" s="1"/>
      <c r="Y479" s="30"/>
      <c r="Z479" s="211"/>
    </row>
    <row r="480" spans="2:26">
      <c r="B480" s="1"/>
      <c r="C480" s="28"/>
      <c r="D480" s="19"/>
      <c r="G480" s="29"/>
      <c r="H480" s="212"/>
      <c r="I480" s="1"/>
      <c r="K480" s="30"/>
      <c r="L480" s="30"/>
      <c r="M480" s="1"/>
      <c r="N480" s="211"/>
      <c r="O480" s="211"/>
      <c r="P480" s="31"/>
      <c r="Q480" s="211"/>
      <c r="R480" s="211"/>
      <c r="S480" s="31"/>
      <c r="V480" s="1"/>
      <c r="W480" s="1"/>
      <c r="X480" s="1"/>
      <c r="Y480" s="30"/>
      <c r="Z480" s="211"/>
    </row>
    <row r="481" spans="2:26">
      <c r="B481" s="1"/>
      <c r="C481" s="28"/>
      <c r="D481" s="19"/>
      <c r="G481" s="29"/>
      <c r="H481" s="212"/>
      <c r="I481" s="1"/>
      <c r="K481" s="30"/>
      <c r="L481" s="30"/>
      <c r="M481" s="1"/>
      <c r="N481" s="211"/>
      <c r="O481" s="211"/>
      <c r="P481" s="31"/>
      <c r="Q481" s="211"/>
      <c r="R481" s="211"/>
      <c r="S481" s="31"/>
      <c r="V481" s="1"/>
      <c r="W481" s="1"/>
      <c r="X481" s="1"/>
      <c r="Y481" s="30"/>
      <c r="Z481" s="211"/>
    </row>
    <row r="482" spans="2:26">
      <c r="B482" s="1"/>
      <c r="C482" s="28"/>
      <c r="D482" s="19"/>
      <c r="G482" s="29"/>
      <c r="H482" s="212"/>
      <c r="I482" s="1"/>
      <c r="K482" s="30"/>
      <c r="L482" s="30"/>
      <c r="M482" s="1"/>
      <c r="N482" s="211"/>
      <c r="O482" s="211"/>
      <c r="P482" s="31"/>
      <c r="Q482" s="211"/>
      <c r="R482" s="211"/>
      <c r="S482" s="31"/>
      <c r="V482" s="1"/>
      <c r="W482" s="1"/>
      <c r="X482" s="1"/>
      <c r="Y482" s="30"/>
      <c r="Z482" s="211"/>
    </row>
    <row r="483" spans="2:26">
      <c r="B483" s="1"/>
      <c r="C483" s="28"/>
      <c r="D483" s="19"/>
      <c r="G483" s="29"/>
      <c r="H483" s="212"/>
      <c r="I483" s="1"/>
      <c r="K483" s="30"/>
      <c r="L483" s="30"/>
      <c r="M483" s="1"/>
      <c r="N483" s="211"/>
      <c r="O483" s="211"/>
      <c r="P483" s="31"/>
      <c r="Q483" s="211"/>
      <c r="R483" s="211"/>
      <c r="S483" s="31"/>
      <c r="V483" s="1"/>
      <c r="W483" s="1"/>
      <c r="X483" s="1"/>
      <c r="Y483" s="30"/>
      <c r="Z483" s="211"/>
    </row>
    <row r="484" spans="2:26">
      <c r="B484" s="1"/>
      <c r="C484" s="28"/>
      <c r="D484" s="19"/>
      <c r="G484" s="29"/>
      <c r="H484" s="212"/>
      <c r="I484" s="1"/>
      <c r="K484" s="30"/>
      <c r="L484" s="30"/>
      <c r="M484" s="1"/>
      <c r="N484" s="211"/>
      <c r="O484" s="211"/>
      <c r="P484" s="31"/>
      <c r="Q484" s="211"/>
      <c r="R484" s="211"/>
      <c r="S484" s="31"/>
      <c r="V484" s="1"/>
      <c r="W484" s="1"/>
      <c r="X484" s="1"/>
      <c r="Y484" s="30"/>
      <c r="Z484" s="211"/>
    </row>
    <row r="485" spans="2:26">
      <c r="B485" s="1"/>
      <c r="C485" s="28"/>
      <c r="D485" s="19"/>
      <c r="G485" s="29"/>
      <c r="H485" s="212"/>
      <c r="I485" s="1"/>
      <c r="K485" s="30"/>
      <c r="L485" s="30"/>
      <c r="M485" s="1"/>
      <c r="N485" s="211"/>
      <c r="O485" s="211"/>
      <c r="P485" s="31"/>
      <c r="Q485" s="211"/>
      <c r="R485" s="211"/>
      <c r="S485" s="31"/>
      <c r="V485" s="1"/>
      <c r="W485" s="1"/>
      <c r="X485" s="1"/>
      <c r="Y485" s="30"/>
      <c r="Z485" s="211"/>
    </row>
    <row r="486" spans="2:26">
      <c r="B486" s="1"/>
      <c r="C486" s="28"/>
      <c r="D486" s="19"/>
      <c r="G486" s="29"/>
      <c r="H486" s="212"/>
      <c r="I486" s="1"/>
      <c r="K486" s="30"/>
      <c r="L486" s="30"/>
      <c r="M486" s="1"/>
      <c r="N486" s="211"/>
      <c r="O486" s="211"/>
      <c r="P486" s="31"/>
      <c r="Q486" s="211"/>
      <c r="R486" s="211"/>
      <c r="S486" s="31"/>
      <c r="V486" s="1"/>
      <c r="W486" s="1"/>
      <c r="X486" s="1"/>
      <c r="Y486" s="30"/>
      <c r="Z486" s="211"/>
    </row>
    <row r="487" spans="2:26">
      <c r="B487" s="1"/>
      <c r="C487" s="28"/>
      <c r="D487" s="19"/>
      <c r="G487" s="29"/>
      <c r="H487" s="212"/>
      <c r="I487" s="1"/>
      <c r="K487" s="30"/>
      <c r="L487" s="30"/>
      <c r="M487" s="1"/>
      <c r="N487" s="211"/>
      <c r="O487" s="211"/>
      <c r="P487" s="31"/>
      <c r="Q487" s="211"/>
      <c r="R487" s="211"/>
      <c r="S487" s="31"/>
      <c r="V487" s="1"/>
      <c r="W487" s="1"/>
      <c r="X487" s="1"/>
      <c r="Y487" s="30"/>
      <c r="Z487" s="211"/>
    </row>
    <row r="488" spans="2:26">
      <c r="B488" s="1"/>
      <c r="C488" s="28"/>
      <c r="D488" s="19"/>
      <c r="G488" s="29"/>
      <c r="H488" s="212"/>
      <c r="I488" s="1"/>
      <c r="K488" s="30"/>
      <c r="L488" s="30"/>
      <c r="M488" s="1"/>
      <c r="N488" s="211"/>
      <c r="O488" s="211"/>
      <c r="P488" s="31"/>
      <c r="Q488" s="211"/>
      <c r="R488" s="211"/>
      <c r="S488" s="31"/>
      <c r="V488" s="1"/>
      <c r="W488" s="1"/>
      <c r="X488" s="1"/>
      <c r="Y488" s="30"/>
      <c r="Z488" s="211"/>
    </row>
    <row r="489" spans="2:26">
      <c r="B489" s="1"/>
      <c r="C489" s="28"/>
      <c r="D489" s="19"/>
      <c r="G489" s="29"/>
      <c r="H489" s="212"/>
      <c r="I489" s="1"/>
      <c r="K489" s="30"/>
      <c r="L489" s="30"/>
      <c r="M489" s="1"/>
      <c r="N489" s="211"/>
      <c r="O489" s="211"/>
      <c r="P489" s="31"/>
      <c r="Q489" s="211"/>
      <c r="R489" s="211"/>
      <c r="S489" s="31"/>
      <c r="V489" s="1"/>
      <c r="W489" s="1"/>
      <c r="X489" s="1"/>
      <c r="Y489" s="30"/>
      <c r="Z489" s="211"/>
    </row>
    <row r="490" spans="2:26">
      <c r="B490" s="1"/>
      <c r="C490" s="28"/>
      <c r="D490" s="19"/>
      <c r="G490" s="29"/>
      <c r="H490" s="212"/>
      <c r="I490" s="1"/>
      <c r="K490" s="30"/>
      <c r="L490" s="30"/>
      <c r="M490" s="1"/>
      <c r="N490" s="211"/>
      <c r="O490" s="211"/>
      <c r="P490" s="31"/>
      <c r="Q490" s="211"/>
      <c r="R490" s="211"/>
      <c r="S490" s="31"/>
      <c r="V490" s="1"/>
      <c r="W490" s="1"/>
      <c r="X490" s="1"/>
      <c r="Y490" s="30"/>
      <c r="Z490" s="211"/>
    </row>
    <row r="491" spans="2:26">
      <c r="B491" s="1"/>
      <c r="C491" s="28"/>
      <c r="D491" s="19"/>
      <c r="G491" s="29"/>
      <c r="H491" s="212"/>
      <c r="I491" s="1"/>
      <c r="K491" s="30"/>
      <c r="L491" s="30"/>
      <c r="M491" s="1"/>
      <c r="N491" s="211"/>
      <c r="O491" s="211"/>
      <c r="P491" s="31"/>
      <c r="Q491" s="211"/>
      <c r="R491" s="211"/>
      <c r="S491" s="31"/>
      <c r="V491" s="1"/>
      <c r="W491" s="1"/>
      <c r="X491" s="1"/>
      <c r="Y491" s="30"/>
      <c r="Z491" s="211"/>
    </row>
    <row r="492" spans="2:26">
      <c r="B492" s="1"/>
      <c r="C492" s="28"/>
      <c r="D492" s="19"/>
      <c r="G492" s="29"/>
      <c r="H492" s="212"/>
      <c r="I492" s="1"/>
      <c r="K492" s="30"/>
      <c r="L492" s="30"/>
      <c r="M492" s="1"/>
      <c r="N492" s="211"/>
      <c r="O492" s="211"/>
      <c r="P492" s="31"/>
      <c r="Q492" s="211"/>
      <c r="R492" s="211"/>
      <c r="S492" s="31"/>
      <c r="V492" s="1"/>
      <c r="W492" s="1"/>
      <c r="X492" s="1"/>
      <c r="Y492" s="30"/>
      <c r="Z492" s="211"/>
    </row>
    <row r="493" spans="2:26">
      <c r="B493" s="1"/>
      <c r="C493" s="28"/>
      <c r="D493" s="19"/>
      <c r="G493" s="29"/>
      <c r="H493" s="212"/>
      <c r="I493" s="1"/>
      <c r="K493" s="30"/>
      <c r="L493" s="30"/>
      <c r="M493" s="1"/>
      <c r="N493" s="211"/>
      <c r="O493" s="211"/>
      <c r="P493" s="31"/>
      <c r="Q493" s="211"/>
      <c r="R493" s="211"/>
      <c r="S493" s="31"/>
      <c r="V493" s="1"/>
      <c r="W493" s="1"/>
      <c r="X493" s="1"/>
      <c r="Y493" s="30"/>
      <c r="Z493" s="211"/>
    </row>
    <row r="494" spans="2:26">
      <c r="B494" s="1"/>
      <c r="C494" s="28"/>
      <c r="D494" s="19"/>
      <c r="G494" s="29"/>
      <c r="H494" s="212"/>
      <c r="I494" s="1"/>
      <c r="K494" s="30"/>
      <c r="L494" s="30"/>
      <c r="M494" s="1"/>
      <c r="N494" s="211"/>
      <c r="O494" s="211"/>
      <c r="P494" s="31"/>
      <c r="Q494" s="211"/>
      <c r="R494" s="211"/>
      <c r="S494" s="31"/>
      <c r="V494" s="1"/>
      <c r="W494" s="1"/>
      <c r="X494" s="1"/>
      <c r="Y494" s="30"/>
      <c r="Z494" s="211"/>
    </row>
    <row r="495" spans="2:26">
      <c r="B495" s="1"/>
      <c r="C495" s="28"/>
      <c r="D495" s="19"/>
      <c r="G495" s="29"/>
      <c r="H495" s="212"/>
      <c r="I495" s="1"/>
      <c r="K495" s="30"/>
      <c r="L495" s="30"/>
      <c r="M495" s="1"/>
      <c r="N495" s="211"/>
      <c r="O495" s="211"/>
      <c r="P495" s="31"/>
      <c r="Q495" s="211"/>
      <c r="R495" s="211"/>
      <c r="S495" s="31"/>
      <c r="V495" s="1"/>
      <c r="W495" s="1"/>
      <c r="X495" s="1"/>
      <c r="Y495" s="30"/>
      <c r="Z495" s="211"/>
    </row>
    <row r="496" spans="2:26">
      <c r="B496" s="1"/>
      <c r="C496" s="28"/>
      <c r="D496" s="19"/>
      <c r="G496" s="29"/>
      <c r="H496" s="212"/>
      <c r="I496" s="1"/>
      <c r="K496" s="30"/>
      <c r="L496" s="30"/>
      <c r="M496" s="1"/>
      <c r="N496" s="211"/>
      <c r="O496" s="211"/>
      <c r="P496" s="31"/>
      <c r="Q496" s="211"/>
      <c r="R496" s="211"/>
      <c r="S496" s="31"/>
      <c r="V496" s="1"/>
      <c r="W496" s="1"/>
      <c r="X496" s="1"/>
      <c r="Y496" s="30"/>
      <c r="Z496" s="211"/>
    </row>
    <row r="497" spans="2:26">
      <c r="B497" s="1"/>
      <c r="C497" s="28"/>
      <c r="D497" s="19"/>
      <c r="G497" s="29"/>
      <c r="H497" s="212"/>
      <c r="I497" s="1"/>
      <c r="K497" s="30"/>
      <c r="L497" s="30"/>
      <c r="M497" s="1"/>
      <c r="N497" s="211"/>
      <c r="O497" s="211"/>
      <c r="P497" s="31"/>
      <c r="Q497" s="211"/>
      <c r="R497" s="211"/>
      <c r="S497" s="31"/>
      <c r="V497" s="1"/>
      <c r="W497" s="1"/>
      <c r="X497" s="1"/>
      <c r="Y497" s="30"/>
      <c r="Z497" s="211"/>
    </row>
    <row r="498" spans="2:26">
      <c r="B498" s="1"/>
      <c r="C498" s="28"/>
      <c r="D498" s="19"/>
      <c r="G498" s="29"/>
      <c r="H498" s="212"/>
      <c r="I498" s="1"/>
      <c r="K498" s="30"/>
      <c r="L498" s="30"/>
      <c r="M498" s="1"/>
      <c r="N498" s="211"/>
      <c r="O498" s="211"/>
      <c r="P498" s="31"/>
      <c r="Q498" s="211"/>
      <c r="R498" s="211"/>
      <c r="S498" s="31"/>
      <c r="V498" s="1"/>
      <c r="W498" s="1"/>
      <c r="X498" s="1"/>
      <c r="Y498" s="30"/>
      <c r="Z498" s="211"/>
    </row>
    <row r="499" spans="2:26">
      <c r="B499" s="1"/>
      <c r="C499" s="28"/>
      <c r="D499" s="19"/>
      <c r="G499" s="29"/>
      <c r="H499" s="212"/>
      <c r="I499" s="1"/>
      <c r="K499" s="30"/>
      <c r="L499" s="30"/>
      <c r="M499" s="1"/>
      <c r="N499" s="211"/>
      <c r="O499" s="211"/>
      <c r="P499" s="31"/>
      <c r="Q499" s="211"/>
      <c r="R499" s="211"/>
      <c r="S499" s="31"/>
      <c r="V499" s="1"/>
      <c r="W499" s="1"/>
      <c r="X499" s="1"/>
      <c r="Y499" s="30"/>
      <c r="Z499" s="211"/>
    </row>
    <row r="500" spans="2:26">
      <c r="B500" s="1"/>
      <c r="C500" s="28"/>
      <c r="D500" s="19"/>
      <c r="G500" s="29"/>
      <c r="H500" s="212"/>
      <c r="I500" s="1"/>
      <c r="K500" s="30"/>
      <c r="L500" s="30"/>
      <c r="M500" s="1"/>
      <c r="N500" s="211"/>
      <c r="O500" s="211"/>
      <c r="P500" s="31"/>
      <c r="Q500" s="211"/>
      <c r="R500" s="211"/>
      <c r="S500" s="31"/>
      <c r="V500" s="1"/>
      <c r="W500" s="1"/>
      <c r="X500" s="1"/>
      <c r="Y500" s="30"/>
      <c r="Z500" s="211"/>
    </row>
    <row r="501" spans="2:26">
      <c r="B501" s="1"/>
      <c r="C501" s="28"/>
      <c r="D501" s="19"/>
      <c r="G501" s="29"/>
      <c r="H501" s="212"/>
      <c r="I501" s="1"/>
      <c r="K501" s="30"/>
      <c r="L501" s="30"/>
      <c r="M501" s="1"/>
      <c r="N501" s="211"/>
      <c r="O501" s="211"/>
      <c r="P501" s="31"/>
      <c r="Q501" s="211"/>
      <c r="R501" s="211"/>
      <c r="S501" s="31"/>
      <c r="V501" s="1"/>
      <c r="W501" s="1"/>
      <c r="X501" s="1"/>
      <c r="Y501" s="30"/>
      <c r="Z501" s="211"/>
    </row>
    <row r="502" spans="2:26">
      <c r="B502" s="1"/>
      <c r="C502" s="28"/>
      <c r="D502" s="19"/>
      <c r="G502" s="29"/>
      <c r="H502" s="212"/>
      <c r="I502" s="1"/>
      <c r="K502" s="30"/>
      <c r="L502" s="30"/>
      <c r="M502" s="1"/>
      <c r="N502" s="211"/>
      <c r="O502" s="211"/>
      <c r="P502" s="31"/>
      <c r="Q502" s="211"/>
      <c r="R502" s="211"/>
      <c r="S502" s="31"/>
      <c r="V502" s="1"/>
      <c r="W502" s="1"/>
      <c r="X502" s="1"/>
      <c r="Y502" s="30"/>
      <c r="Z502" s="211"/>
    </row>
    <row r="503" spans="2:26">
      <c r="B503" s="1"/>
      <c r="C503" s="28"/>
      <c r="D503" s="19"/>
      <c r="G503" s="29"/>
      <c r="H503" s="212"/>
      <c r="I503" s="1"/>
      <c r="K503" s="30"/>
      <c r="L503" s="30"/>
      <c r="M503" s="1"/>
      <c r="N503" s="211"/>
      <c r="O503" s="211"/>
      <c r="P503" s="31"/>
      <c r="Q503" s="211"/>
      <c r="R503" s="211"/>
      <c r="S503" s="31"/>
      <c r="V503" s="1"/>
      <c r="W503" s="1"/>
      <c r="X503" s="1"/>
      <c r="Y503" s="30"/>
      <c r="Z503" s="211"/>
    </row>
    <row r="504" spans="2:26">
      <c r="B504" s="1"/>
      <c r="C504" s="28"/>
      <c r="D504" s="19"/>
      <c r="G504" s="29"/>
      <c r="H504" s="212"/>
      <c r="I504" s="1"/>
      <c r="K504" s="30"/>
      <c r="L504" s="30"/>
      <c r="M504" s="1"/>
      <c r="N504" s="211"/>
      <c r="O504" s="211"/>
      <c r="P504" s="31"/>
      <c r="Q504" s="211"/>
      <c r="R504" s="211"/>
      <c r="S504" s="31"/>
      <c r="V504" s="1"/>
      <c r="W504" s="1"/>
      <c r="X504" s="1"/>
      <c r="Y504" s="30"/>
      <c r="Z504" s="211"/>
    </row>
    <row r="505" spans="2:26">
      <c r="B505" s="1"/>
      <c r="C505" s="28"/>
      <c r="D505" s="19"/>
      <c r="G505" s="29"/>
      <c r="H505" s="212"/>
      <c r="I505" s="1"/>
      <c r="K505" s="30"/>
      <c r="L505" s="30"/>
      <c r="M505" s="1"/>
      <c r="N505" s="211"/>
      <c r="O505" s="211"/>
      <c r="P505" s="31"/>
      <c r="Q505" s="211"/>
      <c r="R505" s="211"/>
      <c r="S505" s="31"/>
      <c r="V505" s="1"/>
      <c r="W505" s="1"/>
      <c r="X505" s="1"/>
      <c r="Y505" s="30"/>
      <c r="Z505" s="211"/>
    </row>
    <row r="506" spans="2:26">
      <c r="B506" s="1"/>
      <c r="C506" s="28"/>
      <c r="D506" s="19"/>
      <c r="G506" s="29"/>
      <c r="H506" s="212"/>
      <c r="I506" s="1"/>
      <c r="K506" s="30"/>
      <c r="L506" s="30"/>
      <c r="M506" s="1"/>
      <c r="N506" s="211"/>
      <c r="O506" s="211"/>
      <c r="P506" s="31"/>
      <c r="Q506" s="211"/>
      <c r="R506" s="211"/>
      <c r="S506" s="31"/>
      <c r="V506" s="1"/>
      <c r="W506" s="1"/>
      <c r="X506" s="1"/>
      <c r="Y506" s="30"/>
      <c r="Z506" s="211"/>
    </row>
    <row r="507" spans="2:26">
      <c r="B507" s="1"/>
      <c r="C507" s="28"/>
      <c r="D507" s="19"/>
      <c r="G507" s="29"/>
      <c r="H507" s="212"/>
      <c r="I507" s="1"/>
      <c r="K507" s="30"/>
      <c r="L507" s="30"/>
      <c r="M507" s="1"/>
      <c r="N507" s="211"/>
      <c r="O507" s="211"/>
      <c r="P507" s="31"/>
      <c r="Q507" s="211"/>
      <c r="R507" s="211"/>
      <c r="S507" s="31"/>
      <c r="V507" s="1"/>
      <c r="W507" s="1"/>
      <c r="X507" s="1"/>
      <c r="Y507" s="30"/>
      <c r="Z507" s="211"/>
    </row>
    <row r="508" spans="2:26">
      <c r="B508" s="1"/>
      <c r="C508" s="28"/>
      <c r="D508" s="19"/>
      <c r="G508" s="29"/>
      <c r="H508" s="212"/>
      <c r="I508" s="1"/>
      <c r="K508" s="30"/>
      <c r="L508" s="30"/>
      <c r="M508" s="1"/>
      <c r="N508" s="211"/>
      <c r="O508" s="211"/>
      <c r="P508" s="31"/>
      <c r="Q508" s="211"/>
      <c r="R508" s="211"/>
      <c r="S508" s="31"/>
      <c r="V508" s="1"/>
      <c r="W508" s="1"/>
      <c r="X508" s="1"/>
      <c r="Y508" s="30"/>
      <c r="Z508" s="211"/>
    </row>
    <row r="509" spans="2:26">
      <c r="B509" s="1"/>
      <c r="C509" s="28"/>
      <c r="D509" s="19"/>
      <c r="G509" s="29"/>
      <c r="H509" s="212"/>
      <c r="I509" s="1"/>
      <c r="K509" s="30"/>
      <c r="L509" s="30"/>
      <c r="M509" s="1"/>
      <c r="N509" s="211"/>
      <c r="O509" s="211"/>
      <c r="P509" s="31"/>
      <c r="Q509" s="211"/>
      <c r="R509" s="211"/>
      <c r="S509" s="31"/>
      <c r="V509" s="1"/>
      <c r="W509" s="1"/>
      <c r="X509" s="1"/>
      <c r="Y509" s="30"/>
      <c r="Z509" s="211"/>
    </row>
    <row r="510" spans="2:26">
      <c r="B510" s="1"/>
      <c r="C510" s="28"/>
      <c r="D510" s="19"/>
      <c r="G510" s="29"/>
      <c r="H510" s="212"/>
      <c r="I510" s="1"/>
      <c r="K510" s="30"/>
      <c r="L510" s="30"/>
      <c r="M510" s="1"/>
      <c r="N510" s="211"/>
      <c r="O510" s="211"/>
      <c r="P510" s="31"/>
      <c r="Q510" s="211"/>
      <c r="R510" s="211"/>
      <c r="S510" s="31"/>
      <c r="V510" s="1"/>
      <c r="W510" s="1"/>
      <c r="X510" s="1"/>
      <c r="Y510" s="30"/>
      <c r="Z510" s="211"/>
    </row>
    <row r="511" spans="2:26">
      <c r="B511" s="1"/>
      <c r="C511" s="28"/>
      <c r="D511" s="19"/>
      <c r="G511" s="29"/>
      <c r="H511" s="212"/>
      <c r="I511" s="1"/>
      <c r="K511" s="30"/>
      <c r="L511" s="30"/>
      <c r="M511" s="1"/>
      <c r="N511" s="211"/>
      <c r="O511" s="211"/>
      <c r="P511" s="31"/>
      <c r="Q511" s="211"/>
      <c r="R511" s="211"/>
      <c r="S511" s="31"/>
      <c r="V511" s="1"/>
      <c r="W511" s="1"/>
      <c r="X511" s="1"/>
      <c r="Y511" s="30"/>
      <c r="Z511" s="211"/>
    </row>
    <row r="512" spans="2:26">
      <c r="B512" s="1"/>
      <c r="C512" s="28"/>
      <c r="D512" s="19"/>
      <c r="G512" s="29"/>
      <c r="H512" s="212"/>
      <c r="I512" s="1"/>
      <c r="K512" s="30"/>
      <c r="L512" s="30"/>
      <c r="M512" s="1"/>
      <c r="N512" s="211"/>
      <c r="O512" s="211"/>
      <c r="P512" s="31"/>
      <c r="Q512" s="211"/>
      <c r="R512" s="211"/>
      <c r="S512" s="31"/>
      <c r="V512" s="1"/>
      <c r="W512" s="1"/>
      <c r="X512" s="1"/>
      <c r="Y512" s="30"/>
      <c r="Z512" s="211"/>
    </row>
    <row r="513" spans="2:26">
      <c r="B513" s="1"/>
      <c r="C513" s="28"/>
      <c r="D513" s="19"/>
      <c r="G513" s="29"/>
      <c r="H513" s="212"/>
      <c r="I513" s="1"/>
      <c r="K513" s="30"/>
      <c r="L513" s="30"/>
      <c r="M513" s="1"/>
      <c r="N513" s="211"/>
      <c r="O513" s="211"/>
      <c r="P513" s="31"/>
      <c r="Q513" s="211"/>
      <c r="R513" s="211"/>
      <c r="S513" s="31"/>
      <c r="V513" s="1"/>
      <c r="W513" s="1"/>
      <c r="X513" s="1"/>
      <c r="Y513" s="30"/>
      <c r="Z513" s="211"/>
    </row>
    <row r="514" spans="2:26">
      <c r="B514" s="1"/>
      <c r="C514" s="28"/>
      <c r="D514" s="19"/>
      <c r="G514" s="29"/>
      <c r="H514" s="212"/>
      <c r="I514" s="1"/>
      <c r="K514" s="30"/>
      <c r="L514" s="30"/>
      <c r="M514" s="1"/>
      <c r="N514" s="211"/>
      <c r="O514" s="211"/>
      <c r="P514" s="31"/>
      <c r="Q514" s="211"/>
      <c r="R514" s="211"/>
      <c r="S514" s="31"/>
      <c r="V514" s="1"/>
      <c r="W514" s="1"/>
      <c r="X514" s="1"/>
      <c r="Y514" s="30"/>
      <c r="Z514" s="211"/>
    </row>
    <row r="515" spans="2:26">
      <c r="B515" s="1"/>
      <c r="C515" s="28"/>
      <c r="D515" s="19"/>
      <c r="G515" s="29"/>
      <c r="H515" s="212"/>
      <c r="I515" s="1"/>
      <c r="K515" s="30"/>
      <c r="L515" s="30"/>
      <c r="M515" s="1"/>
      <c r="N515" s="211"/>
      <c r="O515" s="211"/>
      <c r="P515" s="31"/>
      <c r="Q515" s="211"/>
      <c r="R515" s="211"/>
      <c r="S515" s="31"/>
      <c r="V515" s="1"/>
      <c r="W515" s="1"/>
      <c r="X515" s="1"/>
      <c r="Y515" s="30"/>
      <c r="Z515" s="211"/>
    </row>
    <row r="516" spans="2:26">
      <c r="B516" s="1"/>
      <c r="C516" s="28"/>
      <c r="D516" s="19"/>
      <c r="G516" s="29"/>
      <c r="H516" s="212"/>
      <c r="I516" s="1"/>
      <c r="K516" s="30"/>
      <c r="L516" s="30"/>
      <c r="M516" s="1"/>
      <c r="N516" s="211"/>
      <c r="O516" s="211"/>
      <c r="P516" s="31"/>
      <c r="Q516" s="211"/>
      <c r="R516" s="211"/>
      <c r="S516" s="31"/>
      <c r="V516" s="1"/>
      <c r="W516" s="1"/>
      <c r="X516" s="1"/>
      <c r="Y516" s="30"/>
      <c r="Z516" s="211"/>
    </row>
    <row r="517" spans="2:26">
      <c r="B517" s="1"/>
      <c r="C517" s="28"/>
      <c r="D517" s="19"/>
      <c r="G517" s="29"/>
      <c r="H517" s="212"/>
      <c r="I517" s="1"/>
      <c r="K517" s="30"/>
      <c r="L517" s="30"/>
      <c r="M517" s="1"/>
      <c r="N517" s="211"/>
      <c r="O517" s="211"/>
      <c r="P517" s="31"/>
      <c r="Q517" s="211"/>
      <c r="R517" s="211"/>
      <c r="S517" s="31"/>
      <c r="V517" s="1"/>
      <c r="W517" s="1"/>
      <c r="X517" s="1"/>
      <c r="Y517" s="30"/>
      <c r="Z517" s="211"/>
    </row>
    <row r="518" spans="2:26">
      <c r="B518" s="1"/>
      <c r="C518" s="28"/>
      <c r="D518" s="19"/>
      <c r="G518" s="29"/>
      <c r="H518" s="212"/>
      <c r="I518" s="1"/>
      <c r="K518" s="30"/>
      <c r="L518" s="30"/>
      <c r="M518" s="1"/>
      <c r="N518" s="211"/>
      <c r="O518" s="211"/>
      <c r="P518" s="31"/>
      <c r="Q518" s="211"/>
      <c r="R518" s="211"/>
      <c r="S518" s="31"/>
      <c r="V518" s="1"/>
      <c r="W518" s="1"/>
      <c r="X518" s="1"/>
      <c r="Y518" s="30"/>
      <c r="Z518" s="211"/>
    </row>
    <row r="519" spans="2:26">
      <c r="B519" s="1"/>
      <c r="C519" s="28"/>
      <c r="D519" s="19"/>
      <c r="G519" s="29"/>
      <c r="H519" s="212"/>
      <c r="I519" s="1"/>
      <c r="K519" s="30"/>
      <c r="L519" s="30"/>
      <c r="M519" s="1"/>
      <c r="N519" s="211"/>
      <c r="O519" s="211"/>
      <c r="P519" s="31"/>
      <c r="Q519" s="211"/>
      <c r="R519" s="211"/>
      <c r="S519" s="31"/>
      <c r="V519" s="1"/>
      <c r="W519" s="1"/>
      <c r="X519" s="1"/>
      <c r="Y519" s="30"/>
      <c r="Z519" s="211"/>
    </row>
    <row r="520" spans="2:26">
      <c r="B520" s="1"/>
      <c r="C520" s="28"/>
      <c r="D520" s="19"/>
      <c r="G520" s="29"/>
      <c r="H520" s="212"/>
      <c r="I520" s="1"/>
      <c r="K520" s="30"/>
      <c r="L520" s="30"/>
      <c r="M520" s="1"/>
      <c r="N520" s="211"/>
      <c r="O520" s="211"/>
      <c r="P520" s="31"/>
      <c r="Q520" s="211"/>
      <c r="R520" s="211"/>
      <c r="S520" s="31"/>
      <c r="V520" s="1"/>
      <c r="W520" s="1"/>
      <c r="X520" s="1"/>
      <c r="Y520" s="30"/>
      <c r="Z520" s="211"/>
    </row>
    <row r="521" spans="2:26">
      <c r="B521" s="1"/>
      <c r="C521" s="28"/>
      <c r="D521" s="19"/>
      <c r="G521" s="29"/>
      <c r="H521" s="212"/>
      <c r="I521" s="1"/>
      <c r="K521" s="30"/>
      <c r="L521" s="30"/>
      <c r="M521" s="1"/>
      <c r="N521" s="211"/>
      <c r="O521" s="211"/>
      <c r="P521" s="31"/>
      <c r="Q521" s="211"/>
      <c r="R521" s="211"/>
      <c r="S521" s="31"/>
      <c r="V521" s="1"/>
      <c r="W521" s="1"/>
      <c r="X521" s="1"/>
      <c r="Y521" s="30"/>
      <c r="Z521" s="211"/>
    </row>
    <row r="522" spans="2:26">
      <c r="B522" s="1"/>
      <c r="C522" s="28"/>
      <c r="D522" s="19"/>
      <c r="G522" s="29"/>
      <c r="H522" s="212"/>
      <c r="I522" s="1"/>
      <c r="K522" s="30"/>
      <c r="L522" s="30"/>
      <c r="M522" s="1"/>
      <c r="N522" s="211"/>
      <c r="O522" s="211"/>
      <c r="P522" s="31"/>
      <c r="Q522" s="211"/>
      <c r="R522" s="211"/>
      <c r="S522" s="31"/>
      <c r="V522" s="1"/>
      <c r="W522" s="1"/>
      <c r="X522" s="1"/>
      <c r="Y522" s="30"/>
      <c r="Z522" s="211"/>
    </row>
    <row r="523" spans="2:26">
      <c r="B523" s="1"/>
      <c r="C523" s="28"/>
      <c r="D523" s="19"/>
      <c r="G523" s="29"/>
      <c r="H523" s="212"/>
      <c r="I523" s="1"/>
      <c r="K523" s="30"/>
      <c r="L523" s="30"/>
      <c r="M523" s="1"/>
      <c r="N523" s="211"/>
      <c r="O523" s="211"/>
      <c r="P523" s="31"/>
      <c r="Q523" s="211"/>
      <c r="R523" s="211"/>
      <c r="S523" s="31"/>
      <c r="V523" s="1"/>
      <c r="W523" s="1"/>
      <c r="X523" s="1"/>
      <c r="Y523" s="30"/>
      <c r="Z523" s="211"/>
    </row>
    <row r="524" spans="2:26">
      <c r="B524" s="1"/>
      <c r="C524" s="28"/>
      <c r="D524" s="19"/>
      <c r="G524" s="29"/>
      <c r="H524" s="212"/>
      <c r="I524" s="1"/>
      <c r="K524" s="30"/>
      <c r="L524" s="30"/>
      <c r="M524" s="1"/>
      <c r="N524" s="211"/>
      <c r="O524" s="211"/>
      <c r="P524" s="31"/>
      <c r="Q524" s="211"/>
      <c r="R524" s="211"/>
      <c r="S524" s="31"/>
      <c r="V524" s="1"/>
      <c r="W524" s="1"/>
      <c r="X524" s="1"/>
      <c r="Y524" s="30"/>
      <c r="Z524" s="211"/>
    </row>
    <row r="525" spans="2:26">
      <c r="B525" s="1"/>
      <c r="C525" s="28"/>
      <c r="D525" s="19"/>
      <c r="G525" s="29"/>
      <c r="H525" s="212"/>
      <c r="I525" s="1"/>
      <c r="K525" s="30"/>
      <c r="L525" s="30"/>
      <c r="M525" s="1"/>
      <c r="N525" s="211"/>
      <c r="O525" s="211"/>
      <c r="P525" s="31"/>
      <c r="Q525" s="211"/>
      <c r="R525" s="211"/>
      <c r="S525" s="31"/>
      <c r="V525" s="1"/>
      <c r="W525" s="1"/>
      <c r="X525" s="1"/>
      <c r="Y525" s="30"/>
      <c r="Z525" s="211"/>
    </row>
    <row r="526" spans="2:26">
      <c r="B526" s="1"/>
      <c r="C526" s="28"/>
      <c r="D526" s="19"/>
      <c r="G526" s="29"/>
      <c r="H526" s="212"/>
      <c r="I526" s="1"/>
      <c r="K526" s="30"/>
      <c r="L526" s="30"/>
      <c r="M526" s="1"/>
      <c r="N526" s="211"/>
      <c r="O526" s="211"/>
      <c r="P526" s="31"/>
      <c r="Q526" s="211"/>
      <c r="R526" s="211"/>
      <c r="S526" s="31"/>
      <c r="V526" s="1"/>
      <c r="W526" s="1"/>
      <c r="X526" s="1"/>
      <c r="Y526" s="30"/>
      <c r="Z526" s="211"/>
    </row>
    <row r="527" spans="2:26">
      <c r="B527" s="1"/>
      <c r="C527" s="28"/>
      <c r="D527" s="19"/>
      <c r="G527" s="29"/>
      <c r="H527" s="212"/>
      <c r="I527" s="1"/>
      <c r="K527" s="30"/>
      <c r="L527" s="30"/>
      <c r="M527" s="1"/>
      <c r="N527" s="211"/>
      <c r="O527" s="211"/>
      <c r="P527" s="31"/>
      <c r="Q527" s="211"/>
      <c r="R527" s="211"/>
      <c r="S527" s="31"/>
      <c r="V527" s="1"/>
      <c r="W527" s="1"/>
      <c r="X527" s="1"/>
      <c r="Y527" s="30"/>
      <c r="Z527" s="211"/>
    </row>
    <row r="528" spans="2:26">
      <c r="B528" s="1"/>
      <c r="C528" s="28"/>
      <c r="D528" s="19"/>
      <c r="G528" s="29"/>
      <c r="H528" s="212"/>
      <c r="I528" s="1"/>
      <c r="K528" s="30"/>
      <c r="L528" s="30"/>
      <c r="M528" s="1"/>
      <c r="N528" s="211"/>
      <c r="O528" s="211"/>
      <c r="P528" s="31"/>
      <c r="Q528" s="211"/>
      <c r="R528" s="211"/>
      <c r="S528" s="31"/>
      <c r="V528" s="1"/>
      <c r="W528" s="1"/>
      <c r="X528" s="1"/>
      <c r="Y528" s="30"/>
      <c r="Z528" s="211"/>
    </row>
    <row r="529" spans="2:26">
      <c r="B529" s="1"/>
      <c r="C529" s="28"/>
      <c r="D529" s="19"/>
      <c r="G529" s="29"/>
      <c r="H529" s="212"/>
      <c r="I529" s="1"/>
      <c r="K529" s="30"/>
      <c r="L529" s="30"/>
      <c r="M529" s="1"/>
      <c r="N529" s="211"/>
      <c r="O529" s="211"/>
      <c r="P529" s="31"/>
      <c r="Q529" s="211"/>
      <c r="R529" s="211"/>
      <c r="S529" s="31"/>
      <c r="V529" s="1"/>
      <c r="W529" s="1"/>
      <c r="X529" s="1"/>
      <c r="Y529" s="30"/>
      <c r="Z529" s="211"/>
    </row>
    <row r="530" spans="2:26">
      <c r="B530" s="1"/>
      <c r="C530" s="28"/>
      <c r="D530" s="19"/>
      <c r="G530" s="29"/>
      <c r="H530" s="212"/>
      <c r="I530" s="1"/>
      <c r="K530" s="30"/>
      <c r="L530" s="30"/>
      <c r="M530" s="1"/>
      <c r="N530" s="211"/>
      <c r="O530" s="211"/>
      <c r="P530" s="31"/>
      <c r="Q530" s="211"/>
      <c r="R530" s="211"/>
      <c r="S530" s="31"/>
      <c r="V530" s="1"/>
      <c r="W530" s="1"/>
      <c r="X530" s="1"/>
      <c r="Y530" s="30"/>
      <c r="Z530" s="211"/>
    </row>
    <row r="531" spans="2:26">
      <c r="B531" s="1"/>
      <c r="C531" s="28"/>
      <c r="D531" s="19"/>
      <c r="G531" s="29"/>
      <c r="H531" s="212"/>
      <c r="I531" s="1"/>
      <c r="K531" s="30"/>
      <c r="L531" s="30"/>
      <c r="M531" s="1"/>
      <c r="N531" s="211"/>
      <c r="O531" s="211"/>
      <c r="P531" s="31"/>
      <c r="Q531" s="211"/>
      <c r="R531" s="211"/>
      <c r="S531" s="31"/>
      <c r="V531" s="1"/>
      <c r="W531" s="1"/>
      <c r="X531" s="1"/>
      <c r="Y531" s="30"/>
      <c r="Z531" s="211"/>
    </row>
    <row r="532" spans="2:26">
      <c r="B532" s="1"/>
      <c r="C532" s="28"/>
      <c r="D532" s="19"/>
      <c r="G532" s="29"/>
      <c r="H532" s="212"/>
      <c r="I532" s="1"/>
      <c r="K532" s="30"/>
      <c r="L532" s="30"/>
      <c r="M532" s="1"/>
      <c r="N532" s="211"/>
      <c r="O532" s="211"/>
      <c r="P532" s="31"/>
      <c r="Q532" s="211"/>
      <c r="R532" s="211"/>
      <c r="S532" s="31"/>
      <c r="V532" s="1"/>
      <c r="W532" s="1"/>
      <c r="X532" s="1"/>
      <c r="Y532" s="30"/>
      <c r="Z532" s="211"/>
    </row>
    <row r="533" spans="2:26">
      <c r="B533" s="1"/>
      <c r="C533" s="28"/>
      <c r="D533" s="19"/>
      <c r="G533" s="29"/>
      <c r="H533" s="212"/>
      <c r="I533" s="1"/>
      <c r="K533" s="30"/>
      <c r="L533" s="30"/>
      <c r="M533" s="1"/>
      <c r="N533" s="211"/>
      <c r="O533" s="211"/>
      <c r="P533" s="31"/>
      <c r="Q533" s="211"/>
      <c r="R533" s="211"/>
      <c r="S533" s="31"/>
      <c r="V533" s="1"/>
      <c r="W533" s="1"/>
      <c r="X533" s="1"/>
      <c r="Y533" s="30"/>
      <c r="Z533" s="211"/>
    </row>
    <row r="534" spans="2:26">
      <c r="B534" s="1"/>
      <c r="C534" s="28"/>
      <c r="D534" s="19"/>
      <c r="G534" s="29"/>
      <c r="H534" s="212"/>
      <c r="I534" s="1"/>
      <c r="K534" s="30"/>
      <c r="L534" s="30"/>
      <c r="M534" s="1"/>
      <c r="N534" s="211"/>
      <c r="O534" s="211"/>
      <c r="P534" s="31"/>
      <c r="Q534" s="211"/>
      <c r="R534" s="211"/>
      <c r="S534" s="31"/>
      <c r="V534" s="1"/>
      <c r="W534" s="1"/>
      <c r="X534" s="1"/>
      <c r="Y534" s="30"/>
      <c r="Z534" s="211"/>
    </row>
    <row r="535" spans="2:26">
      <c r="B535" s="1"/>
      <c r="C535" s="28"/>
      <c r="D535" s="19"/>
      <c r="G535" s="29"/>
      <c r="H535" s="212"/>
      <c r="I535" s="1"/>
      <c r="K535" s="30"/>
      <c r="L535" s="30"/>
      <c r="M535" s="1"/>
      <c r="N535" s="211"/>
      <c r="O535" s="211"/>
      <c r="P535" s="31"/>
      <c r="Q535" s="211"/>
      <c r="R535" s="211"/>
      <c r="S535" s="31"/>
      <c r="V535" s="1"/>
      <c r="W535" s="1"/>
      <c r="X535" s="1"/>
      <c r="Y535" s="30"/>
      <c r="Z535" s="211"/>
    </row>
    <row r="536" spans="2:26">
      <c r="B536" s="1"/>
      <c r="C536" s="28"/>
      <c r="D536" s="19"/>
      <c r="G536" s="29"/>
      <c r="H536" s="212"/>
      <c r="I536" s="1"/>
      <c r="K536" s="30"/>
      <c r="L536" s="30"/>
      <c r="M536" s="1"/>
      <c r="N536" s="211"/>
      <c r="O536" s="211"/>
      <c r="P536" s="31"/>
      <c r="Q536" s="211"/>
      <c r="R536" s="211"/>
      <c r="S536" s="31"/>
      <c r="V536" s="1"/>
      <c r="W536" s="1"/>
      <c r="X536" s="1"/>
      <c r="Y536" s="30"/>
      <c r="Z536" s="211"/>
    </row>
    <row r="537" spans="2:26">
      <c r="B537" s="1"/>
      <c r="C537" s="28"/>
      <c r="D537" s="19"/>
      <c r="G537" s="29"/>
      <c r="H537" s="212"/>
      <c r="I537" s="1"/>
      <c r="K537" s="30"/>
      <c r="L537" s="30"/>
      <c r="M537" s="1"/>
      <c r="N537" s="211"/>
      <c r="O537" s="211"/>
      <c r="P537" s="31"/>
      <c r="Q537" s="211"/>
      <c r="R537" s="211"/>
      <c r="S537" s="31"/>
      <c r="V537" s="1"/>
      <c r="W537" s="1"/>
      <c r="X537" s="1"/>
      <c r="Y537" s="30"/>
      <c r="Z537" s="211"/>
    </row>
    <row r="538" spans="2:26">
      <c r="B538" s="1"/>
      <c r="C538" s="28"/>
      <c r="D538" s="19"/>
      <c r="G538" s="29"/>
      <c r="H538" s="212"/>
      <c r="I538" s="1"/>
      <c r="K538" s="30"/>
      <c r="L538" s="30"/>
      <c r="M538" s="1"/>
      <c r="N538" s="211"/>
      <c r="O538" s="211"/>
      <c r="P538" s="31"/>
      <c r="Q538" s="211"/>
      <c r="R538" s="211"/>
      <c r="S538" s="31"/>
      <c r="V538" s="1"/>
      <c r="W538" s="1"/>
      <c r="X538" s="1"/>
      <c r="Y538" s="30"/>
      <c r="Z538" s="211"/>
    </row>
    <row r="539" spans="2:26">
      <c r="B539" s="1"/>
      <c r="C539" s="28"/>
      <c r="D539" s="19"/>
      <c r="G539" s="29"/>
      <c r="H539" s="212"/>
      <c r="I539" s="1"/>
      <c r="K539" s="30"/>
      <c r="L539" s="30"/>
      <c r="M539" s="1"/>
      <c r="N539" s="211"/>
      <c r="O539" s="211"/>
      <c r="P539" s="31"/>
      <c r="Q539" s="211"/>
      <c r="R539" s="211"/>
      <c r="S539" s="31"/>
      <c r="V539" s="1"/>
      <c r="W539" s="1"/>
      <c r="X539" s="1"/>
      <c r="Y539" s="30"/>
      <c r="Z539" s="211"/>
    </row>
    <row r="540" spans="2:26">
      <c r="B540" s="1"/>
      <c r="C540" s="28"/>
      <c r="D540" s="19"/>
      <c r="G540" s="29"/>
      <c r="H540" s="212"/>
      <c r="I540" s="1"/>
      <c r="K540" s="30"/>
      <c r="L540" s="30"/>
      <c r="M540" s="1"/>
      <c r="N540" s="211"/>
      <c r="O540" s="211"/>
      <c r="P540" s="31"/>
      <c r="Q540" s="211"/>
      <c r="R540" s="211"/>
      <c r="S540" s="31"/>
      <c r="V540" s="1"/>
      <c r="W540" s="1"/>
      <c r="X540" s="1"/>
      <c r="Y540" s="30"/>
      <c r="Z540" s="211"/>
    </row>
    <row r="541" spans="2:26">
      <c r="B541" s="1"/>
      <c r="C541" s="28"/>
      <c r="D541" s="19"/>
      <c r="G541" s="29"/>
      <c r="H541" s="212"/>
      <c r="I541" s="1"/>
      <c r="K541" s="30"/>
      <c r="L541" s="30"/>
      <c r="M541" s="1"/>
      <c r="N541" s="211"/>
      <c r="O541" s="211"/>
      <c r="P541" s="31"/>
      <c r="Q541" s="211"/>
      <c r="R541" s="211"/>
      <c r="S541" s="31"/>
      <c r="V541" s="1"/>
      <c r="W541" s="1"/>
      <c r="X541" s="1"/>
      <c r="Y541" s="30"/>
      <c r="Z541" s="211"/>
    </row>
    <row r="542" spans="2:26">
      <c r="B542" s="1"/>
      <c r="C542" s="28"/>
      <c r="D542" s="19"/>
      <c r="G542" s="29"/>
      <c r="H542" s="212"/>
      <c r="I542" s="1"/>
      <c r="K542" s="30"/>
      <c r="L542" s="30"/>
      <c r="M542" s="1"/>
      <c r="N542" s="211"/>
      <c r="O542" s="211"/>
      <c r="P542" s="31"/>
      <c r="Q542" s="211"/>
      <c r="R542" s="211"/>
      <c r="S542" s="31"/>
      <c r="V542" s="1"/>
      <c r="W542" s="1"/>
      <c r="X542" s="1"/>
      <c r="Y542" s="30"/>
      <c r="Z542" s="211"/>
    </row>
    <row r="543" spans="2:26">
      <c r="B543" s="1"/>
      <c r="C543" s="28"/>
      <c r="D543" s="19"/>
      <c r="G543" s="29"/>
      <c r="H543" s="212"/>
      <c r="I543" s="1"/>
      <c r="K543" s="30"/>
      <c r="L543" s="30"/>
      <c r="M543" s="1"/>
      <c r="N543" s="211"/>
      <c r="O543" s="211"/>
      <c r="P543" s="31"/>
      <c r="Q543" s="211"/>
      <c r="R543" s="211"/>
      <c r="S543" s="31"/>
      <c r="V543" s="1"/>
      <c r="W543" s="1"/>
      <c r="X543" s="1"/>
      <c r="Y543" s="30"/>
      <c r="Z543" s="211"/>
    </row>
    <row r="544" spans="2:26">
      <c r="B544" s="1"/>
      <c r="C544" s="28"/>
      <c r="D544" s="19"/>
      <c r="G544" s="29"/>
      <c r="H544" s="212"/>
      <c r="I544" s="1"/>
      <c r="K544" s="30"/>
      <c r="L544" s="30"/>
      <c r="M544" s="1"/>
      <c r="N544" s="211"/>
      <c r="O544" s="211"/>
      <c r="P544" s="31"/>
      <c r="Q544" s="211"/>
      <c r="R544" s="211"/>
      <c r="S544" s="31"/>
      <c r="V544" s="1"/>
      <c r="W544" s="1"/>
      <c r="X544" s="1"/>
      <c r="Y544" s="30"/>
      <c r="Z544" s="211"/>
    </row>
    <row r="545" spans="2:26">
      <c r="B545" s="1"/>
      <c r="C545" s="28"/>
      <c r="D545" s="19"/>
      <c r="G545" s="29"/>
      <c r="H545" s="212"/>
      <c r="I545" s="1"/>
      <c r="K545" s="30"/>
      <c r="L545" s="30"/>
      <c r="M545" s="1"/>
      <c r="N545" s="211"/>
      <c r="O545" s="211"/>
      <c r="P545" s="31"/>
      <c r="Q545" s="211"/>
      <c r="R545" s="211"/>
      <c r="S545" s="31"/>
      <c r="V545" s="1"/>
      <c r="W545" s="1"/>
      <c r="X545" s="1"/>
      <c r="Y545" s="30"/>
      <c r="Z545" s="211"/>
    </row>
    <row r="546" spans="2:26">
      <c r="B546" s="1"/>
      <c r="C546" s="28"/>
      <c r="D546" s="19"/>
      <c r="G546" s="29"/>
      <c r="H546" s="212"/>
      <c r="I546" s="1"/>
      <c r="K546" s="30"/>
      <c r="L546" s="30"/>
      <c r="M546" s="1"/>
      <c r="N546" s="211"/>
      <c r="O546" s="211"/>
      <c r="P546" s="31"/>
      <c r="Q546" s="211"/>
      <c r="R546" s="211"/>
      <c r="S546" s="31"/>
      <c r="V546" s="1"/>
      <c r="W546" s="1"/>
      <c r="X546" s="1"/>
      <c r="Y546" s="30"/>
      <c r="Z546" s="211"/>
    </row>
    <row r="547" spans="2:26">
      <c r="B547" s="1"/>
      <c r="C547" s="28"/>
      <c r="D547" s="19"/>
      <c r="G547" s="29"/>
      <c r="H547" s="212"/>
      <c r="I547" s="1"/>
      <c r="K547" s="30"/>
      <c r="L547" s="30"/>
      <c r="M547" s="1"/>
      <c r="N547" s="211"/>
      <c r="O547" s="211"/>
      <c r="P547" s="31"/>
      <c r="Q547" s="211"/>
      <c r="R547" s="211"/>
      <c r="S547" s="31"/>
      <c r="V547" s="1"/>
      <c r="W547" s="1"/>
      <c r="X547" s="1"/>
      <c r="Y547" s="30"/>
      <c r="Z547" s="211"/>
    </row>
    <row r="548" spans="2:26">
      <c r="B548" s="1"/>
      <c r="C548" s="28"/>
      <c r="D548" s="19"/>
      <c r="G548" s="29"/>
      <c r="H548" s="212"/>
      <c r="I548" s="1"/>
      <c r="K548" s="30"/>
      <c r="L548" s="30"/>
      <c r="M548" s="1"/>
      <c r="N548" s="211"/>
      <c r="O548" s="211"/>
      <c r="P548" s="31"/>
      <c r="Q548" s="211"/>
      <c r="R548" s="211"/>
      <c r="S548" s="31"/>
      <c r="V548" s="1"/>
      <c r="W548" s="1"/>
      <c r="X548" s="1"/>
      <c r="Y548" s="30"/>
      <c r="Z548" s="211"/>
    </row>
    <row r="549" spans="2:26">
      <c r="C549" s="28"/>
      <c r="D549" s="19"/>
      <c r="G549" s="29"/>
      <c r="H549" s="212"/>
      <c r="I549" s="1"/>
      <c r="K549" s="30"/>
      <c r="L549" s="30"/>
      <c r="M549" s="1"/>
      <c r="N549" s="211"/>
      <c r="O549" s="211"/>
      <c r="P549" s="31"/>
      <c r="Q549" s="211"/>
      <c r="R549" s="211"/>
      <c r="S549" s="31"/>
      <c r="V549" s="1"/>
      <c r="W549" s="1"/>
      <c r="X549" s="1"/>
      <c r="Y549" s="30"/>
      <c r="Z549" s="211"/>
    </row>
    <row r="550" spans="2:26">
      <c r="B550" s="1"/>
      <c r="C550" s="28"/>
      <c r="D550" s="19"/>
      <c r="G550" s="29"/>
      <c r="H550" s="212"/>
      <c r="I550" s="1"/>
      <c r="K550" s="30"/>
      <c r="L550" s="30"/>
      <c r="M550" s="1"/>
      <c r="N550" s="211"/>
      <c r="O550" s="211"/>
      <c r="P550" s="31"/>
      <c r="Q550" s="211"/>
      <c r="R550" s="211"/>
      <c r="S550" s="31"/>
      <c r="V550" s="1"/>
      <c r="W550" s="1"/>
      <c r="X550" s="1"/>
      <c r="Y550" s="30"/>
      <c r="Z550" s="211"/>
    </row>
    <row r="551" spans="2:26">
      <c r="B551" s="1"/>
      <c r="C551" s="28"/>
      <c r="D551" s="19"/>
      <c r="G551" s="29"/>
      <c r="H551" s="212"/>
      <c r="I551" s="1"/>
      <c r="K551" s="30"/>
      <c r="L551" s="30"/>
      <c r="M551" s="1"/>
      <c r="N551" s="211"/>
      <c r="O551" s="211"/>
      <c r="P551" s="31"/>
      <c r="Q551" s="211"/>
      <c r="R551" s="211"/>
      <c r="S551" s="31"/>
      <c r="V551" s="1"/>
      <c r="W551" s="1"/>
      <c r="X551" s="1"/>
      <c r="Y551" s="30"/>
      <c r="Z551" s="211"/>
    </row>
    <row r="552" spans="2:26">
      <c r="B552" s="1"/>
      <c r="C552" s="28"/>
      <c r="D552" s="19"/>
      <c r="G552" s="29"/>
      <c r="H552" s="212"/>
      <c r="I552" s="1"/>
      <c r="K552" s="30"/>
      <c r="L552" s="30"/>
      <c r="M552" s="1"/>
      <c r="N552" s="211"/>
      <c r="O552" s="211"/>
      <c r="P552" s="31"/>
      <c r="Q552" s="211"/>
      <c r="R552" s="211"/>
      <c r="S552" s="31"/>
      <c r="V552" s="1"/>
      <c r="W552" s="1"/>
      <c r="X552" s="1"/>
      <c r="Y552" s="30"/>
      <c r="Z552" s="211"/>
    </row>
    <row r="553" spans="2:26">
      <c r="B553" s="1"/>
      <c r="C553" s="28"/>
      <c r="D553" s="19"/>
      <c r="G553" s="29"/>
      <c r="H553" s="212"/>
      <c r="I553" s="1"/>
      <c r="K553" s="30"/>
      <c r="L553" s="30"/>
      <c r="M553" s="1"/>
      <c r="N553" s="211"/>
      <c r="O553" s="211"/>
      <c r="P553" s="31"/>
      <c r="Q553" s="211"/>
      <c r="R553" s="211"/>
      <c r="S553" s="31"/>
      <c r="V553" s="1"/>
      <c r="W553" s="1"/>
      <c r="X553" s="1"/>
      <c r="Y553" s="30"/>
      <c r="Z553" s="211"/>
    </row>
    <row r="554" spans="2:26">
      <c r="B554" s="1"/>
      <c r="C554" s="28"/>
      <c r="D554" s="19"/>
      <c r="G554" s="29"/>
      <c r="H554" s="212"/>
      <c r="I554" s="1"/>
      <c r="K554" s="30"/>
      <c r="L554" s="30"/>
      <c r="M554" s="1"/>
      <c r="N554" s="211"/>
      <c r="O554" s="211"/>
      <c r="P554" s="31"/>
      <c r="Q554" s="211"/>
      <c r="R554" s="211"/>
      <c r="S554" s="31"/>
      <c r="V554" s="1"/>
      <c r="W554" s="1"/>
      <c r="X554" s="1"/>
      <c r="Y554" s="30"/>
      <c r="Z554" s="211"/>
    </row>
    <row r="555" spans="2:26">
      <c r="B555" s="1"/>
      <c r="C555" s="28"/>
      <c r="D555" s="19"/>
      <c r="G555" s="29"/>
      <c r="H555" s="212"/>
      <c r="I555" s="1"/>
      <c r="K555" s="30"/>
      <c r="L555" s="30"/>
      <c r="M555" s="1"/>
      <c r="N555" s="211"/>
      <c r="O555" s="211"/>
      <c r="P555" s="31"/>
      <c r="Q555" s="211"/>
      <c r="R555" s="211"/>
      <c r="S555" s="31"/>
      <c r="V555" s="1"/>
      <c r="W555" s="1"/>
      <c r="X555" s="1"/>
      <c r="Y555" s="30"/>
      <c r="Z555" s="211"/>
    </row>
    <row r="556" spans="2:26">
      <c r="B556" s="1"/>
      <c r="C556" s="28"/>
      <c r="D556" s="19"/>
      <c r="G556" s="29"/>
      <c r="H556" s="212"/>
      <c r="I556" s="1"/>
      <c r="K556" s="30"/>
      <c r="L556" s="30"/>
      <c r="M556" s="1"/>
      <c r="N556" s="211"/>
      <c r="O556" s="211"/>
      <c r="P556" s="31"/>
      <c r="Q556" s="211"/>
      <c r="R556" s="211"/>
      <c r="S556" s="31"/>
      <c r="V556" s="1"/>
      <c r="W556" s="1"/>
      <c r="X556" s="1"/>
      <c r="Y556" s="30"/>
      <c r="Z556" s="211"/>
    </row>
    <row r="557" spans="2:26">
      <c r="B557" s="1"/>
      <c r="C557" s="28"/>
      <c r="D557" s="19"/>
      <c r="G557" s="29"/>
      <c r="H557" s="212"/>
      <c r="I557" s="1"/>
      <c r="K557" s="30"/>
      <c r="L557" s="30"/>
      <c r="M557" s="1"/>
      <c r="N557" s="211"/>
      <c r="O557" s="211"/>
      <c r="P557" s="31"/>
      <c r="Q557" s="211"/>
      <c r="R557" s="211"/>
      <c r="S557" s="31"/>
      <c r="V557" s="1"/>
      <c r="W557" s="1"/>
      <c r="X557" s="1"/>
      <c r="Y557" s="30"/>
      <c r="Z557" s="211"/>
    </row>
    <row r="558" spans="2:26">
      <c r="B558" s="1"/>
      <c r="C558" s="28"/>
      <c r="D558" s="19"/>
      <c r="G558" s="29"/>
      <c r="H558" s="212"/>
      <c r="I558" s="1"/>
      <c r="K558" s="30"/>
      <c r="L558" s="30"/>
      <c r="M558" s="1"/>
      <c r="N558" s="211"/>
      <c r="O558" s="211"/>
      <c r="P558" s="31"/>
      <c r="Q558" s="211"/>
      <c r="R558" s="211"/>
      <c r="S558" s="31"/>
      <c r="V558" s="1"/>
      <c r="W558" s="1"/>
      <c r="X558" s="1"/>
      <c r="Y558" s="30"/>
      <c r="Z558" s="211"/>
    </row>
    <row r="559" spans="2:26">
      <c r="B559" s="1"/>
      <c r="C559" s="28"/>
      <c r="D559" s="19"/>
      <c r="G559" s="29"/>
      <c r="H559" s="212"/>
      <c r="I559" s="1"/>
      <c r="K559" s="30"/>
      <c r="L559" s="30"/>
      <c r="M559" s="1"/>
      <c r="N559" s="211"/>
      <c r="O559" s="211"/>
      <c r="P559" s="31"/>
      <c r="Q559" s="211"/>
      <c r="R559" s="211"/>
      <c r="S559" s="31"/>
      <c r="V559" s="1"/>
      <c r="W559" s="1"/>
      <c r="X559" s="1"/>
      <c r="Y559" s="30"/>
      <c r="Z559" s="211"/>
    </row>
    <row r="560" spans="2:26">
      <c r="B560" s="1"/>
      <c r="C560" s="28"/>
      <c r="D560" s="19"/>
      <c r="G560" s="29"/>
      <c r="H560" s="212"/>
      <c r="I560" s="1"/>
      <c r="K560" s="30"/>
      <c r="L560" s="30"/>
      <c r="M560" s="1"/>
      <c r="N560" s="211"/>
      <c r="O560" s="211"/>
      <c r="P560" s="31"/>
      <c r="Q560" s="211"/>
      <c r="R560" s="211"/>
      <c r="S560" s="31"/>
      <c r="V560" s="1"/>
      <c r="W560" s="1"/>
      <c r="X560" s="1"/>
      <c r="Y560" s="30"/>
      <c r="Z560" s="211"/>
    </row>
    <row r="561" spans="2:26">
      <c r="B561" s="1"/>
      <c r="C561" s="28"/>
      <c r="D561" s="19"/>
      <c r="G561" s="29"/>
      <c r="H561" s="212"/>
      <c r="I561" s="1"/>
      <c r="K561" s="30"/>
      <c r="L561" s="30"/>
      <c r="M561" s="1"/>
      <c r="N561" s="211"/>
      <c r="O561" s="211"/>
      <c r="P561" s="31"/>
      <c r="Q561" s="211"/>
      <c r="R561" s="211"/>
      <c r="S561" s="31"/>
      <c r="V561" s="1"/>
      <c r="W561" s="1"/>
      <c r="X561" s="1"/>
      <c r="Y561" s="30"/>
      <c r="Z561" s="211"/>
    </row>
    <row r="562" spans="2:26">
      <c r="B562" s="1"/>
      <c r="C562" s="28"/>
      <c r="D562" s="19"/>
      <c r="G562" s="29"/>
      <c r="H562" s="212"/>
      <c r="I562" s="1"/>
      <c r="K562" s="30"/>
      <c r="L562" s="30"/>
      <c r="M562" s="1"/>
      <c r="N562" s="211"/>
      <c r="O562" s="211"/>
      <c r="P562" s="31"/>
      <c r="Q562" s="211"/>
      <c r="R562" s="211"/>
      <c r="S562" s="31"/>
      <c r="V562" s="1"/>
      <c r="W562" s="1"/>
      <c r="X562" s="1"/>
      <c r="Y562" s="30"/>
      <c r="Z562" s="211"/>
    </row>
    <row r="563" spans="2:26">
      <c r="B563" s="1"/>
      <c r="C563" s="28"/>
      <c r="D563" s="19"/>
      <c r="G563" s="29"/>
      <c r="H563" s="212"/>
      <c r="I563" s="1"/>
      <c r="K563" s="30"/>
      <c r="L563" s="30"/>
      <c r="M563" s="1"/>
      <c r="N563" s="211"/>
      <c r="O563" s="211"/>
      <c r="P563" s="31"/>
      <c r="Q563" s="211"/>
      <c r="R563" s="211"/>
      <c r="S563" s="31"/>
      <c r="V563" s="1"/>
      <c r="W563" s="1"/>
      <c r="X563" s="1"/>
      <c r="Y563" s="30"/>
      <c r="Z563" s="211"/>
    </row>
    <row r="564" spans="2:26">
      <c r="B564" s="1"/>
      <c r="C564" s="28"/>
      <c r="D564" s="19"/>
      <c r="G564" s="29"/>
      <c r="H564" s="212"/>
      <c r="I564" s="1"/>
      <c r="K564" s="30"/>
      <c r="L564" s="30"/>
      <c r="M564" s="1"/>
      <c r="N564" s="211"/>
      <c r="O564" s="211"/>
      <c r="P564" s="31"/>
      <c r="Q564" s="211"/>
      <c r="R564" s="211"/>
      <c r="S564" s="31"/>
      <c r="V564" s="1"/>
      <c r="W564" s="1"/>
      <c r="X564" s="1"/>
      <c r="Y564" s="30"/>
      <c r="Z564" s="211"/>
    </row>
    <row r="565" spans="2:26">
      <c r="B565" s="1"/>
      <c r="C565" s="28"/>
      <c r="D565" s="19"/>
      <c r="G565" s="29"/>
      <c r="H565" s="212"/>
      <c r="I565" s="1"/>
      <c r="K565" s="30"/>
      <c r="L565" s="30"/>
      <c r="M565" s="1"/>
      <c r="N565" s="211"/>
      <c r="O565" s="211"/>
      <c r="P565" s="31"/>
      <c r="Q565" s="211"/>
      <c r="R565" s="211"/>
      <c r="S565" s="31"/>
      <c r="V565" s="1"/>
      <c r="W565" s="1"/>
      <c r="X565" s="1"/>
      <c r="Y565" s="30"/>
      <c r="Z565" s="211"/>
    </row>
    <row r="566" spans="2:26">
      <c r="B566" s="1"/>
      <c r="C566" s="28"/>
      <c r="D566" s="19"/>
      <c r="G566" s="29"/>
      <c r="H566" s="212"/>
      <c r="I566" s="1"/>
      <c r="K566" s="30"/>
      <c r="L566" s="30"/>
      <c r="M566" s="1"/>
      <c r="N566" s="211"/>
      <c r="O566" s="211"/>
      <c r="P566" s="31"/>
      <c r="Q566" s="211"/>
      <c r="R566" s="211"/>
      <c r="S566" s="31"/>
      <c r="V566" s="1"/>
      <c r="W566" s="1"/>
      <c r="X566" s="1"/>
      <c r="Y566" s="30"/>
      <c r="Z566" s="211"/>
    </row>
    <row r="567" spans="2:26">
      <c r="B567" s="1"/>
      <c r="C567" s="28"/>
      <c r="D567" s="19"/>
      <c r="G567" s="29"/>
      <c r="H567" s="212"/>
      <c r="I567" s="1"/>
      <c r="K567" s="30"/>
      <c r="L567" s="30"/>
      <c r="M567" s="1"/>
      <c r="N567" s="211"/>
      <c r="O567" s="211"/>
      <c r="P567" s="31"/>
      <c r="Q567" s="211"/>
      <c r="R567" s="211"/>
      <c r="S567" s="31"/>
      <c r="V567" s="1"/>
      <c r="W567" s="1"/>
      <c r="X567" s="1"/>
      <c r="Y567" s="30"/>
      <c r="Z567" s="211"/>
    </row>
    <row r="568" spans="2:26">
      <c r="B568" s="1"/>
      <c r="C568" s="28"/>
      <c r="D568" s="19"/>
      <c r="G568" s="29"/>
      <c r="H568" s="212"/>
      <c r="I568" s="1"/>
      <c r="K568" s="30"/>
      <c r="L568" s="30"/>
      <c r="M568" s="1"/>
      <c r="N568" s="211"/>
      <c r="O568" s="211"/>
      <c r="P568" s="31"/>
      <c r="Q568" s="211"/>
      <c r="R568" s="211"/>
      <c r="S568" s="31"/>
      <c r="V568" s="1"/>
      <c r="W568" s="1"/>
      <c r="X568" s="1"/>
      <c r="Y568" s="30"/>
      <c r="Z568" s="211"/>
    </row>
    <row r="569" spans="2:26">
      <c r="B569" s="1"/>
      <c r="C569" s="28"/>
      <c r="D569" s="19"/>
      <c r="G569" s="29"/>
      <c r="H569" s="212"/>
      <c r="I569" s="1"/>
      <c r="K569" s="30"/>
      <c r="L569" s="30"/>
      <c r="M569" s="1"/>
      <c r="N569" s="211"/>
      <c r="O569" s="211"/>
      <c r="P569" s="31"/>
      <c r="Q569" s="211"/>
      <c r="R569" s="211"/>
      <c r="S569" s="31"/>
      <c r="V569" s="1"/>
      <c r="W569" s="1"/>
      <c r="X569" s="1"/>
      <c r="Y569" s="30"/>
      <c r="Z569" s="211"/>
    </row>
    <row r="570" spans="2:26">
      <c r="B570" s="1"/>
      <c r="C570" s="28"/>
      <c r="D570" s="19"/>
      <c r="G570" s="29"/>
      <c r="H570" s="212"/>
      <c r="I570" s="1"/>
      <c r="K570" s="30"/>
      <c r="L570" s="30"/>
      <c r="M570" s="1"/>
      <c r="N570" s="211"/>
      <c r="O570" s="211"/>
      <c r="P570" s="31"/>
      <c r="Q570" s="211"/>
      <c r="R570" s="211"/>
      <c r="S570" s="31"/>
      <c r="V570" s="1"/>
      <c r="W570" s="1"/>
      <c r="X570" s="1"/>
      <c r="Y570" s="30"/>
      <c r="Z570" s="211"/>
    </row>
    <row r="571" spans="2:26">
      <c r="B571" s="1"/>
      <c r="C571" s="28"/>
      <c r="D571" s="19"/>
      <c r="G571" s="29"/>
      <c r="H571" s="212"/>
      <c r="I571" s="1"/>
      <c r="K571" s="30"/>
      <c r="L571" s="30"/>
      <c r="M571" s="1"/>
      <c r="N571" s="211"/>
      <c r="O571" s="211"/>
      <c r="P571" s="31"/>
      <c r="Q571" s="211"/>
      <c r="R571" s="211"/>
      <c r="S571" s="31"/>
      <c r="V571" s="1"/>
      <c r="W571" s="1"/>
      <c r="X571" s="1"/>
      <c r="Y571" s="30"/>
      <c r="Z571" s="211"/>
    </row>
    <row r="572" spans="2:26">
      <c r="B572" s="1"/>
      <c r="C572" s="28"/>
      <c r="D572" s="19"/>
      <c r="G572" s="29"/>
      <c r="H572" s="212"/>
      <c r="I572" s="1"/>
      <c r="K572" s="30"/>
      <c r="L572" s="30"/>
      <c r="M572" s="1"/>
      <c r="N572" s="211"/>
      <c r="O572" s="211"/>
      <c r="P572" s="31"/>
      <c r="Q572" s="211"/>
      <c r="R572" s="211"/>
      <c r="S572" s="31"/>
      <c r="V572" s="1"/>
      <c r="W572" s="1"/>
      <c r="X572" s="1"/>
      <c r="Y572" s="30"/>
      <c r="Z572" s="211"/>
    </row>
    <row r="573" spans="2:26">
      <c r="B573" s="1"/>
      <c r="C573" s="28"/>
      <c r="D573" s="19"/>
      <c r="G573" s="29"/>
      <c r="H573" s="212"/>
      <c r="I573" s="1"/>
      <c r="K573" s="30"/>
      <c r="L573" s="30"/>
      <c r="M573" s="1"/>
      <c r="N573" s="211"/>
      <c r="O573" s="211"/>
      <c r="P573" s="31"/>
      <c r="Q573" s="211"/>
      <c r="R573" s="211"/>
      <c r="S573" s="31"/>
      <c r="V573" s="1"/>
      <c r="W573" s="1"/>
      <c r="X573" s="1"/>
      <c r="Y573" s="30"/>
      <c r="Z573" s="211"/>
    </row>
    <row r="574" spans="2:26">
      <c r="B574" s="1"/>
      <c r="C574" s="28"/>
      <c r="D574" s="19"/>
      <c r="G574" s="29"/>
      <c r="H574" s="212"/>
      <c r="I574" s="1"/>
      <c r="K574" s="30"/>
      <c r="L574" s="30"/>
      <c r="M574" s="30"/>
      <c r="N574" s="1"/>
      <c r="O574" s="211"/>
      <c r="P574" s="211"/>
      <c r="Q574" s="31"/>
      <c r="R574" s="211"/>
      <c r="S574" s="211"/>
      <c r="T574" s="31"/>
      <c r="W574" s="1"/>
      <c r="X574" s="1"/>
      <c r="Y574" s="1"/>
      <c r="Z574" s="30"/>
    </row>
    <row r="575" spans="2:26">
      <c r="B575" s="1"/>
      <c r="C575" s="28"/>
      <c r="D575" s="19"/>
      <c r="G575" s="29"/>
      <c r="H575" s="212"/>
      <c r="I575" s="1"/>
      <c r="K575" s="30"/>
      <c r="L575" s="30"/>
      <c r="M575" s="1"/>
      <c r="N575" s="211"/>
      <c r="O575" s="211"/>
      <c r="P575" s="31"/>
      <c r="Q575" s="211"/>
      <c r="R575" s="211"/>
      <c r="S575" s="31"/>
      <c r="V575" s="1"/>
      <c r="W575" s="1"/>
      <c r="X575" s="1"/>
      <c r="Y575" s="30"/>
      <c r="Z575" s="211"/>
    </row>
    <row r="576" spans="2:26">
      <c r="B576" s="1"/>
      <c r="C576" s="28"/>
      <c r="D576" s="19"/>
      <c r="G576" s="29"/>
      <c r="H576" s="212"/>
      <c r="I576" s="1"/>
      <c r="K576" s="30"/>
      <c r="L576" s="30"/>
      <c r="M576" s="1"/>
      <c r="N576" s="211"/>
      <c r="O576" s="211"/>
      <c r="P576" s="31"/>
      <c r="Q576" s="211"/>
      <c r="R576" s="211"/>
      <c r="S576" s="31"/>
      <c r="V576" s="1"/>
      <c r="W576" s="1"/>
      <c r="X576" s="1"/>
      <c r="Y576" s="30"/>
      <c r="Z576" s="211"/>
    </row>
    <row r="577" spans="2:26">
      <c r="B577" s="1"/>
      <c r="C577" s="28"/>
      <c r="D577" s="19"/>
      <c r="G577" s="29"/>
      <c r="H577" s="212"/>
      <c r="I577" s="1"/>
      <c r="K577" s="30"/>
      <c r="L577" s="30"/>
      <c r="M577" s="1"/>
      <c r="N577" s="211"/>
      <c r="O577" s="211"/>
      <c r="P577" s="31"/>
      <c r="Q577" s="211"/>
      <c r="R577" s="211"/>
      <c r="S577" s="31"/>
      <c r="V577" s="1"/>
      <c r="W577" s="1"/>
      <c r="X577" s="1"/>
      <c r="Y577" s="30"/>
      <c r="Z577" s="211"/>
    </row>
    <row r="578" spans="2:26">
      <c r="B578" s="1"/>
      <c r="C578" s="28"/>
      <c r="D578" s="19"/>
      <c r="G578" s="29"/>
      <c r="H578" s="212"/>
      <c r="I578" s="1"/>
      <c r="K578" s="30"/>
      <c r="L578" s="30"/>
      <c r="M578" s="1"/>
      <c r="N578" s="211"/>
      <c r="O578" s="211"/>
      <c r="P578" s="31"/>
      <c r="Q578" s="211"/>
      <c r="R578" s="211"/>
      <c r="S578" s="31"/>
      <c r="V578" s="1"/>
      <c r="W578" s="1"/>
      <c r="X578" s="1"/>
      <c r="Y578" s="30"/>
      <c r="Z578" s="211"/>
    </row>
    <row r="579" spans="2:26">
      <c r="B579" s="1"/>
      <c r="C579" s="28"/>
      <c r="D579" s="19"/>
      <c r="G579" s="29"/>
      <c r="H579" s="212"/>
      <c r="I579" s="1"/>
      <c r="K579" s="30"/>
      <c r="L579" s="30"/>
      <c r="M579" s="1"/>
      <c r="N579" s="211"/>
      <c r="O579" s="211"/>
      <c r="P579" s="31"/>
      <c r="Q579" s="211"/>
      <c r="R579" s="211"/>
      <c r="S579" s="31"/>
      <c r="V579" s="1"/>
      <c r="W579" s="1"/>
      <c r="X579" s="1"/>
      <c r="Y579" s="30"/>
      <c r="Z579" s="211"/>
    </row>
    <row r="580" spans="2:26">
      <c r="B580" s="1"/>
      <c r="C580" s="28"/>
      <c r="D580" s="19"/>
      <c r="G580" s="29"/>
      <c r="H580" s="212"/>
      <c r="I580" s="1"/>
      <c r="K580" s="30"/>
      <c r="L580" s="30"/>
      <c r="M580" s="1"/>
      <c r="N580" s="211"/>
      <c r="O580" s="211"/>
      <c r="P580" s="31"/>
      <c r="Q580" s="211"/>
      <c r="R580" s="211"/>
      <c r="S580" s="31"/>
      <c r="V580" s="1"/>
      <c r="W580" s="1"/>
      <c r="X580" s="1"/>
      <c r="Y580" s="30"/>
      <c r="Z580" s="211"/>
    </row>
    <row r="581" spans="2:26">
      <c r="B581" s="1"/>
      <c r="C581" s="28"/>
      <c r="D581" s="19"/>
      <c r="G581" s="29"/>
      <c r="H581" s="212"/>
      <c r="I581" s="1"/>
      <c r="K581" s="30"/>
      <c r="L581" s="30"/>
      <c r="M581" s="1"/>
      <c r="N581" s="211"/>
      <c r="O581" s="211"/>
      <c r="P581" s="31"/>
      <c r="Q581" s="211"/>
      <c r="R581" s="211"/>
      <c r="S581" s="31"/>
      <c r="V581" s="1"/>
      <c r="W581" s="1"/>
      <c r="X581" s="1"/>
      <c r="Y581" s="30"/>
      <c r="Z581" s="211"/>
    </row>
    <row r="582" spans="2:26">
      <c r="B582" s="1"/>
      <c r="C582" s="28"/>
      <c r="D582" s="19"/>
      <c r="G582" s="29"/>
      <c r="H582" s="212"/>
      <c r="I582" s="1"/>
      <c r="K582" s="30"/>
      <c r="L582" s="30"/>
      <c r="M582" s="1"/>
      <c r="N582" s="211"/>
      <c r="O582" s="211"/>
      <c r="P582" s="31"/>
      <c r="Q582" s="211"/>
      <c r="R582" s="211"/>
      <c r="S582" s="31"/>
      <c r="V582" s="1"/>
      <c r="W582" s="1"/>
      <c r="X582" s="1"/>
      <c r="Y582" s="30"/>
      <c r="Z582" s="211"/>
    </row>
    <row r="583" spans="2:26">
      <c r="B583" s="1"/>
      <c r="C583" s="28"/>
      <c r="D583" s="19"/>
      <c r="G583" s="29"/>
      <c r="H583" s="212"/>
      <c r="I583" s="1"/>
      <c r="K583" s="30"/>
      <c r="L583" s="30"/>
      <c r="M583" s="1"/>
      <c r="N583" s="211"/>
      <c r="O583" s="211"/>
      <c r="P583" s="31"/>
      <c r="Q583" s="211"/>
      <c r="R583" s="211"/>
      <c r="S583" s="31"/>
      <c r="V583" s="1"/>
      <c r="W583" s="1"/>
      <c r="X583" s="1"/>
      <c r="Y583" s="30"/>
      <c r="Z583" s="211"/>
    </row>
    <row r="584" spans="2:26">
      <c r="B584" s="1"/>
      <c r="C584" s="28"/>
      <c r="D584" s="19"/>
      <c r="G584" s="29"/>
      <c r="H584" s="212"/>
      <c r="I584" s="1"/>
      <c r="K584" s="30"/>
      <c r="L584" s="30"/>
      <c r="M584" s="1"/>
      <c r="N584" s="211"/>
      <c r="O584" s="211"/>
      <c r="P584" s="31"/>
      <c r="Q584" s="211"/>
      <c r="R584" s="211"/>
      <c r="S584" s="31"/>
      <c r="V584" s="1"/>
      <c r="W584" s="1"/>
      <c r="X584" s="1"/>
      <c r="Y584" s="30"/>
      <c r="Z584" s="211"/>
    </row>
    <row r="585" spans="2:26">
      <c r="B585" s="1"/>
      <c r="C585" s="28"/>
      <c r="D585" s="19"/>
      <c r="G585" s="29"/>
      <c r="H585" s="212"/>
      <c r="I585" s="1"/>
      <c r="K585" s="30"/>
      <c r="L585" s="30"/>
      <c r="M585" s="1"/>
      <c r="N585" s="211"/>
      <c r="O585" s="211"/>
      <c r="P585" s="31"/>
      <c r="Q585" s="211"/>
      <c r="R585" s="211"/>
      <c r="S585" s="31"/>
      <c r="V585" s="1"/>
      <c r="W585" s="1"/>
      <c r="X585" s="1"/>
      <c r="Y585" s="30"/>
      <c r="Z585" s="211"/>
    </row>
    <row r="586" spans="2:26">
      <c r="B586" s="1"/>
      <c r="C586" s="28"/>
      <c r="D586" s="19"/>
      <c r="G586" s="29"/>
      <c r="H586" s="212"/>
      <c r="I586" s="1"/>
      <c r="K586" s="30"/>
      <c r="L586" s="30"/>
      <c r="M586" s="1"/>
      <c r="N586" s="211"/>
      <c r="O586" s="211"/>
      <c r="P586" s="31"/>
      <c r="Q586" s="211"/>
      <c r="R586" s="211"/>
      <c r="S586" s="31"/>
      <c r="V586" s="1"/>
      <c r="W586" s="1"/>
      <c r="X586" s="1"/>
      <c r="Y586" s="30"/>
      <c r="Z586" s="211"/>
    </row>
    <row r="587" spans="2:26">
      <c r="B587" s="1"/>
      <c r="C587" s="28"/>
      <c r="D587" s="19"/>
      <c r="G587" s="29"/>
      <c r="H587" s="212"/>
      <c r="I587" s="1"/>
      <c r="K587" s="30"/>
      <c r="L587" s="30"/>
      <c r="M587" s="1"/>
      <c r="N587" s="211"/>
      <c r="O587" s="211"/>
      <c r="P587" s="31"/>
      <c r="Q587" s="211"/>
      <c r="R587" s="211"/>
      <c r="S587" s="31"/>
      <c r="V587" s="1"/>
      <c r="W587" s="1"/>
      <c r="X587" s="1"/>
      <c r="Y587" s="30"/>
      <c r="Z587" s="211"/>
    </row>
    <row r="588" spans="2:26">
      <c r="B588" s="1"/>
      <c r="C588" s="28"/>
      <c r="D588" s="19"/>
      <c r="G588" s="29"/>
      <c r="H588" s="212"/>
      <c r="I588" s="1"/>
      <c r="K588" s="30"/>
      <c r="L588" s="30"/>
      <c r="M588" s="1"/>
      <c r="N588" s="211"/>
      <c r="O588" s="211"/>
      <c r="P588" s="31"/>
      <c r="Q588" s="211"/>
      <c r="R588" s="211"/>
      <c r="S588" s="31"/>
      <c r="V588" s="1"/>
      <c r="W588" s="1"/>
      <c r="X588" s="1"/>
      <c r="Y588" s="30"/>
      <c r="Z588" s="211"/>
    </row>
    <row r="589" spans="2:26">
      <c r="B589" s="1"/>
      <c r="C589" s="28"/>
      <c r="D589" s="19"/>
      <c r="G589" s="29"/>
      <c r="H589" s="212"/>
      <c r="I589" s="1"/>
      <c r="K589" s="30"/>
      <c r="L589" s="30"/>
      <c r="M589" s="1"/>
      <c r="N589" s="211"/>
      <c r="O589" s="211"/>
      <c r="P589" s="31"/>
      <c r="Q589" s="211"/>
      <c r="R589" s="211"/>
      <c r="S589" s="31"/>
      <c r="V589" s="1"/>
      <c r="W589" s="1"/>
      <c r="X589" s="1"/>
      <c r="Y589" s="30"/>
      <c r="Z589" s="211"/>
    </row>
    <row r="590" spans="2:26">
      <c r="B590" s="1"/>
      <c r="C590" s="28"/>
      <c r="D590" s="19"/>
      <c r="G590" s="29"/>
      <c r="H590" s="212"/>
      <c r="I590" s="1"/>
      <c r="K590" s="30"/>
      <c r="L590" s="30"/>
      <c r="M590" s="1"/>
      <c r="N590" s="211"/>
      <c r="O590" s="211"/>
      <c r="P590" s="31"/>
      <c r="Q590" s="211"/>
      <c r="R590" s="211"/>
      <c r="S590" s="31"/>
      <c r="V590" s="1"/>
      <c r="W590" s="1"/>
      <c r="X590" s="1"/>
      <c r="Y590" s="30"/>
      <c r="Z590" s="211"/>
    </row>
    <row r="591" spans="2:26">
      <c r="B591" s="1"/>
      <c r="C591" s="28"/>
      <c r="D591" s="19"/>
      <c r="G591" s="29"/>
      <c r="H591" s="212"/>
      <c r="I591" s="1"/>
      <c r="K591" s="30"/>
      <c r="L591" s="30"/>
      <c r="M591" s="1"/>
      <c r="N591" s="211"/>
      <c r="O591" s="211"/>
      <c r="P591" s="31"/>
      <c r="Q591" s="211"/>
      <c r="R591" s="211"/>
      <c r="S591" s="31"/>
      <c r="V591" s="1"/>
      <c r="W591" s="1"/>
      <c r="X591" s="1"/>
      <c r="Y591" s="30"/>
      <c r="Z591" s="211"/>
    </row>
    <row r="592" spans="2:26">
      <c r="B592" s="1"/>
      <c r="C592" s="28"/>
      <c r="D592" s="19"/>
      <c r="G592" s="29"/>
      <c r="H592" s="212"/>
      <c r="I592" s="1"/>
      <c r="K592" s="30"/>
      <c r="L592" s="30"/>
      <c r="M592" s="1"/>
      <c r="N592" s="211"/>
      <c r="O592" s="211"/>
      <c r="P592" s="31"/>
      <c r="Q592" s="211"/>
      <c r="R592" s="211"/>
      <c r="S592" s="31"/>
      <c r="V592" s="1"/>
      <c r="W592" s="1"/>
      <c r="X592" s="1"/>
      <c r="Y592" s="30"/>
      <c r="Z592" s="211"/>
    </row>
    <row r="593" spans="2:26">
      <c r="B593" s="1"/>
      <c r="C593" s="28"/>
      <c r="D593" s="19"/>
      <c r="G593" s="29"/>
      <c r="H593" s="212"/>
      <c r="I593" s="1"/>
      <c r="K593" s="30"/>
      <c r="L593" s="30"/>
      <c r="M593" s="1"/>
      <c r="N593" s="211"/>
      <c r="O593" s="211"/>
      <c r="P593" s="31"/>
      <c r="Q593" s="211"/>
      <c r="R593" s="211"/>
      <c r="S593" s="31"/>
      <c r="V593" s="1"/>
      <c r="W593" s="1"/>
      <c r="X593" s="1"/>
      <c r="Y593" s="30"/>
      <c r="Z593" s="211"/>
    </row>
    <row r="594" spans="2:26">
      <c r="B594" s="1"/>
      <c r="C594" s="28"/>
      <c r="D594" s="19"/>
      <c r="G594" s="29"/>
      <c r="H594" s="212"/>
      <c r="I594" s="1"/>
      <c r="K594" s="30"/>
      <c r="L594" s="30"/>
      <c r="M594" s="1"/>
      <c r="N594" s="211"/>
      <c r="O594" s="211"/>
      <c r="P594" s="31"/>
      <c r="Q594" s="211"/>
      <c r="R594" s="211"/>
      <c r="S594" s="31"/>
      <c r="V594" s="1"/>
      <c r="W594" s="1"/>
      <c r="X594" s="1"/>
      <c r="Y594" s="30"/>
      <c r="Z594" s="211"/>
    </row>
    <row r="595" spans="2:26">
      <c r="B595" s="1"/>
      <c r="C595" s="28"/>
      <c r="D595" s="19"/>
      <c r="G595" s="29"/>
      <c r="H595" s="212"/>
      <c r="I595" s="1"/>
      <c r="K595" s="30"/>
      <c r="L595" s="30"/>
      <c r="M595" s="1"/>
      <c r="N595" s="211"/>
      <c r="O595" s="211"/>
      <c r="P595" s="31"/>
      <c r="Q595" s="211"/>
      <c r="R595" s="211"/>
      <c r="S595" s="31"/>
      <c r="V595" s="1"/>
      <c r="W595" s="1"/>
      <c r="X595" s="1"/>
      <c r="Y595" s="30"/>
      <c r="Z595" s="211"/>
    </row>
    <row r="596" spans="2:26">
      <c r="B596" s="1"/>
      <c r="C596" s="28"/>
      <c r="D596" s="19"/>
      <c r="G596" s="29"/>
      <c r="H596" s="212"/>
      <c r="I596" s="1"/>
      <c r="K596" s="30"/>
      <c r="L596" s="30"/>
      <c r="M596" s="1"/>
      <c r="N596" s="211"/>
      <c r="O596" s="211"/>
      <c r="P596" s="31"/>
      <c r="Q596" s="211"/>
      <c r="R596" s="211"/>
      <c r="S596" s="31"/>
      <c r="V596" s="1"/>
      <c r="W596" s="1"/>
      <c r="X596" s="1"/>
      <c r="Y596" s="30"/>
      <c r="Z596" s="211"/>
    </row>
    <row r="597" spans="2:26">
      <c r="B597" s="1"/>
      <c r="C597" s="28"/>
      <c r="D597" s="19"/>
      <c r="G597" s="29"/>
      <c r="H597" s="212"/>
      <c r="I597" s="1"/>
      <c r="K597" s="30"/>
      <c r="L597" s="30"/>
      <c r="M597" s="1"/>
      <c r="N597" s="211"/>
      <c r="O597" s="211"/>
      <c r="P597" s="31"/>
      <c r="Q597" s="211"/>
      <c r="R597" s="211"/>
      <c r="S597" s="31"/>
      <c r="V597" s="1"/>
      <c r="W597" s="1"/>
      <c r="X597" s="1"/>
      <c r="Y597" s="30"/>
      <c r="Z597" s="211"/>
    </row>
    <row r="598" spans="2:26">
      <c r="B598" s="1"/>
      <c r="C598" s="28"/>
      <c r="D598" s="19"/>
      <c r="G598" s="29"/>
      <c r="H598" s="212"/>
      <c r="I598" s="1"/>
      <c r="K598" s="30"/>
      <c r="L598" s="30"/>
      <c r="M598" s="1"/>
      <c r="N598" s="211"/>
      <c r="O598" s="211"/>
      <c r="P598" s="31"/>
      <c r="Q598" s="211"/>
      <c r="R598" s="211"/>
      <c r="S598" s="31"/>
      <c r="V598" s="1"/>
      <c r="W598" s="1"/>
      <c r="X598" s="1"/>
      <c r="Y598" s="30"/>
      <c r="Z598" s="211"/>
    </row>
    <row r="599" spans="2:26">
      <c r="B599" s="1"/>
      <c r="C599" s="28"/>
      <c r="D599" s="19"/>
      <c r="G599" s="29"/>
      <c r="H599" s="212"/>
      <c r="I599" s="1"/>
      <c r="K599" s="30"/>
      <c r="L599" s="30"/>
      <c r="M599" s="1"/>
      <c r="N599" s="211"/>
      <c r="O599" s="211"/>
      <c r="P599" s="31"/>
      <c r="Q599" s="211"/>
      <c r="R599" s="211"/>
      <c r="S599" s="31"/>
      <c r="V599" s="1"/>
      <c r="W599" s="1"/>
      <c r="X599" s="1"/>
      <c r="Y599" s="30"/>
      <c r="Z599" s="211"/>
    </row>
    <row r="600" spans="2:26">
      <c r="B600" s="1"/>
      <c r="C600" s="28"/>
      <c r="D600" s="19"/>
      <c r="G600" s="29"/>
      <c r="H600" s="212"/>
      <c r="I600" s="1"/>
      <c r="K600" s="30"/>
      <c r="L600" s="30"/>
      <c r="M600" s="1"/>
      <c r="N600" s="211"/>
      <c r="O600" s="211"/>
      <c r="P600" s="31"/>
      <c r="Q600" s="211"/>
      <c r="R600" s="211"/>
      <c r="S600" s="31"/>
      <c r="V600" s="1"/>
      <c r="W600" s="1"/>
      <c r="X600" s="1"/>
      <c r="Y600" s="30"/>
      <c r="Z600" s="211"/>
    </row>
    <row r="601" spans="2:26">
      <c r="B601" s="1"/>
      <c r="C601" s="28"/>
      <c r="D601" s="19"/>
      <c r="G601" s="29"/>
      <c r="H601" s="212"/>
      <c r="I601" s="1"/>
      <c r="K601" s="30"/>
      <c r="L601" s="30"/>
      <c r="M601" s="1"/>
      <c r="N601" s="211"/>
      <c r="O601" s="211"/>
      <c r="P601" s="31"/>
      <c r="Q601" s="211"/>
      <c r="R601" s="211"/>
      <c r="S601" s="31"/>
      <c r="V601" s="1"/>
      <c r="W601" s="1"/>
      <c r="X601" s="1"/>
      <c r="Y601" s="30"/>
      <c r="Z601" s="211"/>
    </row>
    <row r="602" spans="2:26">
      <c r="B602" s="1"/>
      <c r="C602" s="28"/>
      <c r="D602" s="19"/>
      <c r="H602" s="212"/>
      <c r="I602" s="1"/>
      <c r="K602" s="30"/>
      <c r="L602" s="30"/>
      <c r="M602" s="1"/>
      <c r="N602" s="211"/>
      <c r="O602" s="211"/>
      <c r="P602" s="31"/>
      <c r="Q602" s="211"/>
      <c r="R602" s="211"/>
      <c r="S602" s="31"/>
      <c r="V602" s="1"/>
      <c r="W602" s="1"/>
      <c r="X602" s="1"/>
      <c r="Y602" s="30"/>
      <c r="Z602" s="211"/>
    </row>
    <row r="603" spans="2:26">
      <c r="B603" s="1"/>
      <c r="C603" s="28"/>
      <c r="D603" s="19"/>
      <c r="G603" s="29"/>
      <c r="H603" s="212"/>
      <c r="I603" s="1"/>
      <c r="K603" s="30"/>
      <c r="L603" s="30"/>
      <c r="M603" s="1"/>
      <c r="N603" s="211"/>
      <c r="O603" s="211"/>
      <c r="P603" s="31"/>
      <c r="Q603" s="211"/>
      <c r="R603" s="211"/>
      <c r="S603" s="31"/>
      <c r="V603" s="1"/>
      <c r="W603" s="1"/>
      <c r="X603" s="1"/>
      <c r="Y603" s="30"/>
      <c r="Z603" s="211"/>
    </row>
    <row r="604" spans="2:26">
      <c r="B604" s="1"/>
      <c r="C604" s="28"/>
      <c r="D604" s="19"/>
      <c r="G604" s="29"/>
      <c r="H604" s="212"/>
      <c r="I604" s="1"/>
      <c r="K604" s="30"/>
      <c r="L604" s="30"/>
      <c r="M604" s="1"/>
      <c r="N604" s="211"/>
      <c r="O604" s="211"/>
      <c r="P604" s="31"/>
      <c r="Q604" s="211"/>
      <c r="R604" s="211"/>
      <c r="S604" s="31"/>
      <c r="V604" s="1"/>
      <c r="W604" s="1"/>
      <c r="X604" s="1"/>
      <c r="Y604" s="30"/>
      <c r="Z604" s="211"/>
    </row>
    <row r="605" spans="2:26">
      <c r="B605" s="1"/>
      <c r="C605" s="28"/>
      <c r="D605" s="19"/>
      <c r="G605" s="29"/>
      <c r="H605" s="212"/>
      <c r="I605" s="1"/>
      <c r="K605" s="30"/>
      <c r="L605" s="30"/>
      <c r="M605" s="1"/>
      <c r="N605" s="211"/>
      <c r="O605" s="211"/>
      <c r="P605" s="31"/>
      <c r="Q605" s="211"/>
      <c r="R605" s="211"/>
      <c r="S605" s="31"/>
      <c r="V605" s="1"/>
      <c r="W605" s="1"/>
      <c r="X605" s="1"/>
      <c r="Y605" s="30"/>
      <c r="Z605" s="211"/>
    </row>
    <row r="606" spans="2:26">
      <c r="B606" s="1"/>
      <c r="C606" s="28"/>
      <c r="D606" s="19"/>
      <c r="G606" s="29"/>
      <c r="H606" s="212"/>
      <c r="I606" s="1"/>
      <c r="K606" s="30"/>
      <c r="L606" s="30"/>
      <c r="M606" s="1"/>
      <c r="N606" s="211"/>
      <c r="O606" s="211"/>
      <c r="P606" s="31"/>
      <c r="Q606" s="211"/>
      <c r="R606" s="211"/>
      <c r="S606" s="31"/>
      <c r="V606" s="1"/>
      <c r="W606" s="1"/>
      <c r="X606" s="1"/>
      <c r="Y606" s="30"/>
      <c r="Z606" s="211"/>
    </row>
    <row r="607" spans="2:26">
      <c r="B607" s="1"/>
      <c r="C607" s="28"/>
      <c r="D607" s="19"/>
      <c r="G607" s="29"/>
      <c r="H607" s="212"/>
      <c r="I607" s="1"/>
      <c r="K607" s="30"/>
      <c r="L607" s="30"/>
      <c r="M607" s="1"/>
      <c r="N607" s="211"/>
      <c r="O607" s="211"/>
      <c r="P607" s="31"/>
      <c r="Q607" s="211"/>
      <c r="R607" s="211"/>
      <c r="S607" s="31"/>
      <c r="V607" s="1"/>
      <c r="W607" s="1"/>
      <c r="X607" s="1"/>
      <c r="Y607" s="30"/>
      <c r="Z607" s="211"/>
    </row>
    <row r="608" spans="2:26">
      <c r="B608" s="1"/>
      <c r="C608" s="28"/>
      <c r="D608" s="19"/>
      <c r="G608" s="29"/>
      <c r="H608" s="212"/>
      <c r="I608" s="1"/>
      <c r="K608" s="30"/>
      <c r="L608" s="30"/>
      <c r="M608" s="1"/>
      <c r="N608" s="211"/>
      <c r="O608" s="211"/>
      <c r="P608" s="31"/>
      <c r="Q608" s="211"/>
      <c r="R608" s="211"/>
      <c r="S608" s="31"/>
      <c r="V608" s="1"/>
      <c r="W608" s="1"/>
      <c r="X608" s="1"/>
      <c r="Y608" s="30"/>
      <c r="Z608" s="211"/>
    </row>
    <row r="609" spans="2:26">
      <c r="B609" s="1"/>
      <c r="C609" s="28"/>
      <c r="D609" s="19"/>
      <c r="G609" s="29"/>
      <c r="H609" s="212"/>
      <c r="I609" s="1"/>
      <c r="K609" s="30"/>
      <c r="L609" s="30"/>
      <c r="M609" s="1"/>
      <c r="N609" s="211"/>
      <c r="O609" s="211"/>
      <c r="P609" s="31"/>
      <c r="Q609" s="211"/>
      <c r="R609" s="211"/>
      <c r="S609" s="31"/>
      <c r="V609" s="1"/>
      <c r="W609" s="1"/>
      <c r="X609" s="1"/>
      <c r="Y609" s="30"/>
      <c r="Z609" s="211"/>
    </row>
    <row r="610" spans="2:26">
      <c r="B610" s="1"/>
      <c r="C610" s="28"/>
      <c r="D610" s="19"/>
      <c r="G610" s="29"/>
      <c r="H610" s="212"/>
      <c r="I610" s="1"/>
      <c r="K610" s="30"/>
      <c r="L610" s="30"/>
      <c r="M610" s="1"/>
      <c r="N610" s="211"/>
      <c r="O610" s="211"/>
      <c r="P610" s="31"/>
      <c r="Q610" s="211"/>
      <c r="R610" s="211"/>
      <c r="S610" s="31"/>
      <c r="V610" s="1"/>
      <c r="W610" s="1"/>
      <c r="X610" s="1"/>
      <c r="Y610" s="30"/>
      <c r="Z610" s="211"/>
    </row>
    <row r="611" spans="2:26">
      <c r="B611" s="1"/>
      <c r="C611" s="28"/>
      <c r="D611" s="19"/>
      <c r="G611" s="29"/>
      <c r="H611" s="212"/>
      <c r="I611" s="1"/>
      <c r="K611" s="30"/>
      <c r="L611" s="30"/>
      <c r="M611" s="1"/>
      <c r="N611" s="211"/>
      <c r="O611" s="211"/>
      <c r="P611" s="31"/>
      <c r="Q611" s="211"/>
      <c r="R611" s="211"/>
      <c r="S611" s="31"/>
      <c r="V611" s="1"/>
      <c r="W611" s="1"/>
      <c r="X611" s="1"/>
      <c r="Y611" s="30"/>
      <c r="Z611" s="211"/>
    </row>
    <row r="612" spans="2:26">
      <c r="B612" s="1"/>
      <c r="C612" s="28"/>
      <c r="D612" s="19"/>
      <c r="G612" s="29"/>
      <c r="H612" s="212"/>
      <c r="I612" s="1"/>
      <c r="K612" s="30"/>
      <c r="L612" s="30"/>
      <c r="M612" s="1"/>
      <c r="N612" s="211"/>
      <c r="O612" s="211"/>
      <c r="P612" s="31"/>
      <c r="Q612" s="211"/>
      <c r="R612" s="211"/>
      <c r="S612" s="31"/>
      <c r="V612" s="1"/>
      <c r="W612" s="1"/>
      <c r="X612" s="1"/>
      <c r="Y612" s="30"/>
      <c r="Z612" s="211"/>
    </row>
    <row r="613" spans="2:26">
      <c r="B613" s="1"/>
      <c r="C613" s="28"/>
      <c r="D613" s="19"/>
      <c r="G613" s="29"/>
      <c r="H613" s="212"/>
      <c r="I613" s="1"/>
      <c r="K613" s="30"/>
      <c r="L613" s="30"/>
      <c r="M613" s="1"/>
      <c r="N613" s="211"/>
      <c r="O613" s="211"/>
      <c r="P613" s="31"/>
      <c r="Q613" s="211"/>
      <c r="R613" s="211"/>
      <c r="S613" s="31"/>
      <c r="V613" s="1"/>
      <c r="W613" s="1"/>
      <c r="X613" s="1"/>
      <c r="Y613" s="30"/>
      <c r="Z613" s="211"/>
    </row>
    <row r="614" spans="2:26">
      <c r="B614" s="1"/>
      <c r="C614" s="28"/>
      <c r="D614" s="19"/>
      <c r="G614" s="29"/>
      <c r="H614" s="212"/>
      <c r="I614" s="1"/>
      <c r="K614" s="30"/>
      <c r="L614" s="30"/>
      <c r="M614" s="1"/>
      <c r="N614" s="211"/>
      <c r="O614" s="211"/>
      <c r="P614" s="31"/>
      <c r="Q614" s="211"/>
      <c r="R614" s="211"/>
      <c r="S614" s="31"/>
      <c r="V614" s="1"/>
      <c r="W614" s="1"/>
      <c r="X614" s="1"/>
      <c r="Y614" s="30"/>
      <c r="Z614" s="211"/>
    </row>
    <row r="615" spans="2:26">
      <c r="B615" s="1"/>
      <c r="C615" s="28"/>
      <c r="D615" s="19"/>
      <c r="G615" s="29"/>
      <c r="H615" s="212"/>
      <c r="I615" s="1"/>
      <c r="K615" s="30"/>
      <c r="L615" s="30"/>
      <c r="M615" s="1"/>
      <c r="N615" s="211"/>
      <c r="O615" s="211"/>
      <c r="P615" s="31"/>
      <c r="Q615" s="211"/>
      <c r="R615" s="211"/>
      <c r="S615" s="31"/>
      <c r="V615" s="1"/>
      <c r="W615" s="1"/>
      <c r="X615" s="1"/>
      <c r="Y615" s="30"/>
      <c r="Z615" s="211"/>
    </row>
    <row r="616" spans="2:26">
      <c r="B616" s="215"/>
      <c r="C616" s="28"/>
      <c r="D616" s="19"/>
      <c r="G616" s="29"/>
      <c r="H616" s="212"/>
      <c r="I616" s="1"/>
      <c r="K616" s="30"/>
      <c r="L616" s="30"/>
      <c r="M616" s="1"/>
      <c r="N616" s="211"/>
      <c r="O616" s="211"/>
      <c r="P616" s="31"/>
      <c r="Q616" s="211"/>
      <c r="R616" s="211"/>
      <c r="S616" s="31"/>
      <c r="V616" s="1"/>
      <c r="W616" s="1"/>
      <c r="X616" s="1"/>
      <c r="Y616" s="30"/>
      <c r="Z616" s="211"/>
    </row>
    <row r="617" spans="2:26">
      <c r="B617" s="1"/>
      <c r="C617" s="28"/>
      <c r="D617" s="19"/>
      <c r="G617" s="29"/>
      <c r="H617" s="212"/>
      <c r="I617" s="1"/>
      <c r="K617" s="30"/>
      <c r="L617" s="30"/>
      <c r="M617" s="1"/>
      <c r="N617" s="211"/>
      <c r="O617" s="211"/>
      <c r="P617" s="31"/>
      <c r="Q617" s="211"/>
      <c r="R617" s="211"/>
      <c r="S617" s="31"/>
      <c r="V617" s="1"/>
      <c r="W617" s="1"/>
      <c r="X617" s="1"/>
      <c r="Y617" s="30"/>
      <c r="Z617" s="211"/>
    </row>
    <row r="618" spans="2:26">
      <c r="B618" s="1"/>
      <c r="C618" s="28"/>
      <c r="D618" s="19"/>
      <c r="G618" s="29"/>
      <c r="H618" s="212"/>
      <c r="I618" s="1"/>
      <c r="K618" s="30"/>
      <c r="L618" s="30"/>
      <c r="M618" s="1"/>
      <c r="N618" s="211"/>
      <c r="O618" s="211"/>
      <c r="P618" s="31"/>
      <c r="Q618" s="211"/>
      <c r="R618" s="211"/>
      <c r="S618" s="31"/>
      <c r="V618" s="1"/>
      <c r="W618" s="1"/>
      <c r="X618" s="1"/>
      <c r="Y618" s="30"/>
      <c r="Z618" s="211"/>
    </row>
    <row r="619" spans="2:26">
      <c r="B619" s="1"/>
      <c r="C619" s="28"/>
      <c r="D619" s="19"/>
      <c r="G619" s="29"/>
      <c r="H619" s="212"/>
      <c r="I619" s="1"/>
      <c r="K619" s="30"/>
      <c r="L619" s="30"/>
      <c r="M619" s="1"/>
      <c r="N619" s="211"/>
      <c r="O619" s="211"/>
      <c r="P619" s="31"/>
      <c r="Q619" s="211"/>
      <c r="R619" s="211"/>
      <c r="S619" s="31"/>
      <c r="V619" s="1"/>
      <c r="W619" s="1"/>
      <c r="X619" s="1"/>
      <c r="Y619" s="30"/>
      <c r="Z619" s="211"/>
    </row>
    <row r="620" spans="2:26">
      <c r="B620" s="1"/>
      <c r="C620" s="28"/>
      <c r="D620" s="19"/>
      <c r="G620" s="29"/>
      <c r="H620" s="212"/>
      <c r="I620" s="1"/>
      <c r="K620" s="30"/>
      <c r="L620" s="30"/>
      <c r="M620" s="1"/>
      <c r="N620" s="211"/>
      <c r="O620" s="211"/>
      <c r="P620" s="31"/>
      <c r="Q620" s="211"/>
      <c r="R620" s="211"/>
      <c r="S620" s="31"/>
      <c r="V620" s="1"/>
      <c r="W620" s="1"/>
      <c r="X620" s="1"/>
      <c r="Y620" s="30"/>
      <c r="Z620" s="211"/>
    </row>
    <row r="621" spans="2:26">
      <c r="B621" s="1"/>
      <c r="C621" s="28"/>
      <c r="D621" s="19"/>
      <c r="G621" s="29"/>
      <c r="H621" s="212"/>
      <c r="I621" s="1"/>
      <c r="K621" s="30"/>
      <c r="L621" s="30"/>
      <c r="M621" s="1"/>
      <c r="N621" s="211"/>
      <c r="O621" s="211"/>
      <c r="P621" s="31"/>
      <c r="Q621" s="211"/>
      <c r="R621" s="211"/>
      <c r="S621" s="31"/>
      <c r="V621" s="1"/>
      <c r="W621" s="1"/>
      <c r="X621" s="1"/>
      <c r="Y621" s="30"/>
      <c r="Z621" s="211"/>
    </row>
    <row r="622" spans="2:26">
      <c r="B622" s="1"/>
      <c r="C622" s="28"/>
      <c r="D622" s="19"/>
      <c r="G622" s="29"/>
      <c r="H622" s="212"/>
      <c r="I622" s="1"/>
      <c r="K622" s="30"/>
      <c r="L622" s="30"/>
      <c r="M622" s="1"/>
      <c r="N622" s="211"/>
      <c r="O622" s="211"/>
      <c r="P622" s="31"/>
      <c r="Q622" s="211"/>
      <c r="R622" s="211"/>
      <c r="S622" s="31"/>
      <c r="V622" s="1"/>
      <c r="W622" s="1"/>
      <c r="X622" s="1"/>
      <c r="Y622" s="30"/>
      <c r="Z622" s="211"/>
    </row>
    <row r="623" spans="2:26">
      <c r="B623" s="1"/>
      <c r="C623" s="28"/>
      <c r="D623" s="19"/>
      <c r="G623" s="29"/>
      <c r="H623" s="212"/>
      <c r="I623" s="1"/>
      <c r="K623" s="30"/>
      <c r="L623" s="30"/>
      <c r="M623" s="1"/>
      <c r="N623" s="211"/>
      <c r="O623" s="211"/>
      <c r="P623" s="31"/>
      <c r="Q623" s="211"/>
      <c r="R623" s="211"/>
      <c r="S623" s="31"/>
      <c r="V623" s="1"/>
      <c r="W623" s="1"/>
      <c r="X623" s="1"/>
      <c r="Y623" s="30"/>
      <c r="Z623" s="211"/>
    </row>
    <row r="624" spans="2:26">
      <c r="B624" s="1"/>
      <c r="C624" s="28"/>
      <c r="D624" s="19"/>
      <c r="G624" s="29"/>
      <c r="H624" s="212"/>
      <c r="I624" s="1"/>
      <c r="K624" s="30"/>
      <c r="L624" s="30"/>
      <c r="M624" s="1"/>
      <c r="N624" s="211"/>
      <c r="O624" s="211"/>
      <c r="P624" s="31"/>
      <c r="Q624" s="211"/>
      <c r="R624" s="211"/>
      <c r="S624" s="31"/>
      <c r="V624" s="1"/>
      <c r="W624" s="1"/>
      <c r="X624" s="1"/>
      <c r="Y624" s="30"/>
      <c r="Z624" s="211"/>
    </row>
    <row r="625" spans="2:26">
      <c r="B625" s="1"/>
      <c r="C625" s="28"/>
      <c r="D625" s="19"/>
      <c r="G625" s="29"/>
      <c r="H625" s="212"/>
      <c r="I625" s="1"/>
      <c r="K625" s="30"/>
      <c r="L625" s="30"/>
      <c r="M625" s="1"/>
      <c r="N625" s="211"/>
      <c r="O625" s="211"/>
      <c r="P625" s="31"/>
      <c r="Q625" s="211"/>
      <c r="R625" s="211"/>
      <c r="S625" s="31"/>
      <c r="V625" s="1"/>
      <c r="W625" s="1"/>
      <c r="X625" s="1"/>
      <c r="Y625" s="30"/>
      <c r="Z625" s="211"/>
    </row>
    <row r="626" spans="2:26">
      <c r="B626" s="1"/>
      <c r="C626" s="28"/>
      <c r="D626" s="19"/>
      <c r="G626" s="29"/>
      <c r="H626" s="212"/>
      <c r="I626" s="1"/>
      <c r="K626" s="30"/>
      <c r="L626" s="30"/>
      <c r="M626" s="1"/>
      <c r="N626" s="211"/>
      <c r="O626" s="211"/>
      <c r="P626" s="31"/>
      <c r="Q626" s="211"/>
      <c r="R626" s="211"/>
      <c r="S626" s="31"/>
      <c r="V626" s="1"/>
      <c r="W626" s="1"/>
      <c r="X626" s="1"/>
      <c r="Y626" s="30"/>
      <c r="Z626" s="211"/>
    </row>
    <row r="627" spans="2:26">
      <c r="B627" s="1"/>
      <c r="C627" s="28"/>
      <c r="D627" s="19"/>
      <c r="G627" s="29"/>
      <c r="H627" s="212"/>
      <c r="I627" s="1"/>
      <c r="K627" s="30"/>
      <c r="L627" s="30"/>
      <c r="M627" s="1"/>
      <c r="N627" s="211"/>
      <c r="O627" s="211"/>
      <c r="P627" s="31"/>
      <c r="Q627" s="211"/>
      <c r="R627" s="211"/>
      <c r="S627" s="31"/>
      <c r="V627" s="1"/>
      <c r="W627" s="1"/>
      <c r="X627" s="1"/>
      <c r="Y627" s="30"/>
      <c r="Z627" s="211"/>
    </row>
    <row r="628" spans="2:26">
      <c r="B628" s="1"/>
      <c r="C628" s="28"/>
      <c r="D628" s="19"/>
      <c r="G628" s="29"/>
      <c r="H628" s="212"/>
      <c r="I628" s="1"/>
      <c r="K628" s="30"/>
      <c r="L628" s="30"/>
      <c r="M628" s="1"/>
      <c r="N628" s="211"/>
      <c r="O628" s="211"/>
      <c r="P628" s="31"/>
      <c r="Q628" s="211"/>
      <c r="R628" s="211"/>
      <c r="S628" s="31"/>
      <c r="V628" s="1"/>
      <c r="W628" s="1"/>
      <c r="X628" s="1"/>
      <c r="Y628" s="30"/>
      <c r="Z628" s="211"/>
    </row>
    <row r="629" spans="2:26">
      <c r="B629" s="1"/>
      <c r="C629" s="28"/>
      <c r="D629" s="19"/>
      <c r="G629" s="29"/>
      <c r="H629" s="212"/>
      <c r="I629" s="1"/>
      <c r="K629" s="30"/>
      <c r="L629" s="30"/>
      <c r="M629" s="1"/>
      <c r="N629" s="211"/>
      <c r="O629" s="211"/>
      <c r="P629" s="31"/>
      <c r="Q629" s="211"/>
      <c r="R629" s="211"/>
      <c r="S629" s="31"/>
      <c r="V629" s="1"/>
      <c r="W629" s="1"/>
      <c r="X629" s="1"/>
      <c r="Y629" s="30"/>
      <c r="Z629" s="211"/>
    </row>
    <row r="630" spans="2:26">
      <c r="B630" s="1"/>
      <c r="C630" s="28"/>
      <c r="D630" s="19"/>
      <c r="G630" s="29"/>
      <c r="H630" s="212"/>
      <c r="I630" s="1"/>
      <c r="K630" s="30"/>
      <c r="L630" s="30"/>
      <c r="M630" s="1"/>
      <c r="N630" s="211"/>
      <c r="O630" s="211"/>
      <c r="P630" s="31"/>
      <c r="Q630" s="211"/>
      <c r="R630" s="211"/>
      <c r="S630" s="31"/>
      <c r="V630" s="1"/>
      <c r="W630" s="1"/>
      <c r="X630" s="1"/>
      <c r="Y630" s="30"/>
      <c r="Z630" s="211"/>
    </row>
    <row r="631" spans="2:26">
      <c r="B631" s="1"/>
      <c r="C631" s="28"/>
      <c r="D631" s="19"/>
      <c r="G631" s="29"/>
      <c r="H631" s="212"/>
      <c r="I631" s="1"/>
      <c r="K631" s="30"/>
      <c r="L631" s="30"/>
      <c r="M631" s="1"/>
      <c r="N631" s="211"/>
      <c r="O631" s="211"/>
      <c r="P631" s="31"/>
      <c r="Q631" s="211"/>
      <c r="R631" s="211"/>
      <c r="S631" s="31"/>
      <c r="V631" s="1"/>
      <c r="W631" s="1"/>
      <c r="X631" s="1"/>
      <c r="Y631" s="30"/>
      <c r="Z631" s="211"/>
    </row>
    <row r="632" spans="2:26">
      <c r="B632" s="1"/>
      <c r="C632" s="28"/>
      <c r="D632" s="19"/>
      <c r="G632" s="29"/>
      <c r="H632" s="212"/>
      <c r="I632" s="1"/>
      <c r="K632" s="30"/>
      <c r="L632" s="30"/>
      <c r="M632" s="1"/>
      <c r="N632" s="211"/>
      <c r="O632" s="211"/>
      <c r="P632" s="31"/>
      <c r="Q632" s="211"/>
      <c r="R632" s="211"/>
      <c r="S632" s="31"/>
      <c r="V632" s="1"/>
      <c r="W632" s="1"/>
      <c r="X632" s="1"/>
      <c r="Y632" s="30"/>
      <c r="Z632" s="211"/>
    </row>
    <row r="633" spans="2:26">
      <c r="B633" s="1"/>
      <c r="C633" s="28"/>
      <c r="D633" s="19"/>
      <c r="G633" s="29"/>
      <c r="H633" s="212"/>
      <c r="I633" s="1"/>
      <c r="K633" s="30"/>
      <c r="L633" s="30"/>
      <c r="M633" s="1"/>
      <c r="N633" s="211"/>
      <c r="O633" s="211"/>
      <c r="P633" s="31"/>
      <c r="Q633" s="211"/>
      <c r="R633" s="211"/>
      <c r="S633" s="31"/>
      <c r="V633" s="1"/>
      <c r="W633" s="1"/>
      <c r="X633" s="1"/>
      <c r="Y633" s="30"/>
      <c r="Z633" s="211"/>
    </row>
    <row r="634" spans="2:26">
      <c r="B634" s="1"/>
      <c r="C634" s="28"/>
      <c r="D634" s="19"/>
      <c r="G634" s="29"/>
      <c r="H634" s="212"/>
      <c r="I634" s="1"/>
      <c r="K634" s="30"/>
      <c r="L634" s="30"/>
      <c r="M634" s="1"/>
      <c r="N634" s="211"/>
      <c r="O634" s="211"/>
      <c r="P634" s="31"/>
      <c r="Q634" s="211"/>
      <c r="R634" s="211"/>
      <c r="S634" s="31"/>
      <c r="V634" s="1"/>
      <c r="W634" s="1"/>
      <c r="X634" s="1"/>
      <c r="Y634" s="30"/>
      <c r="Z634" s="211"/>
    </row>
    <row r="635" spans="2:26">
      <c r="B635" s="1"/>
      <c r="C635" s="28"/>
      <c r="D635" s="19"/>
      <c r="G635" s="29"/>
      <c r="H635" s="212"/>
      <c r="I635" s="1"/>
      <c r="K635" s="30"/>
      <c r="L635" s="30"/>
      <c r="M635" s="1"/>
      <c r="N635" s="211"/>
      <c r="O635" s="211"/>
      <c r="P635" s="31"/>
      <c r="Q635" s="211"/>
      <c r="R635" s="211"/>
      <c r="S635" s="31"/>
      <c r="V635" s="1"/>
      <c r="W635" s="1"/>
      <c r="X635" s="1"/>
      <c r="Y635" s="30"/>
      <c r="Z635" s="211"/>
    </row>
    <row r="636" spans="2:26">
      <c r="B636" s="1"/>
      <c r="C636" s="28"/>
      <c r="D636" s="19"/>
      <c r="G636" s="29"/>
      <c r="H636" s="212"/>
      <c r="I636" s="1"/>
      <c r="K636" s="30"/>
      <c r="L636" s="30"/>
      <c r="M636" s="1"/>
      <c r="N636" s="211"/>
      <c r="O636" s="211"/>
      <c r="P636" s="31"/>
      <c r="Q636" s="211"/>
      <c r="R636" s="211"/>
      <c r="S636" s="31"/>
      <c r="V636" s="1"/>
      <c r="W636" s="1"/>
      <c r="X636" s="1"/>
      <c r="Y636" s="30"/>
      <c r="Z636" s="211"/>
    </row>
    <row r="637" spans="2:26">
      <c r="B637" s="1"/>
      <c r="C637" s="28"/>
      <c r="D637" s="19"/>
      <c r="G637" s="29"/>
      <c r="H637" s="212"/>
      <c r="I637" s="1"/>
      <c r="K637" s="30"/>
      <c r="L637" s="30"/>
      <c r="M637" s="1"/>
      <c r="N637" s="211"/>
      <c r="O637" s="211"/>
      <c r="P637" s="31"/>
      <c r="Q637" s="211"/>
      <c r="R637" s="211"/>
      <c r="S637" s="31"/>
      <c r="V637" s="1"/>
      <c r="W637" s="1"/>
      <c r="X637" s="1"/>
      <c r="Y637" s="30"/>
      <c r="Z637" s="211"/>
    </row>
    <row r="638" spans="2:26">
      <c r="B638" s="1"/>
      <c r="C638" s="28"/>
      <c r="D638" s="19"/>
      <c r="G638" s="29"/>
      <c r="H638" s="212"/>
      <c r="I638" s="1"/>
      <c r="K638" s="30"/>
      <c r="L638" s="30"/>
      <c r="M638" s="1"/>
      <c r="N638" s="211"/>
      <c r="O638" s="211"/>
      <c r="P638" s="31"/>
      <c r="Q638" s="211"/>
      <c r="R638" s="211"/>
      <c r="S638" s="31"/>
      <c r="V638" s="1"/>
      <c r="W638" s="1"/>
      <c r="X638" s="1"/>
      <c r="Y638" s="30"/>
      <c r="Z638" s="211"/>
    </row>
    <row r="639" spans="2:26">
      <c r="B639" s="1"/>
      <c r="C639" s="28"/>
      <c r="D639" s="19"/>
      <c r="G639" s="29"/>
      <c r="H639" s="212"/>
      <c r="I639" s="1"/>
      <c r="K639" s="30"/>
      <c r="L639" s="30"/>
      <c r="M639" s="1"/>
      <c r="N639" s="211"/>
      <c r="O639" s="211"/>
      <c r="P639" s="31"/>
      <c r="Q639" s="211"/>
      <c r="R639" s="211"/>
      <c r="S639" s="31"/>
      <c r="V639" s="1"/>
      <c r="W639" s="1"/>
      <c r="X639" s="1"/>
      <c r="Y639" s="30"/>
      <c r="Z639" s="211"/>
    </row>
    <row r="640" spans="2:26">
      <c r="B640" s="1"/>
      <c r="C640" s="28"/>
      <c r="D640" s="19"/>
      <c r="G640" s="29"/>
      <c r="H640" s="212"/>
      <c r="I640" s="1"/>
      <c r="K640" s="30"/>
      <c r="L640" s="30"/>
      <c r="M640" s="1"/>
      <c r="N640" s="211"/>
      <c r="O640" s="211"/>
      <c r="P640" s="31"/>
      <c r="Q640" s="211"/>
      <c r="R640" s="211"/>
      <c r="S640" s="31"/>
      <c r="V640" s="1"/>
      <c r="W640" s="1"/>
      <c r="X640" s="1"/>
      <c r="Y640" s="30"/>
      <c r="Z640" s="211"/>
    </row>
    <row r="641" spans="2:26">
      <c r="B641" s="1"/>
      <c r="C641" s="28"/>
      <c r="D641" s="19"/>
      <c r="G641" s="29"/>
      <c r="H641" s="212"/>
      <c r="I641" s="1"/>
      <c r="K641" s="30"/>
      <c r="L641" s="30"/>
      <c r="M641" s="1"/>
      <c r="N641" s="211"/>
      <c r="O641" s="211"/>
      <c r="P641" s="31"/>
      <c r="Q641" s="211"/>
      <c r="R641" s="211"/>
      <c r="S641" s="31"/>
      <c r="V641" s="1"/>
      <c r="W641" s="1"/>
      <c r="X641" s="1"/>
      <c r="Y641" s="30"/>
      <c r="Z641" s="211"/>
    </row>
    <row r="642" spans="2:26">
      <c r="B642" s="1"/>
      <c r="C642" s="28"/>
      <c r="D642" s="19"/>
      <c r="G642" s="29"/>
      <c r="H642" s="212"/>
      <c r="I642" s="1"/>
      <c r="K642" s="30"/>
      <c r="L642" s="30"/>
      <c r="M642" s="1"/>
      <c r="N642" s="211"/>
      <c r="O642" s="211"/>
      <c r="P642" s="31"/>
      <c r="Q642" s="211"/>
      <c r="R642" s="211"/>
      <c r="S642" s="31"/>
      <c r="V642" s="1"/>
      <c r="W642" s="1"/>
      <c r="X642" s="1"/>
      <c r="Y642" s="30"/>
      <c r="Z642" s="211"/>
    </row>
    <row r="643" spans="2:26">
      <c r="B643" s="1"/>
      <c r="C643" s="28"/>
      <c r="D643" s="19"/>
      <c r="G643" s="29"/>
      <c r="H643" s="212"/>
      <c r="I643" s="1"/>
      <c r="K643" s="30"/>
      <c r="L643" s="30"/>
      <c r="M643" s="1"/>
      <c r="N643" s="211"/>
      <c r="O643" s="211"/>
      <c r="P643" s="31"/>
      <c r="Q643" s="211"/>
      <c r="R643" s="211"/>
      <c r="S643" s="31"/>
      <c r="V643" s="1"/>
      <c r="W643" s="1"/>
      <c r="X643" s="1"/>
      <c r="Y643" s="30"/>
      <c r="Z643" s="211"/>
    </row>
    <row r="644" spans="2:26">
      <c r="B644" s="1"/>
      <c r="C644" s="28"/>
      <c r="D644" s="19"/>
      <c r="G644" s="29"/>
      <c r="H644" s="212"/>
      <c r="I644" s="1"/>
      <c r="K644" s="30"/>
      <c r="L644" s="30"/>
      <c r="M644" s="1"/>
      <c r="N644" s="211"/>
      <c r="O644" s="211"/>
      <c r="P644" s="31"/>
      <c r="Q644" s="211"/>
      <c r="R644" s="211"/>
      <c r="S644" s="31"/>
      <c r="V644" s="1"/>
      <c r="W644" s="1"/>
      <c r="X644" s="1"/>
      <c r="Y644" s="30"/>
      <c r="Z644" s="211"/>
    </row>
    <row r="645" spans="2:26">
      <c r="B645" s="1"/>
      <c r="C645" s="28"/>
      <c r="D645" s="19"/>
      <c r="G645" s="29"/>
      <c r="H645" s="212"/>
      <c r="I645" s="1"/>
      <c r="K645" s="30"/>
      <c r="L645" s="30"/>
      <c r="M645" s="1"/>
      <c r="N645" s="211"/>
      <c r="O645" s="211"/>
      <c r="P645" s="31"/>
      <c r="Q645" s="211"/>
      <c r="R645" s="211"/>
      <c r="S645" s="31"/>
      <c r="V645" s="1"/>
      <c r="W645" s="1"/>
      <c r="X645" s="1"/>
      <c r="Y645" s="30"/>
      <c r="Z645" s="211"/>
    </row>
    <row r="646" spans="2:26">
      <c r="B646" s="1"/>
      <c r="C646" s="28"/>
      <c r="D646" s="19"/>
      <c r="G646" s="29"/>
      <c r="H646" s="212"/>
      <c r="I646" s="1"/>
      <c r="K646" s="30"/>
      <c r="L646" s="30"/>
      <c r="M646" s="1"/>
      <c r="N646" s="211"/>
      <c r="O646" s="211"/>
      <c r="P646" s="31"/>
      <c r="Q646" s="211"/>
      <c r="R646" s="211"/>
      <c r="S646" s="31"/>
      <c r="V646" s="1"/>
      <c r="W646" s="1"/>
      <c r="X646" s="1"/>
      <c r="Y646" s="30"/>
      <c r="Z646" s="211"/>
    </row>
    <row r="647" spans="2:26">
      <c r="B647" s="1"/>
      <c r="C647" s="28"/>
      <c r="D647" s="19"/>
      <c r="G647" s="29"/>
      <c r="H647" s="212"/>
      <c r="I647" s="1"/>
      <c r="K647" s="30"/>
      <c r="L647" s="30"/>
      <c r="M647" s="1"/>
      <c r="N647" s="211"/>
      <c r="O647" s="211"/>
      <c r="P647" s="31"/>
      <c r="Q647" s="211"/>
      <c r="R647" s="211"/>
      <c r="S647" s="31"/>
      <c r="V647" s="1"/>
      <c r="W647" s="1"/>
      <c r="X647" s="1"/>
      <c r="Y647" s="30"/>
      <c r="Z647" s="211"/>
    </row>
    <row r="648" spans="2:26">
      <c r="B648" s="1"/>
      <c r="C648" s="28"/>
      <c r="D648" s="19"/>
      <c r="G648" s="29"/>
      <c r="H648" s="212"/>
      <c r="I648" s="1"/>
      <c r="K648" s="30"/>
      <c r="L648" s="30"/>
      <c r="M648" s="1"/>
      <c r="N648" s="211"/>
      <c r="O648" s="211"/>
      <c r="P648" s="31"/>
      <c r="Q648" s="211"/>
      <c r="R648" s="211"/>
      <c r="S648" s="31"/>
      <c r="V648" s="1"/>
      <c r="W648" s="1"/>
      <c r="X648" s="1"/>
      <c r="Y648" s="30"/>
      <c r="Z648" s="211"/>
    </row>
    <row r="649" spans="2:26">
      <c r="B649" s="1"/>
      <c r="C649" s="28"/>
      <c r="D649" s="19"/>
      <c r="G649" s="29"/>
      <c r="H649" s="212"/>
      <c r="I649" s="1"/>
      <c r="K649" s="30"/>
      <c r="L649" s="30"/>
      <c r="M649" s="1"/>
      <c r="N649" s="211"/>
      <c r="O649" s="211"/>
      <c r="P649" s="31"/>
      <c r="Q649" s="211"/>
      <c r="R649" s="211"/>
      <c r="S649" s="31"/>
      <c r="V649" s="1"/>
      <c r="W649" s="1"/>
      <c r="X649" s="1"/>
      <c r="Y649" s="30"/>
      <c r="Z649" s="211"/>
    </row>
    <row r="650" spans="2:26">
      <c r="B650" s="1"/>
      <c r="C650" s="28"/>
      <c r="D650" s="19"/>
      <c r="G650" s="29"/>
      <c r="H650" s="212"/>
      <c r="I650" s="1"/>
      <c r="K650" s="30"/>
      <c r="L650" s="30"/>
      <c r="M650" s="1"/>
      <c r="N650" s="211"/>
      <c r="O650" s="211"/>
      <c r="P650" s="31"/>
      <c r="Q650" s="211"/>
      <c r="R650" s="211"/>
      <c r="S650" s="31"/>
      <c r="V650" s="1"/>
      <c r="W650" s="1"/>
      <c r="X650" s="1"/>
      <c r="Y650" s="30"/>
      <c r="Z650" s="211"/>
    </row>
    <row r="651" spans="2:26">
      <c r="B651" s="1"/>
      <c r="C651" s="28"/>
      <c r="D651" s="19"/>
      <c r="G651" s="29"/>
      <c r="H651" s="212"/>
      <c r="I651" s="1"/>
      <c r="K651" s="30"/>
      <c r="L651" s="30"/>
      <c r="M651" s="1"/>
      <c r="N651" s="211"/>
      <c r="O651" s="211"/>
      <c r="P651" s="31"/>
      <c r="Q651" s="211"/>
      <c r="R651" s="211"/>
      <c r="S651" s="31"/>
      <c r="V651" s="1"/>
      <c r="W651" s="1"/>
      <c r="X651" s="1"/>
      <c r="Y651" s="30"/>
      <c r="Z651" s="211"/>
    </row>
    <row r="652" spans="2:26">
      <c r="B652" s="1"/>
      <c r="C652" s="28"/>
      <c r="D652" s="19"/>
      <c r="G652" s="29"/>
      <c r="H652" s="212"/>
      <c r="I652" s="1"/>
      <c r="K652" s="30"/>
      <c r="L652" s="30"/>
      <c r="M652" s="1"/>
      <c r="N652" s="211"/>
      <c r="O652" s="211"/>
      <c r="P652" s="31"/>
      <c r="Q652" s="211"/>
      <c r="R652" s="211"/>
      <c r="S652" s="31"/>
      <c r="V652" s="1"/>
      <c r="W652" s="1"/>
      <c r="X652" s="1"/>
      <c r="Y652" s="30"/>
      <c r="Z652" s="211"/>
    </row>
    <row r="653" spans="2:26">
      <c r="B653" s="1"/>
      <c r="C653" s="28"/>
      <c r="D653" s="19"/>
      <c r="G653" s="29"/>
      <c r="H653" s="212"/>
      <c r="I653" s="1"/>
      <c r="K653" s="30"/>
      <c r="L653" s="30"/>
      <c r="M653" s="1"/>
      <c r="N653" s="211"/>
      <c r="O653" s="211"/>
      <c r="P653" s="31"/>
      <c r="Q653" s="211"/>
      <c r="R653" s="211"/>
      <c r="S653" s="31"/>
      <c r="V653" s="1"/>
      <c r="W653" s="1"/>
      <c r="X653" s="1"/>
      <c r="Y653" s="30"/>
      <c r="Z653" s="211"/>
    </row>
    <row r="654" spans="2:26">
      <c r="B654" s="1"/>
      <c r="C654" s="28"/>
      <c r="D654" s="19"/>
      <c r="G654" s="29"/>
      <c r="H654" s="212"/>
      <c r="I654" s="1"/>
      <c r="K654" s="30"/>
      <c r="L654" s="30"/>
      <c r="M654" s="1"/>
      <c r="N654" s="211"/>
      <c r="O654" s="211"/>
      <c r="P654" s="31"/>
      <c r="Q654" s="211"/>
      <c r="R654" s="211"/>
      <c r="S654" s="31"/>
      <c r="V654" s="1"/>
      <c r="W654" s="1"/>
      <c r="X654" s="1"/>
      <c r="Y654" s="30"/>
      <c r="Z654" s="211"/>
    </row>
    <row r="655" spans="2:26">
      <c r="B655" s="1"/>
      <c r="C655" s="28"/>
      <c r="D655" s="19"/>
      <c r="G655" s="29"/>
      <c r="H655" s="212"/>
      <c r="I655" s="1"/>
      <c r="K655" s="30"/>
      <c r="L655" s="30"/>
      <c r="M655" s="1"/>
      <c r="N655" s="211"/>
      <c r="O655" s="211"/>
      <c r="P655" s="31"/>
      <c r="Q655" s="211"/>
      <c r="R655" s="211"/>
      <c r="S655" s="31"/>
      <c r="V655" s="1"/>
      <c r="W655" s="1"/>
      <c r="X655" s="1"/>
      <c r="Y655" s="30"/>
      <c r="Z655" s="211"/>
    </row>
    <row r="656" spans="2:26">
      <c r="B656" s="1"/>
      <c r="C656" s="28"/>
      <c r="D656" s="19"/>
      <c r="G656" s="29"/>
      <c r="H656" s="212"/>
      <c r="I656" s="1"/>
      <c r="K656" s="30"/>
      <c r="L656" s="30"/>
      <c r="M656" s="1"/>
      <c r="N656" s="211"/>
      <c r="O656" s="211"/>
      <c r="P656" s="31"/>
      <c r="Q656" s="211"/>
      <c r="R656" s="211"/>
      <c r="S656" s="31"/>
      <c r="V656" s="1"/>
      <c r="W656" s="1"/>
      <c r="X656" s="1"/>
      <c r="Y656" s="30"/>
      <c r="Z656" s="211"/>
    </row>
    <row r="657" spans="2:26">
      <c r="B657" s="1"/>
      <c r="C657" s="28"/>
      <c r="D657" s="19"/>
      <c r="G657" s="29"/>
      <c r="H657" s="212"/>
      <c r="I657" s="1"/>
      <c r="K657" s="30"/>
      <c r="L657" s="30"/>
      <c r="M657" s="1"/>
      <c r="N657" s="211"/>
      <c r="O657" s="211"/>
      <c r="P657" s="31"/>
      <c r="Q657" s="211"/>
      <c r="R657" s="211"/>
      <c r="S657" s="31"/>
      <c r="V657" s="1"/>
      <c r="W657" s="1"/>
      <c r="X657" s="1"/>
      <c r="Y657" s="30"/>
      <c r="Z657" s="211"/>
    </row>
    <row r="658" spans="2:26">
      <c r="B658" s="1"/>
      <c r="C658" s="28"/>
      <c r="D658" s="19"/>
      <c r="G658" s="29"/>
      <c r="H658" s="212"/>
      <c r="I658" s="1"/>
      <c r="K658" s="30"/>
      <c r="L658" s="30"/>
      <c r="M658" s="1"/>
      <c r="N658" s="211"/>
      <c r="O658" s="211"/>
      <c r="P658" s="31"/>
      <c r="Q658" s="211"/>
      <c r="R658" s="211"/>
      <c r="S658" s="31"/>
      <c r="V658" s="1"/>
      <c r="W658" s="1"/>
      <c r="X658" s="1"/>
      <c r="Y658" s="30"/>
      <c r="Z658" s="211"/>
    </row>
    <row r="659" spans="2:26">
      <c r="B659" s="1"/>
      <c r="C659" s="28"/>
      <c r="D659" s="19"/>
      <c r="G659" s="29"/>
      <c r="H659" s="212"/>
      <c r="I659" s="1"/>
      <c r="K659" s="30"/>
      <c r="L659" s="30"/>
      <c r="M659" s="1"/>
      <c r="N659" s="211"/>
      <c r="O659" s="211"/>
      <c r="P659" s="31"/>
      <c r="Q659" s="211"/>
      <c r="R659" s="211"/>
      <c r="S659" s="31"/>
      <c r="V659" s="1"/>
      <c r="W659" s="1"/>
      <c r="X659" s="1"/>
      <c r="Y659" s="30"/>
      <c r="Z659" s="211"/>
    </row>
    <row r="660" spans="2:26">
      <c r="B660" s="1"/>
      <c r="C660" s="28"/>
      <c r="D660" s="19"/>
      <c r="G660" s="29"/>
      <c r="H660" s="212"/>
      <c r="I660" s="1"/>
      <c r="K660" s="30"/>
      <c r="L660" s="30"/>
      <c r="M660" s="1"/>
      <c r="N660" s="211"/>
      <c r="O660" s="211"/>
      <c r="P660" s="31"/>
      <c r="Q660" s="211"/>
      <c r="R660" s="211"/>
      <c r="S660" s="31"/>
      <c r="V660" s="1"/>
      <c r="W660" s="1"/>
      <c r="X660" s="1"/>
      <c r="Y660" s="30"/>
      <c r="Z660" s="211"/>
    </row>
    <row r="661" spans="2:26">
      <c r="B661" s="1"/>
      <c r="C661" s="28"/>
      <c r="D661" s="19"/>
      <c r="G661" s="29"/>
      <c r="H661" s="212"/>
      <c r="I661" s="1"/>
      <c r="K661" s="30"/>
      <c r="L661" s="30"/>
      <c r="M661" s="1"/>
      <c r="N661" s="211"/>
      <c r="O661" s="211"/>
      <c r="P661" s="31"/>
      <c r="Q661" s="211"/>
      <c r="R661" s="211"/>
      <c r="S661" s="31"/>
      <c r="V661" s="1"/>
      <c r="W661" s="1"/>
      <c r="X661" s="1"/>
      <c r="Y661" s="30"/>
      <c r="Z661" s="211"/>
    </row>
    <row r="662" spans="2:26">
      <c r="B662" s="1"/>
      <c r="C662" s="28"/>
      <c r="D662" s="19"/>
      <c r="G662" s="29"/>
      <c r="H662" s="212"/>
      <c r="I662" s="1"/>
      <c r="K662" s="30"/>
      <c r="L662" s="30"/>
      <c r="M662" s="1"/>
      <c r="N662" s="211"/>
      <c r="O662" s="211"/>
      <c r="P662" s="31"/>
      <c r="Q662" s="211"/>
      <c r="R662" s="211"/>
      <c r="S662" s="31"/>
      <c r="V662" s="1"/>
      <c r="W662" s="1"/>
      <c r="X662" s="1"/>
      <c r="Y662" s="30"/>
      <c r="Z662" s="211"/>
    </row>
    <row r="663" spans="2:26">
      <c r="B663" s="1"/>
      <c r="C663" s="28"/>
      <c r="D663" s="19"/>
      <c r="G663" s="29"/>
      <c r="H663" s="212"/>
      <c r="I663" s="1"/>
      <c r="K663" s="30"/>
      <c r="L663" s="30"/>
      <c r="M663" s="1"/>
      <c r="N663" s="211"/>
      <c r="O663" s="211"/>
      <c r="P663" s="31"/>
      <c r="Q663" s="211"/>
      <c r="R663" s="211"/>
      <c r="S663" s="31"/>
      <c r="V663" s="1"/>
      <c r="W663" s="1"/>
      <c r="X663" s="1"/>
      <c r="Y663" s="30"/>
      <c r="Z663" s="211"/>
    </row>
    <row r="664" spans="2:26">
      <c r="B664" s="1"/>
      <c r="C664" s="28"/>
      <c r="D664" s="19"/>
      <c r="G664" s="29"/>
      <c r="H664" s="212"/>
      <c r="I664" s="1"/>
      <c r="K664" s="30"/>
      <c r="L664" s="30"/>
      <c r="M664" s="1"/>
      <c r="N664" s="211"/>
      <c r="O664" s="211"/>
      <c r="P664" s="31"/>
      <c r="Q664" s="211"/>
      <c r="R664" s="211"/>
      <c r="S664" s="31"/>
      <c r="V664" s="1"/>
      <c r="W664" s="1"/>
      <c r="X664" s="1"/>
      <c r="Y664" s="30"/>
      <c r="Z664" s="211"/>
    </row>
    <row r="665" spans="2:26">
      <c r="B665" s="1"/>
      <c r="C665" s="28"/>
      <c r="D665" s="19"/>
      <c r="G665" s="29"/>
      <c r="H665" s="212"/>
      <c r="I665" s="1"/>
      <c r="K665" s="30"/>
      <c r="L665" s="30"/>
      <c r="M665" s="1"/>
      <c r="N665" s="211"/>
      <c r="O665" s="211"/>
      <c r="P665" s="31"/>
      <c r="Q665" s="211"/>
      <c r="R665" s="211"/>
      <c r="S665" s="31"/>
      <c r="V665" s="1"/>
      <c r="W665" s="1"/>
      <c r="X665" s="1"/>
      <c r="Y665" s="30"/>
      <c r="Z665" s="211"/>
    </row>
    <row r="666" spans="2:26">
      <c r="B666" s="1"/>
      <c r="C666" s="28"/>
      <c r="D666" s="19"/>
      <c r="G666" s="29"/>
      <c r="H666" s="212"/>
      <c r="I666" s="1"/>
      <c r="K666" s="30"/>
      <c r="L666" s="30"/>
      <c r="M666" s="1"/>
      <c r="N666" s="211"/>
      <c r="O666" s="211"/>
      <c r="P666" s="31"/>
      <c r="Q666" s="211"/>
      <c r="R666" s="211"/>
      <c r="S666" s="31"/>
      <c r="V666" s="1"/>
      <c r="W666" s="1"/>
      <c r="X666" s="1"/>
      <c r="Y666" s="30"/>
      <c r="Z666" s="211"/>
    </row>
    <row r="667" spans="2:26">
      <c r="B667" s="1"/>
      <c r="C667" s="28"/>
      <c r="D667" s="19"/>
      <c r="G667" s="29"/>
      <c r="H667" s="212"/>
      <c r="I667" s="1"/>
      <c r="K667" s="30"/>
      <c r="L667" s="30"/>
      <c r="M667" s="1"/>
      <c r="N667" s="211"/>
      <c r="O667" s="211"/>
      <c r="P667" s="31"/>
      <c r="Q667" s="211"/>
      <c r="R667" s="211"/>
      <c r="S667" s="31"/>
      <c r="V667" s="1"/>
      <c r="W667" s="1"/>
      <c r="X667" s="1"/>
      <c r="Y667" s="30"/>
      <c r="Z667" s="211"/>
    </row>
    <row r="668" spans="2:26">
      <c r="B668" s="1"/>
      <c r="C668" s="28"/>
      <c r="D668" s="19"/>
      <c r="G668" s="29"/>
      <c r="H668" s="212"/>
      <c r="I668" s="1"/>
      <c r="K668" s="30"/>
      <c r="L668" s="30"/>
      <c r="M668" s="1"/>
      <c r="N668" s="211"/>
      <c r="O668" s="211"/>
      <c r="P668" s="31"/>
      <c r="Q668" s="211"/>
      <c r="R668" s="211"/>
      <c r="S668" s="31"/>
      <c r="V668" s="1"/>
      <c r="W668" s="1"/>
      <c r="X668" s="1"/>
      <c r="Y668" s="30"/>
      <c r="Z668" s="211"/>
    </row>
    <row r="669" spans="2:26">
      <c r="B669" s="1"/>
      <c r="C669" s="28"/>
      <c r="D669" s="19"/>
      <c r="G669" s="29"/>
      <c r="H669" s="212"/>
      <c r="I669" s="1"/>
      <c r="K669" s="30"/>
      <c r="L669" s="30"/>
      <c r="M669" s="1"/>
      <c r="N669" s="211"/>
      <c r="O669" s="211"/>
      <c r="P669" s="31"/>
      <c r="Q669" s="211"/>
      <c r="R669" s="211"/>
      <c r="S669" s="31"/>
      <c r="V669" s="1"/>
      <c r="W669" s="1"/>
      <c r="X669" s="1"/>
      <c r="Y669" s="30"/>
      <c r="Z669" s="211"/>
    </row>
    <row r="670" spans="2:26">
      <c r="B670" s="1"/>
      <c r="C670" s="28"/>
      <c r="D670" s="19"/>
      <c r="G670" s="29"/>
      <c r="H670" s="212"/>
      <c r="I670" s="1"/>
      <c r="K670" s="30"/>
      <c r="L670" s="30"/>
      <c r="M670" s="1"/>
      <c r="N670" s="211"/>
      <c r="O670" s="211"/>
      <c r="P670" s="31"/>
      <c r="Q670" s="211"/>
      <c r="R670" s="211"/>
      <c r="S670" s="31"/>
      <c r="V670" s="1"/>
      <c r="W670" s="1"/>
      <c r="X670" s="1"/>
      <c r="Y670" s="30"/>
      <c r="Z670" s="211"/>
    </row>
    <row r="671" spans="2:26">
      <c r="B671" s="1"/>
      <c r="C671" s="28"/>
      <c r="D671" s="19"/>
      <c r="G671" s="29"/>
      <c r="H671" s="212"/>
      <c r="I671" s="1"/>
      <c r="K671" s="30"/>
      <c r="L671" s="30"/>
      <c r="M671" s="1"/>
      <c r="N671" s="211"/>
      <c r="O671" s="211"/>
      <c r="P671" s="31"/>
      <c r="Q671" s="211"/>
      <c r="R671" s="211"/>
      <c r="S671" s="31"/>
      <c r="V671" s="1"/>
      <c r="W671" s="1"/>
      <c r="X671" s="1"/>
      <c r="Y671" s="30"/>
      <c r="Z671" s="211"/>
    </row>
    <row r="672" spans="2:26">
      <c r="B672" s="1"/>
      <c r="C672" s="28"/>
      <c r="D672" s="19"/>
      <c r="G672" s="29"/>
      <c r="H672" s="212"/>
      <c r="I672" s="1"/>
      <c r="K672" s="30"/>
      <c r="L672" s="30"/>
      <c r="M672" s="1"/>
      <c r="N672" s="211"/>
      <c r="O672" s="211"/>
      <c r="P672" s="31"/>
      <c r="Q672" s="211"/>
      <c r="R672" s="211"/>
      <c r="S672" s="31"/>
      <c r="V672" s="1"/>
      <c r="W672" s="1"/>
      <c r="X672" s="1"/>
      <c r="Y672" s="30"/>
      <c r="Z672" s="211"/>
    </row>
    <row r="673" spans="2:26">
      <c r="B673" s="1"/>
      <c r="C673" s="28"/>
      <c r="D673" s="19"/>
      <c r="G673" s="29"/>
      <c r="H673" s="212"/>
      <c r="I673" s="1"/>
      <c r="K673" s="30"/>
      <c r="L673" s="30"/>
      <c r="M673" s="1"/>
      <c r="N673" s="211"/>
      <c r="O673" s="211"/>
      <c r="P673" s="31"/>
      <c r="Q673" s="211"/>
      <c r="R673" s="211"/>
      <c r="S673" s="31"/>
      <c r="V673" s="1"/>
      <c r="W673" s="1"/>
      <c r="X673" s="1"/>
      <c r="Y673" s="30"/>
      <c r="Z673" s="211"/>
    </row>
    <row r="674" spans="2:26">
      <c r="B674" s="1"/>
      <c r="C674" s="28"/>
      <c r="D674" s="19"/>
      <c r="G674" s="29"/>
      <c r="H674" s="212"/>
      <c r="I674" s="1"/>
      <c r="K674" s="30"/>
      <c r="L674" s="30"/>
      <c r="M674" s="1"/>
      <c r="N674" s="211"/>
      <c r="O674" s="211"/>
      <c r="P674" s="31"/>
      <c r="Q674" s="211"/>
      <c r="R674" s="211"/>
      <c r="S674" s="31"/>
      <c r="V674" s="1"/>
      <c r="W674" s="1"/>
      <c r="X674" s="1"/>
      <c r="Y674" s="30"/>
      <c r="Z674" s="211"/>
    </row>
    <row r="675" spans="2:26">
      <c r="B675" s="1"/>
      <c r="C675" s="28"/>
      <c r="D675" s="19"/>
      <c r="G675" s="29"/>
      <c r="H675" s="212"/>
      <c r="I675" s="1"/>
      <c r="K675" s="30"/>
      <c r="L675" s="30"/>
      <c r="M675" s="1"/>
      <c r="N675" s="211"/>
      <c r="O675" s="211"/>
      <c r="P675" s="31"/>
      <c r="Q675" s="211"/>
      <c r="R675" s="211"/>
      <c r="S675" s="31"/>
      <c r="V675" s="1"/>
      <c r="W675" s="1"/>
      <c r="X675" s="1"/>
      <c r="Y675" s="30"/>
      <c r="Z675" s="211"/>
    </row>
    <row r="676" spans="2:26">
      <c r="B676" s="1"/>
      <c r="C676" s="28"/>
      <c r="D676" s="19"/>
      <c r="G676" s="29"/>
      <c r="H676" s="212"/>
      <c r="I676" s="1"/>
      <c r="K676" s="30"/>
      <c r="L676" s="30"/>
      <c r="M676" s="1"/>
      <c r="N676" s="211"/>
      <c r="O676" s="211"/>
      <c r="P676" s="31"/>
      <c r="Q676" s="211"/>
      <c r="R676" s="211"/>
      <c r="S676" s="31"/>
      <c r="V676" s="1"/>
      <c r="W676" s="1"/>
      <c r="X676" s="1"/>
      <c r="Y676" s="30"/>
      <c r="Z676" s="211"/>
    </row>
    <row r="677" spans="2:26">
      <c r="B677" s="1"/>
      <c r="C677" s="28"/>
      <c r="D677" s="19"/>
      <c r="G677" s="29"/>
      <c r="H677" s="212"/>
      <c r="I677" s="1"/>
      <c r="K677" s="30"/>
      <c r="L677" s="30"/>
      <c r="M677" s="1"/>
      <c r="N677" s="211"/>
      <c r="O677" s="211"/>
      <c r="P677" s="31"/>
      <c r="Q677" s="211"/>
      <c r="R677" s="211"/>
      <c r="S677" s="31"/>
      <c r="V677" s="1"/>
      <c r="W677" s="1"/>
      <c r="X677" s="1"/>
      <c r="Y677" s="30"/>
      <c r="Z677" s="211"/>
    </row>
    <row r="678" spans="2:26">
      <c r="B678" s="1"/>
      <c r="C678" s="28"/>
      <c r="D678" s="19"/>
      <c r="G678" s="29"/>
      <c r="H678" s="212"/>
      <c r="I678" s="1"/>
      <c r="K678" s="30"/>
      <c r="L678" s="30"/>
      <c r="M678" s="1"/>
      <c r="N678" s="211"/>
      <c r="O678" s="211"/>
      <c r="P678" s="31"/>
      <c r="Q678" s="211"/>
      <c r="R678" s="211"/>
      <c r="S678" s="31"/>
      <c r="V678" s="1"/>
      <c r="W678" s="1"/>
      <c r="X678" s="1"/>
      <c r="Y678" s="30"/>
      <c r="Z678" s="211"/>
    </row>
    <row r="679" spans="2:26">
      <c r="B679" s="1"/>
      <c r="C679" s="28"/>
      <c r="D679" s="19"/>
      <c r="G679" s="29"/>
      <c r="H679" s="212"/>
      <c r="I679" s="1"/>
      <c r="K679" s="30"/>
      <c r="L679" s="30"/>
      <c r="M679" s="1"/>
      <c r="N679" s="211"/>
      <c r="O679" s="211"/>
      <c r="P679" s="31"/>
      <c r="Q679" s="211"/>
      <c r="R679" s="211"/>
      <c r="S679" s="31"/>
      <c r="V679" s="1"/>
      <c r="W679" s="1"/>
      <c r="X679" s="1"/>
      <c r="Y679" s="30"/>
      <c r="Z679" s="211"/>
    </row>
    <row r="680" spans="2:26">
      <c r="B680" s="1"/>
      <c r="C680" s="28"/>
      <c r="D680" s="19"/>
      <c r="G680" s="29"/>
      <c r="H680" s="212"/>
      <c r="I680" s="1"/>
      <c r="K680" s="30"/>
      <c r="L680" s="30"/>
      <c r="M680" s="1"/>
      <c r="N680" s="211"/>
      <c r="O680" s="211"/>
      <c r="P680" s="31"/>
      <c r="Q680" s="211"/>
      <c r="R680" s="211"/>
      <c r="S680" s="31"/>
      <c r="V680" s="1"/>
      <c r="W680" s="1"/>
      <c r="X680" s="1"/>
      <c r="Y680" s="30"/>
      <c r="Z680" s="211"/>
    </row>
    <row r="681" spans="2:26">
      <c r="B681" s="1"/>
      <c r="C681" s="28"/>
      <c r="D681" s="19"/>
      <c r="G681" s="29"/>
      <c r="H681" s="212"/>
      <c r="I681" s="1"/>
      <c r="K681" s="30"/>
      <c r="L681" s="30"/>
      <c r="M681" s="1"/>
      <c r="N681" s="211"/>
      <c r="O681" s="211"/>
      <c r="P681" s="31"/>
      <c r="Q681" s="211"/>
      <c r="R681" s="211"/>
      <c r="S681" s="31"/>
      <c r="V681" s="1"/>
      <c r="W681" s="1"/>
      <c r="X681" s="1"/>
      <c r="Y681" s="30"/>
      <c r="Z681" s="211"/>
    </row>
    <row r="682" spans="2:26">
      <c r="B682" s="1"/>
      <c r="C682" s="28"/>
      <c r="D682" s="19"/>
      <c r="G682" s="29"/>
      <c r="H682" s="212"/>
      <c r="I682" s="1"/>
      <c r="K682" s="30"/>
      <c r="L682" s="30"/>
      <c r="M682" s="1"/>
      <c r="N682" s="211"/>
      <c r="O682" s="211"/>
      <c r="P682" s="31"/>
      <c r="Q682" s="211"/>
      <c r="R682" s="211"/>
      <c r="S682" s="31"/>
      <c r="V682" s="1"/>
      <c r="W682" s="1"/>
      <c r="X682" s="1"/>
      <c r="Y682" s="30"/>
      <c r="Z682" s="211"/>
    </row>
    <row r="683" spans="2:26">
      <c r="B683" s="1"/>
      <c r="C683" s="28"/>
      <c r="D683" s="19"/>
      <c r="G683" s="29"/>
      <c r="H683" s="212"/>
      <c r="I683" s="1"/>
      <c r="K683" s="30"/>
      <c r="L683" s="30"/>
      <c r="M683" s="1"/>
      <c r="N683" s="211"/>
      <c r="O683" s="211"/>
      <c r="P683" s="31"/>
      <c r="Q683" s="211"/>
      <c r="R683" s="211"/>
      <c r="S683" s="31"/>
      <c r="V683" s="1"/>
      <c r="W683" s="1"/>
      <c r="X683" s="1"/>
      <c r="Y683" s="30"/>
      <c r="Z683" s="211"/>
    </row>
    <row r="684" spans="2:26">
      <c r="B684" s="1"/>
      <c r="C684" s="28"/>
      <c r="D684" s="19"/>
      <c r="G684" s="29"/>
      <c r="H684" s="212"/>
      <c r="I684" s="1"/>
      <c r="K684" s="30"/>
      <c r="L684" s="30"/>
      <c r="M684" s="1"/>
      <c r="N684" s="211"/>
      <c r="O684" s="211"/>
      <c r="P684" s="31"/>
      <c r="Q684" s="211"/>
      <c r="R684" s="211"/>
      <c r="S684" s="31"/>
      <c r="V684" s="1"/>
      <c r="W684" s="1"/>
      <c r="X684" s="1"/>
      <c r="Y684" s="30"/>
      <c r="Z684" s="211"/>
    </row>
    <row r="685" spans="2:26">
      <c r="B685" s="1"/>
      <c r="C685" s="28"/>
      <c r="D685" s="19"/>
      <c r="G685" s="29"/>
      <c r="H685" s="212"/>
      <c r="I685" s="1"/>
      <c r="K685" s="30"/>
      <c r="L685" s="30"/>
      <c r="M685" s="1"/>
      <c r="N685" s="211"/>
      <c r="O685" s="211"/>
      <c r="P685" s="31"/>
      <c r="Q685" s="211"/>
      <c r="R685" s="211"/>
      <c r="S685" s="31"/>
      <c r="V685" s="1"/>
      <c r="W685" s="1"/>
      <c r="X685" s="1"/>
      <c r="Y685" s="30"/>
      <c r="Z685" s="211"/>
    </row>
    <row r="686" spans="2:26">
      <c r="B686" s="1"/>
      <c r="C686" s="28"/>
      <c r="D686" s="19"/>
      <c r="G686" s="29"/>
      <c r="H686" s="212"/>
      <c r="I686" s="1"/>
      <c r="K686" s="30"/>
      <c r="L686" s="30"/>
      <c r="M686" s="1"/>
      <c r="N686" s="211"/>
      <c r="O686" s="211"/>
      <c r="P686" s="31"/>
      <c r="Q686" s="211"/>
      <c r="R686" s="211"/>
      <c r="S686" s="31"/>
      <c r="V686" s="1"/>
      <c r="W686" s="1"/>
      <c r="X686" s="1"/>
      <c r="Y686" s="30"/>
      <c r="Z686" s="211"/>
    </row>
    <row r="687" spans="2:26">
      <c r="B687" s="1"/>
      <c r="C687" s="28"/>
      <c r="D687" s="19"/>
      <c r="G687" s="29"/>
      <c r="H687" s="212"/>
      <c r="I687" s="1"/>
      <c r="K687" s="30"/>
      <c r="L687" s="30"/>
      <c r="M687" s="1"/>
      <c r="N687" s="211"/>
      <c r="O687" s="211"/>
      <c r="P687" s="31"/>
      <c r="Q687" s="211"/>
      <c r="R687" s="211"/>
      <c r="S687" s="31"/>
      <c r="V687" s="1"/>
      <c r="W687" s="1"/>
      <c r="X687" s="1"/>
      <c r="Y687" s="30"/>
      <c r="Z687" s="211"/>
    </row>
    <row r="688" spans="2:26">
      <c r="B688" s="1"/>
      <c r="C688" s="28"/>
      <c r="D688" s="19"/>
      <c r="G688" s="29"/>
      <c r="H688" s="212"/>
      <c r="I688" s="1"/>
      <c r="K688" s="30"/>
      <c r="L688" s="30"/>
      <c r="M688" s="1"/>
      <c r="N688" s="211"/>
      <c r="O688" s="211"/>
      <c r="P688" s="31"/>
      <c r="Q688" s="211"/>
      <c r="R688" s="211"/>
      <c r="S688" s="31"/>
      <c r="V688" s="1"/>
      <c r="W688" s="1"/>
      <c r="X688" s="1"/>
      <c r="Y688" s="30"/>
      <c r="Z688" s="211"/>
    </row>
    <row r="689" spans="2:26">
      <c r="B689" s="1"/>
      <c r="C689" s="28"/>
      <c r="D689" s="19"/>
      <c r="G689" s="29"/>
      <c r="H689" s="212"/>
      <c r="I689" s="1"/>
      <c r="K689" s="30"/>
      <c r="L689" s="30"/>
      <c r="M689" s="1"/>
      <c r="N689" s="211"/>
      <c r="O689" s="211"/>
      <c r="P689" s="31"/>
      <c r="Q689" s="211"/>
      <c r="R689" s="211"/>
      <c r="S689" s="31"/>
      <c r="V689" s="1"/>
      <c r="W689" s="1"/>
      <c r="X689" s="1"/>
      <c r="Y689" s="30"/>
      <c r="Z689" s="211"/>
    </row>
    <row r="690" spans="2:26">
      <c r="B690" s="1"/>
      <c r="C690" s="28"/>
      <c r="D690" s="19"/>
      <c r="G690" s="29"/>
      <c r="H690" s="212"/>
      <c r="I690" s="1"/>
      <c r="K690" s="30"/>
      <c r="L690" s="30"/>
      <c r="M690" s="1"/>
      <c r="N690" s="211"/>
      <c r="O690" s="211"/>
      <c r="P690" s="31"/>
      <c r="Q690" s="211"/>
      <c r="R690" s="211"/>
      <c r="S690" s="31"/>
      <c r="V690" s="1"/>
      <c r="W690" s="1"/>
      <c r="X690" s="1"/>
      <c r="Y690" s="30"/>
      <c r="Z690" s="211"/>
    </row>
    <row r="691" spans="2:26">
      <c r="B691" s="1"/>
      <c r="C691" s="28"/>
      <c r="D691" s="19"/>
      <c r="G691" s="29"/>
      <c r="H691" s="212"/>
      <c r="I691" s="1"/>
      <c r="K691" s="30"/>
      <c r="L691" s="30"/>
      <c r="M691" s="1"/>
      <c r="N691" s="211"/>
      <c r="O691" s="211"/>
      <c r="P691" s="31"/>
      <c r="Q691" s="211"/>
      <c r="R691" s="211"/>
      <c r="S691" s="31"/>
      <c r="V691" s="1"/>
      <c r="W691" s="1"/>
      <c r="X691" s="1"/>
      <c r="Y691" s="30"/>
      <c r="Z691" s="211"/>
    </row>
    <row r="692" spans="2:26">
      <c r="B692" s="1"/>
      <c r="C692" s="28"/>
      <c r="D692" s="19"/>
      <c r="G692" s="29"/>
      <c r="H692" s="212"/>
      <c r="I692" s="1"/>
      <c r="K692" s="30"/>
      <c r="L692" s="30"/>
      <c r="M692" s="1"/>
      <c r="N692" s="211"/>
      <c r="O692" s="211"/>
      <c r="P692" s="31"/>
      <c r="Q692" s="211"/>
      <c r="R692" s="211"/>
      <c r="S692" s="31"/>
      <c r="V692" s="1"/>
      <c r="W692" s="1"/>
      <c r="X692" s="1"/>
      <c r="Y692" s="30"/>
      <c r="Z692" s="211"/>
    </row>
    <row r="693" spans="2:26">
      <c r="B693" s="1"/>
      <c r="C693" s="28"/>
      <c r="D693" s="19"/>
      <c r="G693" s="29"/>
      <c r="H693" s="212"/>
      <c r="I693" s="1"/>
      <c r="K693" s="30"/>
      <c r="L693" s="30"/>
      <c r="M693" s="1"/>
      <c r="N693" s="211"/>
      <c r="O693" s="211"/>
      <c r="P693" s="31"/>
      <c r="Q693" s="211"/>
      <c r="R693" s="211"/>
      <c r="S693" s="31"/>
      <c r="V693" s="1"/>
      <c r="W693" s="1"/>
      <c r="X693" s="1"/>
      <c r="Y693" s="30"/>
      <c r="Z693" s="211"/>
    </row>
    <row r="694" spans="2:26">
      <c r="B694" s="1"/>
      <c r="C694" s="28"/>
      <c r="D694" s="19"/>
      <c r="G694" s="29"/>
      <c r="H694" s="212"/>
      <c r="I694" s="1"/>
      <c r="K694" s="30"/>
      <c r="L694" s="30"/>
      <c r="M694" s="1"/>
      <c r="N694" s="211"/>
      <c r="O694" s="211"/>
      <c r="P694" s="31"/>
      <c r="Q694" s="211"/>
      <c r="R694" s="211"/>
      <c r="S694" s="31"/>
      <c r="V694" s="1"/>
      <c r="W694" s="1"/>
      <c r="X694" s="1"/>
      <c r="Y694" s="30"/>
      <c r="Z694" s="211"/>
    </row>
    <row r="695" spans="2:26">
      <c r="B695" s="1"/>
      <c r="C695" s="28"/>
      <c r="D695" s="19"/>
      <c r="G695" s="29"/>
      <c r="H695" s="212"/>
      <c r="I695" s="1"/>
      <c r="K695" s="30"/>
      <c r="L695" s="30"/>
      <c r="M695" s="1"/>
      <c r="N695" s="211"/>
      <c r="O695" s="211"/>
      <c r="P695" s="31"/>
      <c r="Q695" s="211"/>
      <c r="R695" s="211"/>
      <c r="S695" s="31"/>
      <c r="V695" s="1"/>
      <c r="W695" s="1"/>
      <c r="X695" s="1"/>
      <c r="Y695" s="30"/>
      <c r="Z695" s="211"/>
    </row>
    <row r="696" spans="2:26">
      <c r="B696" s="1"/>
      <c r="C696" s="28"/>
      <c r="D696" s="19"/>
      <c r="G696" s="29"/>
      <c r="H696" s="212"/>
      <c r="I696" s="1"/>
      <c r="K696" s="30"/>
      <c r="L696" s="30"/>
      <c r="M696" s="1"/>
      <c r="N696" s="211"/>
      <c r="O696" s="211"/>
      <c r="P696" s="31"/>
      <c r="Q696" s="211"/>
      <c r="R696" s="211"/>
      <c r="S696" s="31"/>
      <c r="V696" s="1"/>
      <c r="W696" s="1"/>
      <c r="X696" s="1"/>
      <c r="Y696" s="30"/>
      <c r="Z696" s="211"/>
    </row>
    <row r="697" spans="2:26">
      <c r="B697" s="1"/>
      <c r="C697" s="28"/>
      <c r="D697" s="19"/>
      <c r="G697" s="29"/>
      <c r="H697" s="212"/>
      <c r="I697" s="1"/>
      <c r="K697" s="30"/>
      <c r="L697" s="30"/>
      <c r="M697" s="1"/>
      <c r="N697" s="211"/>
      <c r="O697" s="211"/>
      <c r="P697" s="31"/>
      <c r="Q697" s="211"/>
      <c r="R697" s="211"/>
      <c r="S697" s="31"/>
      <c r="V697" s="1"/>
      <c r="W697" s="1"/>
      <c r="X697" s="1"/>
      <c r="Y697" s="30"/>
      <c r="Z697" s="211"/>
    </row>
    <row r="698" spans="2:26">
      <c r="B698" s="1"/>
      <c r="C698" s="28"/>
      <c r="D698" s="19"/>
      <c r="G698" s="29"/>
      <c r="H698" s="212"/>
      <c r="I698" s="1"/>
      <c r="K698" s="30"/>
      <c r="L698" s="30"/>
      <c r="M698" s="1"/>
      <c r="N698" s="211"/>
      <c r="O698" s="211"/>
      <c r="P698" s="31"/>
      <c r="Q698" s="211"/>
      <c r="R698" s="211"/>
      <c r="S698" s="31"/>
      <c r="V698" s="1"/>
      <c r="W698" s="1"/>
      <c r="X698" s="1"/>
      <c r="Y698" s="30"/>
      <c r="Z698" s="211"/>
    </row>
    <row r="699" spans="2:26">
      <c r="B699" s="1"/>
      <c r="C699" s="28"/>
      <c r="D699" s="19"/>
      <c r="G699" s="29"/>
      <c r="H699" s="212"/>
      <c r="I699" s="1"/>
      <c r="K699" s="30"/>
      <c r="L699" s="30"/>
      <c r="M699" s="1"/>
      <c r="N699" s="211"/>
      <c r="O699" s="211"/>
      <c r="P699" s="31"/>
      <c r="Q699" s="211"/>
      <c r="R699" s="211"/>
      <c r="S699" s="31"/>
      <c r="V699" s="1"/>
      <c r="W699" s="1"/>
      <c r="X699" s="1"/>
      <c r="Y699" s="30"/>
      <c r="Z699" s="211"/>
    </row>
    <row r="700" spans="2:26">
      <c r="B700" s="1"/>
      <c r="C700" s="28"/>
      <c r="D700" s="19"/>
      <c r="G700" s="29"/>
      <c r="H700" s="212"/>
      <c r="I700" s="1"/>
      <c r="K700" s="30"/>
      <c r="L700" s="30"/>
      <c r="M700" s="1"/>
      <c r="N700" s="211"/>
      <c r="O700" s="211"/>
      <c r="P700" s="31"/>
      <c r="Q700" s="211"/>
      <c r="R700" s="211"/>
      <c r="S700" s="31"/>
      <c r="V700" s="1"/>
      <c r="W700" s="1"/>
      <c r="X700" s="1"/>
      <c r="Y700" s="30"/>
      <c r="Z700" s="211"/>
    </row>
    <row r="701" spans="2:26">
      <c r="B701" s="1"/>
      <c r="C701" s="28"/>
      <c r="D701" s="19"/>
      <c r="G701" s="29"/>
      <c r="H701" s="212"/>
      <c r="I701" s="1"/>
      <c r="K701" s="30"/>
      <c r="L701" s="30"/>
      <c r="M701" s="1"/>
      <c r="N701" s="211"/>
      <c r="O701" s="211"/>
      <c r="P701" s="31"/>
      <c r="Q701" s="211"/>
      <c r="R701" s="211"/>
      <c r="S701" s="31"/>
      <c r="V701" s="1"/>
      <c r="W701" s="1"/>
      <c r="X701" s="1"/>
      <c r="Y701" s="30"/>
      <c r="Z701" s="211"/>
    </row>
    <row r="702" spans="2:26">
      <c r="B702" s="1"/>
      <c r="C702" s="28"/>
      <c r="D702" s="19"/>
      <c r="G702" s="29"/>
      <c r="H702" s="212"/>
      <c r="I702" s="1"/>
      <c r="K702" s="30"/>
      <c r="L702" s="30"/>
      <c r="M702" s="1"/>
      <c r="N702" s="211"/>
      <c r="O702" s="211"/>
      <c r="P702" s="31"/>
      <c r="Q702" s="211"/>
      <c r="R702" s="211"/>
      <c r="S702" s="31"/>
      <c r="V702" s="1"/>
      <c r="W702" s="1"/>
      <c r="X702" s="1"/>
      <c r="Y702" s="30"/>
      <c r="Z702" s="211"/>
    </row>
    <row r="703" spans="2:26">
      <c r="B703" s="1"/>
      <c r="C703" s="28"/>
      <c r="D703" s="19"/>
      <c r="G703" s="29"/>
      <c r="H703" s="212"/>
      <c r="I703" s="1"/>
      <c r="K703" s="30"/>
      <c r="L703" s="30"/>
      <c r="M703" s="1"/>
      <c r="N703" s="211"/>
      <c r="O703" s="211"/>
      <c r="P703" s="31"/>
      <c r="Q703" s="211"/>
      <c r="R703" s="211"/>
      <c r="S703" s="31"/>
      <c r="V703" s="1"/>
      <c r="W703" s="1"/>
      <c r="X703" s="1"/>
      <c r="Y703" s="30"/>
      <c r="Z703" s="211"/>
    </row>
    <row r="704" spans="2:26">
      <c r="B704" s="1"/>
      <c r="C704" s="28"/>
      <c r="D704" s="19"/>
      <c r="G704" s="29"/>
      <c r="H704" s="212"/>
      <c r="I704" s="1"/>
      <c r="K704" s="30"/>
      <c r="L704" s="30"/>
      <c r="M704" s="1"/>
      <c r="N704" s="211"/>
      <c r="O704" s="211"/>
      <c r="P704" s="31"/>
      <c r="Q704" s="211"/>
      <c r="R704" s="211"/>
      <c r="S704" s="31"/>
      <c r="V704" s="1"/>
      <c r="W704" s="1"/>
      <c r="X704" s="1"/>
      <c r="Y704" s="30"/>
      <c r="Z704" s="211"/>
    </row>
    <row r="705" spans="2:26">
      <c r="B705" s="1"/>
      <c r="C705" s="28"/>
      <c r="D705" s="19"/>
      <c r="G705" s="29"/>
      <c r="H705" s="212"/>
      <c r="I705" s="1"/>
      <c r="K705" s="30"/>
      <c r="L705" s="30"/>
      <c r="M705" s="1"/>
      <c r="N705" s="211"/>
      <c r="O705" s="211"/>
      <c r="P705" s="31"/>
      <c r="Q705" s="211"/>
      <c r="R705" s="211"/>
      <c r="S705" s="31"/>
      <c r="V705" s="1"/>
      <c r="W705" s="1"/>
      <c r="X705" s="1"/>
      <c r="Y705" s="30"/>
      <c r="Z705" s="211"/>
    </row>
    <row r="706" spans="2:26">
      <c r="B706" s="1"/>
      <c r="C706" s="28"/>
      <c r="D706" s="19"/>
      <c r="G706" s="29"/>
      <c r="H706" s="212"/>
      <c r="I706" s="1"/>
      <c r="K706" s="30"/>
      <c r="L706" s="30"/>
      <c r="M706" s="1"/>
      <c r="N706" s="211"/>
      <c r="O706" s="211"/>
      <c r="P706" s="31"/>
      <c r="Q706" s="211"/>
      <c r="R706" s="211"/>
      <c r="S706" s="31"/>
      <c r="V706" s="1"/>
      <c r="W706" s="1"/>
      <c r="X706" s="1"/>
      <c r="Y706" s="30"/>
      <c r="Z706" s="211"/>
    </row>
    <row r="707" spans="2:26">
      <c r="B707" s="1"/>
      <c r="C707" s="28"/>
      <c r="D707" s="19"/>
      <c r="G707" s="29"/>
      <c r="H707" s="212"/>
      <c r="I707" s="1"/>
      <c r="K707" s="30"/>
      <c r="L707" s="30"/>
      <c r="M707" s="1"/>
      <c r="N707" s="211"/>
      <c r="O707" s="211"/>
      <c r="P707" s="31"/>
      <c r="Q707" s="211"/>
      <c r="R707" s="211"/>
      <c r="S707" s="31"/>
      <c r="V707" s="1"/>
      <c r="W707" s="1"/>
      <c r="X707" s="1"/>
      <c r="Y707" s="30"/>
      <c r="Z707" s="211"/>
    </row>
    <row r="708" spans="2:26">
      <c r="B708" s="1"/>
      <c r="C708" s="28"/>
      <c r="D708" s="19"/>
      <c r="G708" s="29"/>
      <c r="H708" s="212"/>
      <c r="I708" s="1"/>
      <c r="K708" s="30"/>
      <c r="L708" s="30"/>
      <c r="M708" s="1"/>
      <c r="N708" s="211"/>
      <c r="O708" s="211"/>
      <c r="P708" s="31"/>
      <c r="Q708" s="211"/>
      <c r="R708" s="211"/>
      <c r="S708" s="31"/>
      <c r="V708" s="1"/>
      <c r="W708" s="1"/>
      <c r="X708" s="1"/>
      <c r="Y708" s="30"/>
      <c r="Z708" s="211"/>
    </row>
    <row r="709" spans="2:26">
      <c r="B709" s="1"/>
      <c r="C709" s="28"/>
      <c r="D709" s="19"/>
      <c r="G709" s="29"/>
      <c r="H709" s="212"/>
      <c r="I709" s="1"/>
      <c r="K709" s="30"/>
      <c r="L709" s="30"/>
      <c r="M709" s="1"/>
      <c r="N709" s="211"/>
      <c r="O709" s="211"/>
      <c r="P709" s="31"/>
      <c r="Q709" s="211"/>
      <c r="R709" s="211"/>
      <c r="S709" s="31"/>
      <c r="V709" s="1"/>
      <c r="W709" s="1"/>
      <c r="X709" s="1"/>
      <c r="Y709" s="30"/>
      <c r="Z709" s="211"/>
    </row>
    <row r="710" spans="2:26">
      <c r="B710" s="1"/>
      <c r="C710" s="28"/>
      <c r="D710" s="19"/>
      <c r="G710" s="29"/>
      <c r="H710" s="212"/>
      <c r="I710" s="1"/>
      <c r="K710" s="30"/>
      <c r="L710" s="30"/>
      <c r="M710" s="1"/>
      <c r="N710" s="211"/>
      <c r="O710" s="211"/>
      <c r="P710" s="31"/>
      <c r="Q710" s="211"/>
      <c r="R710" s="211"/>
      <c r="S710" s="31"/>
      <c r="V710" s="1"/>
      <c r="W710" s="1"/>
      <c r="X710" s="1"/>
      <c r="Y710" s="30"/>
      <c r="Z710" s="211"/>
    </row>
    <row r="711" spans="2:26">
      <c r="B711" s="1"/>
      <c r="C711" s="28"/>
      <c r="D711" s="19"/>
      <c r="G711" s="29"/>
      <c r="H711" s="212"/>
      <c r="I711" s="1"/>
      <c r="K711" s="30"/>
      <c r="L711" s="30"/>
      <c r="M711" s="1"/>
      <c r="N711" s="211"/>
      <c r="O711" s="211"/>
      <c r="P711" s="31"/>
      <c r="Q711" s="211"/>
      <c r="R711" s="211"/>
      <c r="S711" s="31"/>
      <c r="V711" s="1"/>
      <c r="W711" s="1"/>
      <c r="X711" s="1"/>
      <c r="Y711" s="30"/>
      <c r="Z711" s="211"/>
    </row>
    <row r="712" spans="2:26">
      <c r="B712" s="1"/>
      <c r="C712" s="28"/>
      <c r="D712" s="19"/>
      <c r="G712" s="29"/>
      <c r="H712" s="212"/>
      <c r="I712" s="1"/>
      <c r="K712" s="30"/>
      <c r="L712" s="30"/>
      <c r="M712" s="1"/>
      <c r="N712" s="211"/>
      <c r="O712" s="211"/>
      <c r="P712" s="31"/>
      <c r="Q712" s="211"/>
      <c r="R712" s="211"/>
      <c r="S712" s="31"/>
      <c r="V712" s="1"/>
      <c r="W712" s="1"/>
      <c r="X712" s="1"/>
      <c r="Y712" s="30"/>
      <c r="Z712" s="211"/>
    </row>
    <row r="713" spans="2:26">
      <c r="B713" s="1"/>
      <c r="C713" s="28"/>
      <c r="D713" s="19"/>
      <c r="G713" s="29"/>
      <c r="H713" s="212"/>
      <c r="I713" s="1"/>
      <c r="K713" s="30"/>
      <c r="L713" s="30"/>
      <c r="M713" s="1"/>
      <c r="N713" s="211"/>
      <c r="O713" s="211"/>
      <c r="P713" s="31"/>
      <c r="Q713" s="211"/>
      <c r="R713" s="211"/>
      <c r="S713" s="31"/>
      <c r="V713" s="1"/>
      <c r="W713" s="1"/>
      <c r="X713" s="1"/>
      <c r="Y713" s="30"/>
      <c r="Z713" s="211"/>
    </row>
    <row r="714" spans="2:26">
      <c r="B714" s="1"/>
      <c r="C714" s="28"/>
      <c r="D714" s="19"/>
      <c r="G714" s="29"/>
      <c r="H714" s="212"/>
      <c r="I714" s="1"/>
      <c r="K714" s="30"/>
      <c r="L714" s="30"/>
      <c r="M714" s="1"/>
      <c r="N714" s="211"/>
      <c r="O714" s="211"/>
      <c r="P714" s="31"/>
      <c r="Q714" s="211"/>
      <c r="R714" s="211"/>
      <c r="S714" s="31"/>
      <c r="V714" s="1"/>
      <c r="W714" s="1"/>
      <c r="X714" s="1"/>
      <c r="Y714" s="30"/>
      <c r="Z714" s="211"/>
    </row>
    <row r="715" spans="2:26">
      <c r="B715" s="1"/>
      <c r="C715" s="28"/>
      <c r="D715" s="19"/>
      <c r="G715" s="29"/>
      <c r="H715" s="212"/>
      <c r="I715" s="1"/>
      <c r="K715" s="30"/>
      <c r="L715" s="30"/>
      <c r="M715" s="1"/>
      <c r="N715" s="211"/>
      <c r="O715" s="211"/>
      <c r="P715" s="31"/>
      <c r="Q715" s="211"/>
      <c r="R715" s="211"/>
      <c r="S715" s="31"/>
      <c r="V715" s="1"/>
      <c r="W715" s="1"/>
      <c r="X715" s="1"/>
      <c r="Y715" s="30"/>
      <c r="Z715" s="211"/>
    </row>
    <row r="716" spans="2:26">
      <c r="B716" s="1"/>
      <c r="C716" s="28"/>
      <c r="D716" s="19"/>
      <c r="G716" s="29"/>
      <c r="H716" s="212"/>
      <c r="I716" s="1"/>
      <c r="K716" s="30"/>
      <c r="L716" s="30"/>
      <c r="M716" s="1"/>
      <c r="N716" s="211"/>
      <c r="O716" s="211"/>
      <c r="P716" s="31"/>
      <c r="Q716" s="211"/>
      <c r="R716" s="211"/>
      <c r="S716" s="31"/>
      <c r="V716" s="1"/>
      <c r="W716" s="1"/>
      <c r="X716" s="1"/>
      <c r="Y716" s="30"/>
      <c r="Z716" s="211"/>
    </row>
    <row r="717" spans="2:26">
      <c r="B717" s="1"/>
      <c r="C717" s="28"/>
      <c r="D717" s="19"/>
      <c r="G717" s="29"/>
      <c r="H717" s="212"/>
      <c r="I717" s="1"/>
      <c r="K717" s="30"/>
      <c r="L717" s="30"/>
      <c r="M717" s="1"/>
      <c r="N717" s="211"/>
      <c r="O717" s="211"/>
      <c r="P717" s="31"/>
      <c r="Q717" s="211"/>
      <c r="R717" s="211"/>
      <c r="S717" s="31"/>
      <c r="V717" s="1"/>
      <c r="W717" s="1"/>
      <c r="X717" s="1"/>
      <c r="Y717" s="30"/>
      <c r="Z717" s="211"/>
    </row>
    <row r="718" spans="2:26">
      <c r="B718" s="1"/>
      <c r="C718" s="28"/>
      <c r="D718" s="19"/>
      <c r="G718" s="29"/>
      <c r="H718" s="212"/>
      <c r="I718" s="1"/>
      <c r="K718" s="30"/>
      <c r="L718" s="30"/>
      <c r="M718" s="1"/>
      <c r="N718" s="211"/>
      <c r="O718" s="211"/>
      <c r="P718" s="31"/>
      <c r="Q718" s="211"/>
      <c r="R718" s="211"/>
      <c r="S718" s="31"/>
      <c r="V718" s="1"/>
      <c r="W718" s="1"/>
      <c r="X718" s="1"/>
      <c r="Y718" s="30"/>
      <c r="Z718" s="211"/>
    </row>
    <row r="719" spans="2:26">
      <c r="B719" s="1"/>
      <c r="C719" s="28"/>
      <c r="D719" s="19"/>
      <c r="G719" s="29"/>
      <c r="H719" s="212"/>
      <c r="I719" s="1"/>
      <c r="K719" s="30"/>
      <c r="L719" s="30"/>
      <c r="M719" s="1"/>
      <c r="N719" s="211"/>
      <c r="O719" s="211"/>
      <c r="P719" s="31"/>
      <c r="Q719" s="211"/>
      <c r="R719" s="211"/>
      <c r="S719" s="31"/>
      <c r="V719" s="1"/>
      <c r="W719" s="1"/>
      <c r="X719" s="1"/>
      <c r="Y719" s="30"/>
      <c r="Z719" s="211"/>
    </row>
    <row r="720" spans="2:26">
      <c r="B720" s="1"/>
      <c r="C720" s="28"/>
      <c r="D720" s="19"/>
      <c r="G720" s="29"/>
      <c r="H720" s="212"/>
      <c r="I720" s="1"/>
      <c r="K720" s="30"/>
      <c r="L720" s="30"/>
      <c r="M720" s="1"/>
      <c r="N720" s="211"/>
      <c r="O720" s="211"/>
      <c r="P720" s="31"/>
      <c r="Q720" s="211"/>
      <c r="R720" s="211"/>
      <c r="S720" s="31"/>
      <c r="V720" s="1"/>
      <c r="W720" s="1"/>
      <c r="X720" s="1"/>
      <c r="Y720" s="30"/>
      <c r="Z720" s="211"/>
    </row>
    <row r="721" spans="2:26">
      <c r="B721" s="1"/>
      <c r="C721" s="28"/>
      <c r="D721" s="19"/>
      <c r="G721" s="29"/>
      <c r="H721" s="212"/>
      <c r="I721" s="1"/>
      <c r="K721" s="30"/>
      <c r="L721" s="30"/>
      <c r="M721" s="1"/>
      <c r="N721" s="211"/>
      <c r="O721" s="211"/>
      <c r="P721" s="31"/>
      <c r="Q721" s="211"/>
      <c r="R721" s="211"/>
      <c r="S721" s="31"/>
      <c r="V721" s="1"/>
      <c r="W721" s="1"/>
      <c r="X721" s="1"/>
      <c r="Y721" s="30"/>
      <c r="Z721" s="211"/>
    </row>
    <row r="722" spans="2:26">
      <c r="B722" s="1"/>
      <c r="C722" s="28"/>
      <c r="D722" s="19"/>
      <c r="G722" s="29"/>
      <c r="H722" s="212"/>
      <c r="I722" s="1"/>
      <c r="K722" s="30"/>
      <c r="L722" s="30"/>
      <c r="M722" s="1"/>
      <c r="N722" s="211"/>
      <c r="O722" s="211"/>
      <c r="P722" s="31"/>
      <c r="Q722" s="211"/>
      <c r="R722" s="211"/>
      <c r="S722" s="31"/>
      <c r="V722" s="1"/>
      <c r="W722" s="1"/>
      <c r="X722" s="1"/>
      <c r="Y722" s="30"/>
      <c r="Z722" s="211"/>
    </row>
    <row r="723" spans="2:26">
      <c r="B723" s="1"/>
      <c r="C723" s="28"/>
      <c r="D723" s="19"/>
      <c r="G723" s="29"/>
      <c r="H723" s="212"/>
      <c r="I723" s="1"/>
      <c r="K723" s="30"/>
      <c r="L723" s="30"/>
      <c r="M723" s="1"/>
      <c r="N723" s="211"/>
      <c r="O723" s="211"/>
      <c r="P723" s="31"/>
      <c r="Q723" s="211"/>
      <c r="R723" s="211"/>
      <c r="S723" s="31"/>
      <c r="V723" s="1"/>
      <c r="W723" s="1"/>
      <c r="X723" s="1"/>
      <c r="Y723" s="30"/>
      <c r="Z723" s="211"/>
    </row>
    <row r="724" spans="2:26">
      <c r="B724" s="1"/>
      <c r="C724" s="28"/>
      <c r="D724" s="19"/>
      <c r="G724" s="29"/>
      <c r="H724" s="212"/>
      <c r="I724" s="1"/>
      <c r="K724" s="30"/>
      <c r="L724" s="30"/>
      <c r="M724" s="1"/>
      <c r="N724" s="211"/>
      <c r="O724" s="211"/>
      <c r="P724" s="31"/>
      <c r="Q724" s="211"/>
      <c r="R724" s="211"/>
      <c r="S724" s="31"/>
      <c r="V724" s="1"/>
      <c r="W724" s="1"/>
      <c r="X724" s="1"/>
      <c r="Y724" s="30"/>
      <c r="Z724" s="211"/>
    </row>
    <row r="725" spans="2:26">
      <c r="B725" s="1"/>
      <c r="C725" s="28"/>
      <c r="D725" s="19"/>
      <c r="G725" s="29"/>
      <c r="H725" s="212"/>
      <c r="I725" s="1"/>
      <c r="K725" s="30"/>
      <c r="L725" s="30"/>
      <c r="M725" s="1"/>
      <c r="N725" s="211"/>
      <c r="O725" s="211"/>
      <c r="P725" s="31"/>
      <c r="Q725" s="211"/>
      <c r="R725" s="211"/>
      <c r="S725" s="31"/>
      <c r="V725" s="1"/>
      <c r="W725" s="1"/>
      <c r="X725" s="1"/>
      <c r="Y725" s="30"/>
      <c r="Z725" s="211"/>
    </row>
    <row r="726" spans="2:26">
      <c r="B726" s="1"/>
      <c r="C726" s="28"/>
      <c r="D726" s="19"/>
      <c r="G726" s="29"/>
      <c r="H726" s="212"/>
      <c r="I726" s="1"/>
      <c r="K726" s="30"/>
      <c r="L726" s="30"/>
      <c r="M726" s="1"/>
      <c r="N726" s="211"/>
      <c r="O726" s="211"/>
      <c r="P726" s="31"/>
      <c r="Q726" s="211"/>
      <c r="R726" s="211"/>
      <c r="S726" s="31"/>
      <c r="V726" s="1"/>
      <c r="W726" s="1"/>
      <c r="X726" s="1"/>
      <c r="Y726" s="30"/>
      <c r="Z726" s="211"/>
    </row>
    <row r="727" spans="2:26">
      <c r="B727" s="1"/>
      <c r="C727" s="28"/>
      <c r="D727" s="19"/>
      <c r="G727" s="29"/>
      <c r="H727" s="212"/>
      <c r="I727" s="1"/>
      <c r="K727" s="30"/>
      <c r="L727" s="30"/>
      <c r="M727" s="1"/>
      <c r="N727" s="211"/>
      <c r="O727" s="211"/>
      <c r="P727" s="31"/>
      <c r="Q727" s="211"/>
      <c r="R727" s="211"/>
      <c r="S727" s="31"/>
      <c r="V727" s="1"/>
      <c r="W727" s="1"/>
      <c r="X727" s="1"/>
      <c r="Y727" s="30"/>
      <c r="Z727" s="211"/>
    </row>
    <row r="728" spans="2:26">
      <c r="B728" s="1"/>
      <c r="C728" s="28"/>
      <c r="D728" s="19"/>
      <c r="G728" s="29"/>
      <c r="H728" s="212"/>
      <c r="I728" s="1"/>
      <c r="K728" s="30"/>
      <c r="L728" s="30"/>
      <c r="M728" s="1"/>
      <c r="N728" s="211"/>
      <c r="O728" s="211"/>
      <c r="P728" s="31"/>
      <c r="Q728" s="211"/>
      <c r="R728" s="211"/>
      <c r="S728" s="31"/>
      <c r="V728" s="1"/>
      <c r="W728" s="1"/>
      <c r="X728" s="1"/>
      <c r="Y728" s="30"/>
      <c r="Z728" s="211"/>
    </row>
    <row r="729" spans="2:26">
      <c r="B729" s="1"/>
      <c r="C729" s="28"/>
      <c r="D729" s="19"/>
      <c r="G729" s="29"/>
      <c r="H729" s="212"/>
      <c r="I729" s="1"/>
      <c r="L729" s="30"/>
      <c r="M729" s="30"/>
      <c r="N729" s="30"/>
      <c r="O729" s="1"/>
      <c r="P729" s="211"/>
      <c r="Q729" s="211"/>
      <c r="R729" s="31"/>
      <c r="S729" s="211"/>
      <c r="T729" s="211"/>
      <c r="Z729"/>
    </row>
    <row r="730" spans="2:26">
      <c r="B730" s="1"/>
      <c r="C730" s="28"/>
      <c r="D730" s="19"/>
      <c r="G730" s="29"/>
      <c r="H730" s="212"/>
      <c r="I730" s="1"/>
      <c r="L730" s="30"/>
      <c r="M730" s="30"/>
      <c r="N730" s="30"/>
      <c r="O730" s="1"/>
      <c r="P730" s="211"/>
      <c r="Q730" s="211"/>
      <c r="R730" s="31"/>
      <c r="S730" s="211"/>
      <c r="T730" s="211"/>
      <c r="Z730"/>
    </row>
    <row r="731" spans="2:26">
      <c r="B731" s="1"/>
      <c r="C731" s="28"/>
      <c r="D731" s="19"/>
      <c r="G731" s="29"/>
      <c r="H731" s="212"/>
      <c r="I731" s="1"/>
      <c r="K731" s="30"/>
      <c r="L731" s="30"/>
      <c r="M731" s="1"/>
      <c r="N731" s="211"/>
      <c r="O731" s="211"/>
      <c r="P731" s="31"/>
      <c r="Q731" s="211"/>
      <c r="R731" s="211"/>
      <c r="S731" s="31"/>
      <c r="V731" s="1"/>
      <c r="W731" s="1"/>
      <c r="X731" s="1"/>
      <c r="Y731" s="30"/>
      <c r="Z731" s="211"/>
    </row>
    <row r="732" spans="2:26">
      <c r="B732" s="1"/>
      <c r="C732" s="28"/>
      <c r="D732" s="19"/>
      <c r="G732" s="29"/>
      <c r="H732" s="212"/>
      <c r="I732" s="1"/>
      <c r="K732" s="30"/>
      <c r="L732" s="30"/>
      <c r="M732" s="1"/>
      <c r="N732" s="211"/>
      <c r="O732" s="211"/>
      <c r="P732" s="31"/>
      <c r="Q732" s="211"/>
      <c r="R732" s="211"/>
      <c r="S732" s="31"/>
      <c r="V732" s="1"/>
      <c r="W732" s="1"/>
      <c r="X732" s="1"/>
      <c r="Y732" s="30"/>
      <c r="Z732" s="211"/>
    </row>
    <row r="733" spans="2:26">
      <c r="B733" s="1"/>
      <c r="C733" s="28"/>
      <c r="D733" s="19"/>
      <c r="G733" s="29"/>
      <c r="H733" s="212"/>
      <c r="I733" s="1"/>
      <c r="K733" s="30"/>
      <c r="L733" s="30"/>
      <c r="M733" s="1"/>
      <c r="N733" s="211"/>
      <c r="O733" s="211"/>
      <c r="P733" s="31"/>
      <c r="Q733" s="211"/>
      <c r="R733" s="211"/>
      <c r="S733" s="31"/>
      <c r="V733" s="1"/>
      <c r="W733" s="1"/>
      <c r="X733" s="1"/>
      <c r="Y733" s="30"/>
      <c r="Z733" s="211"/>
    </row>
    <row r="734" spans="2:26">
      <c r="B734" s="1"/>
      <c r="C734" s="28"/>
      <c r="D734" s="19"/>
      <c r="G734" s="29"/>
      <c r="H734" s="212"/>
      <c r="I734" s="1"/>
      <c r="K734" s="30"/>
      <c r="L734" s="30"/>
      <c r="M734" s="1"/>
      <c r="N734" s="211"/>
      <c r="O734" s="211"/>
      <c r="P734" s="31"/>
      <c r="Q734" s="211"/>
      <c r="R734" s="211"/>
      <c r="S734" s="31"/>
      <c r="V734" s="1"/>
      <c r="W734" s="1"/>
      <c r="X734" s="1"/>
      <c r="Y734" s="30"/>
      <c r="Z734" s="211"/>
    </row>
    <row r="735" spans="2:26">
      <c r="B735" s="1"/>
      <c r="C735" s="28"/>
      <c r="D735" s="19"/>
      <c r="G735" s="29"/>
      <c r="H735" s="212"/>
      <c r="I735" s="1"/>
      <c r="K735" s="30"/>
      <c r="L735" s="30"/>
      <c r="M735" s="1"/>
      <c r="N735" s="211"/>
      <c r="O735" s="211"/>
      <c r="P735" s="31"/>
      <c r="Q735" s="211"/>
      <c r="R735" s="211"/>
      <c r="S735" s="31"/>
      <c r="V735" s="1"/>
      <c r="W735" s="1"/>
      <c r="X735" s="1"/>
      <c r="Y735" s="30"/>
      <c r="Z735" s="211"/>
    </row>
    <row r="736" spans="2:26">
      <c r="B736" s="1"/>
      <c r="C736" s="28"/>
      <c r="D736" s="19"/>
      <c r="G736" s="29"/>
      <c r="H736" s="212"/>
      <c r="I736" s="1"/>
      <c r="K736" s="30"/>
      <c r="L736" s="30"/>
      <c r="M736" s="1"/>
      <c r="N736" s="211"/>
      <c r="O736" s="211"/>
      <c r="P736" s="31"/>
      <c r="Q736" s="211"/>
      <c r="R736" s="211"/>
      <c r="S736" s="31"/>
      <c r="V736" s="1"/>
      <c r="W736" s="1"/>
      <c r="X736" s="1"/>
      <c r="Y736" s="30"/>
      <c r="Z736" s="211"/>
    </row>
    <row r="737" spans="2:26">
      <c r="B737" s="1"/>
      <c r="C737" s="28"/>
      <c r="D737" s="19"/>
      <c r="G737" s="29"/>
      <c r="H737" s="212"/>
      <c r="I737" s="1"/>
      <c r="K737" s="30"/>
      <c r="L737" s="30"/>
      <c r="M737" s="1"/>
      <c r="N737" s="211"/>
      <c r="O737" s="211"/>
      <c r="P737" s="31"/>
      <c r="Q737" s="211"/>
      <c r="R737" s="211"/>
      <c r="S737" s="31"/>
      <c r="V737" s="1"/>
      <c r="W737" s="1"/>
      <c r="X737" s="1"/>
      <c r="Y737" s="30"/>
      <c r="Z737" s="211"/>
    </row>
    <row r="738" spans="2:26">
      <c r="B738" s="1"/>
      <c r="C738" s="28"/>
      <c r="D738" s="19"/>
      <c r="G738" s="29"/>
      <c r="H738" s="212"/>
      <c r="I738" s="1"/>
      <c r="K738" s="30"/>
      <c r="L738" s="30"/>
      <c r="M738" s="1"/>
      <c r="N738" s="211"/>
      <c r="O738" s="211"/>
      <c r="P738" s="31"/>
      <c r="Q738" s="211"/>
      <c r="R738" s="211"/>
      <c r="S738" s="31"/>
      <c r="V738" s="1"/>
      <c r="W738" s="1"/>
      <c r="X738" s="1"/>
      <c r="Y738" s="30"/>
      <c r="Z738" s="211"/>
    </row>
    <row r="739" spans="2:26">
      <c r="B739" s="1"/>
      <c r="C739" s="28"/>
      <c r="D739" s="19"/>
      <c r="G739" s="29"/>
      <c r="H739" s="212"/>
      <c r="I739" s="1"/>
      <c r="K739" s="30"/>
      <c r="L739" s="30"/>
      <c r="M739" s="1"/>
      <c r="N739" s="211"/>
      <c r="O739" s="211"/>
      <c r="P739" s="31"/>
      <c r="Q739" s="211"/>
      <c r="R739" s="211"/>
      <c r="S739" s="31"/>
      <c r="V739" s="1"/>
      <c r="W739" s="1"/>
      <c r="X739" s="1"/>
      <c r="Y739" s="30"/>
      <c r="Z739" s="211"/>
    </row>
    <row r="740" spans="2:26">
      <c r="B740" s="1"/>
      <c r="C740" s="28"/>
      <c r="D740" s="19"/>
      <c r="G740" s="29"/>
      <c r="H740" s="212"/>
      <c r="I740" s="1"/>
      <c r="K740" s="30"/>
      <c r="L740" s="30"/>
      <c r="M740" s="1"/>
      <c r="N740" s="211"/>
      <c r="O740" s="211"/>
      <c r="P740" s="31"/>
      <c r="Q740" s="211"/>
      <c r="R740" s="211"/>
      <c r="S740" s="31"/>
      <c r="V740" s="1"/>
      <c r="W740" s="1"/>
      <c r="X740" s="1"/>
      <c r="Y740" s="30"/>
      <c r="Z740" s="211"/>
    </row>
    <row r="741" spans="2:26">
      <c r="B741" s="1"/>
      <c r="C741" s="28"/>
      <c r="D741" s="19"/>
      <c r="G741" s="29"/>
      <c r="H741" s="212"/>
      <c r="I741" s="1"/>
      <c r="K741" s="30"/>
      <c r="L741" s="30"/>
      <c r="M741" s="1"/>
      <c r="N741" s="211"/>
      <c r="O741" s="211"/>
      <c r="P741" s="31"/>
      <c r="Q741" s="211"/>
      <c r="R741" s="211"/>
      <c r="S741" s="31"/>
      <c r="V741" s="1"/>
      <c r="W741" s="1"/>
      <c r="X741" s="1"/>
      <c r="Y741" s="30"/>
      <c r="Z741" s="211"/>
    </row>
    <row r="742" spans="2:26">
      <c r="B742" s="1"/>
      <c r="C742" s="28"/>
      <c r="D742" s="19"/>
      <c r="G742" s="29"/>
      <c r="H742" s="212"/>
      <c r="I742" s="1"/>
      <c r="K742" s="30"/>
      <c r="L742" s="30"/>
      <c r="M742" s="1"/>
      <c r="N742" s="211"/>
      <c r="O742" s="211"/>
      <c r="P742" s="31"/>
      <c r="Q742" s="211"/>
      <c r="R742" s="211"/>
      <c r="S742" s="31"/>
      <c r="V742" s="1"/>
      <c r="W742" s="1"/>
      <c r="X742" s="1"/>
      <c r="Y742" s="30"/>
      <c r="Z742" s="211"/>
    </row>
    <row r="743" spans="2:26">
      <c r="B743" s="1"/>
      <c r="C743" s="28"/>
      <c r="D743" s="19"/>
      <c r="G743" s="29"/>
      <c r="H743" s="212"/>
      <c r="I743" s="1"/>
      <c r="K743" s="30"/>
      <c r="L743" s="30"/>
      <c r="M743" s="1"/>
      <c r="N743" s="211"/>
      <c r="O743" s="211"/>
      <c r="P743" s="31"/>
      <c r="Q743" s="211"/>
      <c r="R743" s="211"/>
      <c r="S743" s="31"/>
      <c r="V743" s="1"/>
      <c r="W743" s="1"/>
      <c r="X743" s="1"/>
      <c r="Y743" s="30"/>
      <c r="Z743" s="211"/>
    </row>
    <row r="744" spans="2:26">
      <c r="B744" s="1"/>
      <c r="C744" s="28"/>
      <c r="D744" s="19"/>
      <c r="G744" s="29"/>
      <c r="H744" s="212"/>
      <c r="I744" s="1"/>
      <c r="K744" s="30"/>
      <c r="L744" s="30"/>
      <c r="M744" s="1"/>
      <c r="N744" s="211"/>
      <c r="O744" s="211"/>
      <c r="P744" s="31"/>
      <c r="Q744" s="211"/>
      <c r="R744" s="211"/>
      <c r="S744" s="31"/>
      <c r="V744" s="1"/>
      <c r="W744" s="1"/>
      <c r="X744" s="1"/>
      <c r="Y744" s="30"/>
      <c r="Z744" s="211"/>
    </row>
    <row r="745" spans="2:26">
      <c r="B745" s="1"/>
      <c r="C745" s="28"/>
      <c r="D745" s="19"/>
      <c r="G745" s="29"/>
      <c r="H745" s="212"/>
      <c r="I745" s="1"/>
      <c r="K745" s="30"/>
      <c r="L745" s="30"/>
      <c r="M745" s="1"/>
      <c r="N745" s="211"/>
      <c r="O745" s="211"/>
      <c r="P745" s="31"/>
      <c r="Q745" s="211"/>
      <c r="R745" s="211"/>
      <c r="S745" s="31"/>
      <c r="V745" s="1"/>
      <c r="W745" s="1"/>
      <c r="X745" s="1"/>
      <c r="Y745" s="30"/>
      <c r="Z745" s="211"/>
    </row>
    <row r="746" spans="2:26">
      <c r="B746" s="1"/>
      <c r="C746" s="28"/>
      <c r="D746" s="19"/>
      <c r="G746" s="29"/>
      <c r="H746" s="212"/>
      <c r="I746" s="1"/>
      <c r="K746" s="30"/>
      <c r="L746" s="30"/>
      <c r="M746" s="1"/>
      <c r="N746" s="211"/>
      <c r="O746" s="211"/>
      <c r="P746" s="31"/>
      <c r="Q746" s="211"/>
      <c r="R746" s="211"/>
      <c r="S746" s="31"/>
      <c r="V746" s="1"/>
      <c r="W746" s="1"/>
      <c r="X746" s="1"/>
      <c r="Y746" s="30"/>
      <c r="Z746" s="211"/>
    </row>
    <row r="747" spans="2:26">
      <c r="B747" s="1"/>
      <c r="C747" s="28"/>
      <c r="D747" s="19"/>
      <c r="G747" s="29"/>
      <c r="H747" s="212"/>
      <c r="I747" s="1"/>
      <c r="K747" s="30"/>
      <c r="L747" s="30"/>
      <c r="M747" s="1"/>
      <c r="N747" s="211"/>
      <c r="O747" s="211"/>
      <c r="P747" s="31"/>
      <c r="Q747" s="211"/>
      <c r="R747" s="211"/>
      <c r="S747" s="31"/>
      <c r="V747" s="1"/>
      <c r="W747" s="1"/>
      <c r="X747" s="1"/>
      <c r="Y747" s="30"/>
      <c r="Z747" s="211"/>
    </row>
    <row r="748" spans="2:26">
      <c r="B748" s="1"/>
      <c r="C748" s="28"/>
      <c r="D748" s="19"/>
      <c r="G748" s="29"/>
      <c r="H748" s="212"/>
      <c r="I748" s="1"/>
      <c r="K748" s="30"/>
      <c r="L748" s="30"/>
      <c r="M748" s="1"/>
      <c r="N748" s="211"/>
      <c r="O748" s="211"/>
      <c r="P748" s="31"/>
      <c r="Q748" s="211"/>
      <c r="R748" s="211"/>
      <c r="S748" s="31"/>
      <c r="V748" s="1"/>
      <c r="W748" s="1"/>
      <c r="X748" s="1"/>
      <c r="Y748" s="30"/>
      <c r="Z748" s="211"/>
    </row>
    <row r="749" spans="2:26">
      <c r="B749" s="1"/>
      <c r="C749" s="28"/>
      <c r="D749" s="19"/>
      <c r="G749" s="29"/>
      <c r="H749" s="212"/>
      <c r="I749" s="1"/>
      <c r="K749" s="30"/>
      <c r="L749" s="30"/>
      <c r="M749" s="1"/>
      <c r="N749" s="211"/>
      <c r="O749" s="211"/>
      <c r="P749" s="31"/>
      <c r="Q749" s="211"/>
      <c r="R749" s="211"/>
      <c r="S749" s="31"/>
      <c r="V749" s="1"/>
      <c r="W749" s="1"/>
      <c r="X749" s="1"/>
      <c r="Y749" s="30"/>
      <c r="Z749" s="211"/>
    </row>
    <row r="750" spans="2:26">
      <c r="B750" s="1"/>
      <c r="C750" s="28"/>
      <c r="D750" s="19"/>
      <c r="G750" s="29"/>
      <c r="H750" s="212"/>
      <c r="I750" s="1"/>
      <c r="K750" s="30"/>
      <c r="L750" s="30"/>
      <c r="M750" s="1"/>
      <c r="N750" s="211"/>
      <c r="O750" s="211"/>
      <c r="P750" s="31"/>
      <c r="Q750" s="211"/>
      <c r="R750" s="211"/>
      <c r="S750" s="31"/>
      <c r="V750" s="1"/>
      <c r="W750" s="1"/>
      <c r="X750" s="1"/>
      <c r="Y750" s="30"/>
      <c r="Z750" s="211"/>
    </row>
    <row r="751" spans="2:26">
      <c r="B751" s="1"/>
      <c r="C751" s="28"/>
      <c r="D751" s="19"/>
      <c r="G751" s="29"/>
      <c r="H751" s="212"/>
      <c r="I751" s="1"/>
      <c r="K751" s="30"/>
      <c r="L751" s="30"/>
      <c r="M751" s="1"/>
      <c r="N751" s="211"/>
      <c r="O751" s="211"/>
      <c r="P751" s="31"/>
      <c r="Q751" s="211"/>
      <c r="R751" s="211"/>
      <c r="S751" s="31"/>
      <c r="V751" s="1"/>
      <c r="W751" s="1"/>
      <c r="X751" s="1"/>
      <c r="Y751" s="30"/>
      <c r="Z751" s="211"/>
    </row>
    <row r="752" spans="2:26">
      <c r="B752" s="1"/>
      <c r="C752" s="28"/>
      <c r="D752" s="19"/>
      <c r="G752" s="29"/>
      <c r="H752" s="212"/>
      <c r="I752" s="1"/>
      <c r="K752" s="30"/>
      <c r="L752" s="30"/>
      <c r="M752" s="1"/>
      <c r="N752" s="211"/>
      <c r="O752" s="211"/>
      <c r="P752" s="31"/>
      <c r="Q752" s="211"/>
      <c r="R752" s="211"/>
      <c r="S752" s="31"/>
      <c r="V752" s="1"/>
      <c r="W752" s="1"/>
      <c r="X752" s="1"/>
      <c r="Y752" s="30"/>
      <c r="Z752" s="211"/>
    </row>
    <row r="753" spans="2:26">
      <c r="B753" s="1"/>
      <c r="C753" s="28"/>
      <c r="D753" s="19"/>
      <c r="G753" s="29"/>
      <c r="H753" s="212"/>
      <c r="I753" s="1"/>
      <c r="K753" s="30"/>
      <c r="L753" s="30"/>
      <c r="M753" s="1"/>
      <c r="N753" s="211"/>
      <c r="O753" s="211"/>
      <c r="P753" s="31"/>
      <c r="Q753" s="211"/>
      <c r="R753" s="211"/>
      <c r="S753" s="31"/>
      <c r="V753" s="1"/>
      <c r="W753" s="1"/>
      <c r="X753" s="1"/>
      <c r="Y753" s="30"/>
      <c r="Z753" s="211"/>
    </row>
    <row r="754" spans="2:26">
      <c r="B754" s="1"/>
      <c r="C754" s="28"/>
      <c r="D754" s="19"/>
      <c r="G754" s="29"/>
      <c r="H754" s="212"/>
      <c r="I754" s="1"/>
      <c r="K754" s="30"/>
      <c r="L754" s="30"/>
      <c r="M754" s="1"/>
      <c r="N754" s="211"/>
      <c r="O754" s="211"/>
      <c r="P754" s="31"/>
      <c r="Q754" s="211"/>
      <c r="R754" s="211"/>
      <c r="S754" s="31"/>
      <c r="V754" s="1"/>
      <c r="W754" s="1"/>
      <c r="X754" s="1"/>
      <c r="Y754" s="30"/>
      <c r="Z754" s="211"/>
    </row>
    <row r="755" spans="2:26">
      <c r="B755" s="1"/>
      <c r="C755" s="28"/>
      <c r="D755" s="19"/>
      <c r="G755" s="29"/>
      <c r="H755" s="212"/>
      <c r="I755" s="1"/>
      <c r="K755" s="30"/>
      <c r="L755" s="30"/>
      <c r="M755" s="1"/>
      <c r="N755" s="211"/>
      <c r="O755" s="211"/>
      <c r="P755" s="31"/>
      <c r="Q755" s="211"/>
      <c r="R755" s="211"/>
      <c r="S755" s="31"/>
      <c r="V755" s="1"/>
      <c r="W755" s="1"/>
      <c r="X755" s="1"/>
      <c r="Y755" s="30"/>
      <c r="Z755" s="211"/>
    </row>
    <row r="756" spans="2:26">
      <c r="B756" s="1"/>
      <c r="C756" s="28"/>
      <c r="D756" s="19"/>
      <c r="G756" s="29"/>
      <c r="H756" s="212"/>
      <c r="I756" s="1"/>
      <c r="K756" s="30"/>
      <c r="L756" s="30"/>
      <c r="M756" s="1"/>
      <c r="N756" s="211"/>
      <c r="O756" s="211"/>
      <c r="P756" s="31"/>
      <c r="Q756" s="211"/>
      <c r="R756" s="211"/>
      <c r="S756" s="31"/>
      <c r="V756" s="1"/>
      <c r="W756" s="1"/>
      <c r="X756" s="1"/>
      <c r="Y756" s="30"/>
      <c r="Z756" s="211"/>
    </row>
    <row r="757" spans="2:26">
      <c r="B757" s="1"/>
      <c r="C757" s="28"/>
      <c r="D757" s="19"/>
      <c r="G757" s="29"/>
      <c r="H757" s="212"/>
      <c r="I757" s="1"/>
      <c r="K757" s="30"/>
      <c r="L757" s="30"/>
      <c r="M757" s="1"/>
      <c r="N757" s="211"/>
      <c r="O757" s="211"/>
      <c r="P757" s="31"/>
      <c r="Q757" s="211"/>
      <c r="R757" s="211"/>
      <c r="S757" s="31"/>
      <c r="V757" s="1"/>
      <c r="W757" s="1"/>
      <c r="X757" s="1"/>
      <c r="Y757" s="30"/>
      <c r="Z757" s="211"/>
    </row>
    <row r="758" spans="2:26">
      <c r="B758" s="1"/>
      <c r="C758" s="28"/>
      <c r="D758" s="19"/>
      <c r="G758" s="29"/>
      <c r="H758" s="212"/>
      <c r="I758" s="1"/>
      <c r="K758" s="30"/>
      <c r="L758" s="30"/>
      <c r="M758" s="1"/>
      <c r="N758" s="211"/>
      <c r="O758" s="211"/>
      <c r="P758" s="31"/>
      <c r="Q758" s="211"/>
      <c r="R758" s="211"/>
      <c r="S758" s="31"/>
      <c r="V758" s="1"/>
      <c r="W758" s="1"/>
      <c r="X758" s="1"/>
      <c r="Y758" s="30"/>
      <c r="Z758" s="211"/>
    </row>
    <row r="759" spans="2:26">
      <c r="B759" s="1"/>
      <c r="C759" s="28"/>
      <c r="D759" s="19"/>
      <c r="G759" s="29"/>
      <c r="H759" s="212"/>
      <c r="I759" s="1"/>
      <c r="K759" s="30"/>
      <c r="L759" s="30"/>
      <c r="M759" s="1"/>
      <c r="N759" s="211"/>
      <c r="O759" s="211"/>
      <c r="P759" s="31"/>
      <c r="Q759" s="211"/>
      <c r="R759" s="211"/>
      <c r="S759" s="31"/>
      <c r="V759" s="1"/>
      <c r="W759" s="1"/>
      <c r="X759" s="1"/>
      <c r="Y759" s="30"/>
      <c r="Z759" s="211"/>
    </row>
    <row r="760" spans="2:26">
      <c r="B760" s="1"/>
      <c r="C760" s="28"/>
      <c r="D760" s="19"/>
      <c r="G760" s="29"/>
      <c r="H760" s="212"/>
      <c r="I760" s="1"/>
      <c r="K760" s="30"/>
      <c r="L760" s="30"/>
      <c r="M760" s="1"/>
      <c r="N760" s="211"/>
      <c r="O760" s="211"/>
      <c r="P760" s="31"/>
      <c r="Q760" s="211"/>
      <c r="R760" s="211"/>
      <c r="S760" s="31"/>
      <c r="V760" s="1"/>
      <c r="W760" s="1"/>
      <c r="X760" s="1"/>
      <c r="Y760" s="30"/>
      <c r="Z760" s="211"/>
    </row>
    <row r="761" spans="2:26">
      <c r="B761" s="1"/>
      <c r="C761" s="28"/>
      <c r="D761" s="19"/>
      <c r="G761" s="29"/>
      <c r="H761" s="212"/>
      <c r="I761" s="1"/>
      <c r="K761" s="30"/>
      <c r="L761" s="30"/>
      <c r="M761" s="1"/>
      <c r="N761" s="211"/>
      <c r="O761" s="211"/>
      <c r="P761" s="31"/>
      <c r="Q761" s="211"/>
      <c r="R761" s="211"/>
      <c r="S761" s="31"/>
      <c r="V761" s="1"/>
      <c r="W761" s="1"/>
      <c r="X761" s="1"/>
      <c r="Y761" s="30"/>
      <c r="Z761" s="211"/>
    </row>
    <row r="762" spans="2:26">
      <c r="B762" s="1"/>
      <c r="C762" s="28"/>
      <c r="D762" s="19"/>
      <c r="G762" s="29"/>
      <c r="H762" s="212"/>
      <c r="I762" s="1"/>
      <c r="K762" s="30"/>
      <c r="L762" s="30"/>
      <c r="M762" s="1"/>
      <c r="N762" s="211"/>
      <c r="O762" s="211"/>
      <c r="P762" s="31"/>
      <c r="Q762" s="211"/>
      <c r="R762" s="211"/>
      <c r="S762" s="31"/>
      <c r="V762" s="1"/>
      <c r="W762" s="1"/>
      <c r="X762" s="1"/>
      <c r="Y762" s="30"/>
      <c r="Z762" s="211"/>
    </row>
    <row r="763" spans="2:26">
      <c r="B763" s="1"/>
      <c r="C763" s="28"/>
      <c r="D763" s="19"/>
      <c r="G763" s="29"/>
      <c r="H763" s="212"/>
      <c r="I763" s="1"/>
      <c r="K763" s="30"/>
      <c r="L763" s="30"/>
      <c r="M763" s="1"/>
      <c r="N763" s="211"/>
      <c r="O763" s="211"/>
      <c r="P763" s="31"/>
      <c r="Q763" s="211"/>
      <c r="R763" s="211"/>
      <c r="S763" s="31"/>
      <c r="V763" s="1"/>
      <c r="W763" s="1"/>
      <c r="X763" s="1"/>
      <c r="Y763" s="30"/>
      <c r="Z763" s="211"/>
    </row>
    <row r="764" spans="2:26">
      <c r="B764" s="1"/>
      <c r="C764" s="28"/>
      <c r="D764" s="19"/>
      <c r="G764" s="29"/>
      <c r="H764" s="212"/>
      <c r="I764" s="1"/>
      <c r="K764" s="30"/>
      <c r="L764" s="30"/>
      <c r="M764" s="1"/>
      <c r="N764" s="211"/>
      <c r="O764" s="211"/>
      <c r="P764" s="31"/>
      <c r="Q764" s="211"/>
      <c r="R764" s="211"/>
      <c r="S764" s="31"/>
      <c r="V764" s="1"/>
      <c r="W764" s="1"/>
      <c r="X764" s="1"/>
      <c r="Y764" s="30"/>
      <c r="Z764" s="211"/>
    </row>
    <row r="765" spans="2:26">
      <c r="B765" s="1"/>
      <c r="C765" s="28"/>
      <c r="D765" s="19"/>
      <c r="G765" s="29"/>
      <c r="H765" s="212"/>
      <c r="I765" s="1"/>
      <c r="K765" s="30"/>
      <c r="L765" s="30"/>
      <c r="M765" s="1"/>
      <c r="N765" s="211"/>
      <c r="O765" s="211"/>
      <c r="P765" s="31"/>
      <c r="Q765" s="211"/>
      <c r="R765" s="211"/>
      <c r="S765" s="31"/>
      <c r="V765" s="1"/>
      <c r="W765" s="1"/>
      <c r="X765" s="1"/>
      <c r="Y765" s="30"/>
      <c r="Z765" s="211"/>
    </row>
    <row r="766" spans="2:26">
      <c r="B766" s="1"/>
      <c r="C766" s="28"/>
      <c r="D766" s="19"/>
      <c r="G766" s="29"/>
      <c r="H766" s="212"/>
      <c r="I766" s="1"/>
      <c r="K766" s="30"/>
      <c r="L766" s="30"/>
      <c r="M766" s="1"/>
      <c r="N766" s="211"/>
      <c r="O766" s="211"/>
      <c r="P766" s="31"/>
      <c r="Q766" s="211"/>
      <c r="R766" s="211"/>
      <c r="S766" s="31"/>
      <c r="V766" s="1"/>
      <c r="W766" s="1"/>
      <c r="X766" s="1"/>
      <c r="Y766" s="30"/>
      <c r="Z766" s="211"/>
    </row>
    <row r="767" spans="2:26">
      <c r="B767" s="1"/>
      <c r="C767" s="28"/>
      <c r="D767" s="19"/>
      <c r="G767" s="29"/>
      <c r="H767" s="212"/>
      <c r="I767" s="1"/>
      <c r="K767" s="30"/>
      <c r="L767" s="30"/>
      <c r="M767" s="1"/>
      <c r="N767" s="211"/>
      <c r="O767" s="211"/>
      <c r="P767" s="31"/>
      <c r="Q767" s="211"/>
      <c r="R767" s="211"/>
      <c r="S767" s="31"/>
      <c r="V767" s="1"/>
      <c r="W767" s="1"/>
      <c r="X767" s="1"/>
      <c r="Y767" s="30"/>
      <c r="Z767" s="211"/>
    </row>
    <row r="768" spans="2:26">
      <c r="B768" s="1"/>
      <c r="C768" s="28"/>
      <c r="D768" s="19"/>
      <c r="G768" s="29"/>
      <c r="H768" s="212"/>
      <c r="I768" s="1"/>
      <c r="K768" s="30"/>
      <c r="L768" s="30"/>
      <c r="M768" s="1"/>
      <c r="N768" s="211"/>
      <c r="O768" s="211"/>
      <c r="P768" s="31"/>
      <c r="Q768" s="211"/>
      <c r="R768" s="211"/>
      <c r="S768" s="31"/>
      <c r="V768" s="1"/>
      <c r="W768" s="1"/>
      <c r="X768" s="1"/>
      <c r="Y768" s="30"/>
      <c r="Z768" s="211"/>
    </row>
    <row r="769" spans="2:26">
      <c r="B769" s="1"/>
      <c r="C769" s="28"/>
      <c r="D769" s="19"/>
      <c r="G769" s="29"/>
      <c r="H769" s="212"/>
      <c r="I769" s="1"/>
      <c r="K769" s="30"/>
      <c r="L769" s="30"/>
      <c r="M769" s="1"/>
      <c r="N769" s="211"/>
      <c r="O769" s="211"/>
      <c r="P769" s="31"/>
      <c r="Q769" s="211"/>
      <c r="R769" s="211"/>
      <c r="S769" s="31"/>
      <c r="V769" s="1"/>
      <c r="W769" s="1"/>
      <c r="X769" s="1"/>
      <c r="Y769" s="30"/>
      <c r="Z769" s="211"/>
    </row>
    <row r="770" spans="2:26">
      <c r="B770" s="1"/>
      <c r="C770" s="28"/>
      <c r="D770" s="19"/>
      <c r="G770" s="29"/>
      <c r="H770" s="212"/>
      <c r="I770" s="1"/>
      <c r="K770" s="30"/>
      <c r="L770" s="30"/>
      <c r="M770" s="1"/>
      <c r="N770" s="211"/>
      <c r="O770" s="211"/>
      <c r="P770" s="31"/>
      <c r="Q770" s="211"/>
      <c r="R770" s="211"/>
      <c r="S770" s="31"/>
      <c r="V770" s="1"/>
      <c r="W770" s="1"/>
      <c r="X770" s="1"/>
      <c r="Y770" s="30"/>
      <c r="Z770" s="211"/>
    </row>
    <row r="771" spans="2:26">
      <c r="B771" s="1"/>
      <c r="C771" s="28"/>
      <c r="D771" s="19"/>
      <c r="G771" s="29"/>
      <c r="H771" s="212"/>
      <c r="I771" s="1"/>
      <c r="K771" s="30"/>
      <c r="L771" s="30"/>
      <c r="M771" s="1"/>
      <c r="N771" s="211"/>
      <c r="O771" s="211"/>
      <c r="P771" s="31"/>
      <c r="Q771" s="211"/>
      <c r="R771" s="211"/>
      <c r="S771" s="31"/>
      <c r="V771" s="1"/>
      <c r="W771" s="1"/>
      <c r="X771" s="1"/>
      <c r="Y771" s="30"/>
      <c r="Z771" s="211"/>
    </row>
    <row r="772" spans="2:26">
      <c r="B772" s="1"/>
      <c r="C772" s="28"/>
      <c r="D772" s="19"/>
      <c r="G772" s="29"/>
      <c r="H772" s="212"/>
      <c r="I772" s="1"/>
      <c r="K772" s="30"/>
      <c r="L772" s="30"/>
      <c r="M772" s="1"/>
      <c r="N772" s="211"/>
      <c r="O772" s="211"/>
      <c r="P772" s="31"/>
      <c r="Q772" s="211"/>
      <c r="R772" s="211"/>
      <c r="S772" s="31"/>
      <c r="V772" s="1"/>
      <c r="W772" s="1"/>
      <c r="X772" s="1"/>
      <c r="Y772" s="30"/>
      <c r="Z772" s="211"/>
    </row>
    <row r="773" spans="2:26">
      <c r="B773" s="1"/>
      <c r="C773" s="28"/>
      <c r="D773" s="19"/>
      <c r="G773" s="29"/>
      <c r="H773" s="212"/>
      <c r="I773" s="1"/>
      <c r="K773" s="30"/>
      <c r="L773" s="30"/>
      <c r="M773" s="1"/>
      <c r="N773" s="211"/>
      <c r="O773" s="211"/>
      <c r="P773" s="31"/>
      <c r="Q773" s="211"/>
      <c r="R773" s="211"/>
      <c r="S773" s="31"/>
      <c r="V773" s="1"/>
      <c r="W773" s="1"/>
      <c r="X773" s="1"/>
      <c r="Y773" s="30"/>
      <c r="Z773" s="211"/>
    </row>
    <row r="774" spans="2:26">
      <c r="B774" s="1"/>
      <c r="C774" s="28"/>
      <c r="D774" s="19"/>
      <c r="G774" s="29"/>
      <c r="H774" s="212"/>
      <c r="I774" s="1"/>
      <c r="K774" s="30"/>
      <c r="L774" s="30"/>
      <c r="M774" s="1"/>
      <c r="N774" s="211"/>
      <c r="O774" s="211"/>
      <c r="P774" s="31"/>
      <c r="Q774" s="211"/>
      <c r="R774" s="211"/>
      <c r="S774" s="31"/>
      <c r="V774" s="1"/>
      <c r="W774" s="1"/>
      <c r="X774" s="1"/>
      <c r="Y774" s="30"/>
      <c r="Z774" s="211"/>
    </row>
    <row r="775" spans="2:26">
      <c r="B775" s="1"/>
      <c r="C775" s="28"/>
      <c r="D775" s="19"/>
      <c r="G775" s="29"/>
      <c r="H775" s="212"/>
      <c r="I775" s="1"/>
      <c r="K775" s="30"/>
      <c r="L775" s="30"/>
      <c r="M775" s="1"/>
      <c r="N775" s="211"/>
      <c r="O775" s="211"/>
      <c r="P775" s="31"/>
      <c r="Q775" s="211"/>
      <c r="R775" s="211"/>
      <c r="S775" s="31"/>
      <c r="V775" s="1"/>
      <c r="W775" s="1"/>
      <c r="X775" s="1"/>
      <c r="Y775" s="30"/>
      <c r="Z775" s="211"/>
    </row>
    <row r="776" spans="2:26">
      <c r="B776" s="1"/>
      <c r="C776" s="28"/>
      <c r="D776" s="19"/>
      <c r="G776" s="29"/>
      <c r="H776" s="212"/>
      <c r="I776" s="1"/>
      <c r="K776" s="30"/>
      <c r="L776" s="30"/>
      <c r="M776" s="1"/>
      <c r="N776" s="211"/>
      <c r="O776" s="211"/>
      <c r="P776" s="31"/>
      <c r="Q776" s="211"/>
      <c r="R776" s="211"/>
      <c r="S776" s="31"/>
      <c r="V776" s="1"/>
      <c r="W776" s="1"/>
      <c r="X776" s="1"/>
      <c r="Y776" s="30"/>
      <c r="Z776" s="211"/>
    </row>
    <row r="777" spans="2:26">
      <c r="B777" s="1"/>
      <c r="C777" s="28"/>
      <c r="D777" s="19"/>
      <c r="G777" s="29"/>
      <c r="H777" s="212"/>
      <c r="I777" s="1"/>
      <c r="K777" s="30"/>
      <c r="L777" s="30"/>
      <c r="M777" s="1"/>
      <c r="N777" s="211"/>
      <c r="O777" s="211"/>
      <c r="P777" s="31"/>
      <c r="Q777" s="211"/>
      <c r="R777" s="211"/>
      <c r="S777" s="31"/>
      <c r="V777" s="1"/>
      <c r="W777" s="1"/>
      <c r="X777" s="1"/>
      <c r="Y777" s="30"/>
      <c r="Z777" s="211"/>
    </row>
    <row r="778" spans="2:26">
      <c r="B778" s="1"/>
      <c r="C778" s="28"/>
      <c r="D778" s="19"/>
      <c r="G778" s="29"/>
      <c r="H778" s="212"/>
      <c r="I778" s="1"/>
      <c r="K778" s="30"/>
      <c r="L778" s="30"/>
      <c r="M778" s="1"/>
      <c r="N778" s="211"/>
      <c r="O778" s="211"/>
      <c r="P778" s="31"/>
      <c r="Q778" s="211"/>
      <c r="R778" s="211"/>
      <c r="S778" s="31"/>
      <c r="V778" s="1"/>
      <c r="W778" s="1"/>
      <c r="X778" s="1"/>
      <c r="Y778" s="30"/>
      <c r="Z778" s="211"/>
    </row>
    <row r="779" spans="2:26">
      <c r="B779" s="1"/>
      <c r="C779" s="28"/>
      <c r="D779" s="19"/>
      <c r="G779" s="29"/>
      <c r="H779" s="212"/>
      <c r="I779" s="1"/>
      <c r="K779" s="30"/>
      <c r="L779" s="30"/>
      <c r="M779" s="1"/>
      <c r="N779" s="211"/>
      <c r="O779" s="211"/>
      <c r="P779" s="31"/>
      <c r="Q779" s="211"/>
      <c r="R779" s="211"/>
      <c r="S779" s="31"/>
      <c r="V779" s="1"/>
      <c r="W779" s="1"/>
      <c r="X779" s="1"/>
      <c r="Y779" s="30"/>
      <c r="Z779" s="211"/>
    </row>
    <row r="780" spans="2:26">
      <c r="B780" s="1"/>
      <c r="C780" s="28"/>
      <c r="D780" s="19"/>
      <c r="G780" s="29"/>
      <c r="H780" s="212"/>
      <c r="I780" s="1"/>
      <c r="K780" s="30"/>
      <c r="L780" s="30"/>
      <c r="M780" s="1"/>
      <c r="N780" s="211"/>
      <c r="O780" s="211"/>
      <c r="P780" s="31"/>
      <c r="Q780" s="211"/>
      <c r="R780" s="211"/>
      <c r="S780" s="31"/>
      <c r="V780" s="1"/>
      <c r="W780" s="1"/>
      <c r="X780" s="1"/>
      <c r="Y780" s="30"/>
      <c r="Z780" s="211"/>
    </row>
    <row r="781" spans="2:26">
      <c r="B781" s="1"/>
      <c r="C781" s="28"/>
      <c r="D781" s="19"/>
      <c r="G781" s="29"/>
      <c r="H781" s="212"/>
      <c r="I781" s="1"/>
      <c r="K781" s="30"/>
      <c r="L781" s="30"/>
      <c r="M781" s="1"/>
      <c r="N781" s="211"/>
      <c r="O781" s="211"/>
      <c r="P781" s="31"/>
      <c r="Q781" s="211"/>
      <c r="R781" s="211"/>
      <c r="S781" s="31"/>
      <c r="V781" s="1"/>
      <c r="W781" s="1"/>
      <c r="X781" s="1"/>
      <c r="Y781" s="30"/>
      <c r="Z781" s="211"/>
    </row>
    <row r="782" spans="2:26">
      <c r="B782" s="1"/>
      <c r="C782" s="28"/>
      <c r="D782" s="19"/>
      <c r="G782" s="29"/>
      <c r="H782" s="212"/>
      <c r="I782" s="1"/>
      <c r="K782" s="30"/>
      <c r="L782" s="30"/>
      <c r="M782" s="1"/>
      <c r="N782" s="211"/>
      <c r="O782" s="211"/>
      <c r="P782" s="31"/>
      <c r="Q782" s="211"/>
      <c r="R782" s="211"/>
      <c r="S782" s="31"/>
      <c r="V782" s="1"/>
      <c r="W782" s="1"/>
      <c r="X782" s="1"/>
      <c r="Y782" s="30"/>
      <c r="Z782" s="211"/>
    </row>
    <row r="783" spans="2:26">
      <c r="B783" s="1"/>
      <c r="C783" s="28"/>
      <c r="D783" s="19"/>
      <c r="G783" s="29"/>
      <c r="H783" s="212"/>
      <c r="I783" s="1"/>
      <c r="K783" s="30"/>
      <c r="L783" s="30"/>
      <c r="M783" s="1"/>
      <c r="N783" s="211"/>
      <c r="O783" s="211"/>
      <c r="P783" s="31"/>
      <c r="Q783" s="211"/>
      <c r="R783" s="211"/>
      <c r="S783" s="31"/>
      <c r="V783" s="1"/>
      <c r="W783" s="1"/>
      <c r="X783" s="1"/>
      <c r="Y783" s="30"/>
      <c r="Z783" s="211"/>
    </row>
    <row r="784" spans="2:26">
      <c r="B784" s="1"/>
      <c r="C784" s="28"/>
      <c r="D784" s="19"/>
      <c r="G784" s="29"/>
      <c r="H784" s="212"/>
      <c r="I784" s="1"/>
      <c r="K784" s="30"/>
      <c r="L784" s="30"/>
      <c r="M784" s="1"/>
      <c r="N784" s="211"/>
      <c r="O784" s="211"/>
      <c r="P784" s="31"/>
      <c r="Q784" s="211"/>
      <c r="R784" s="211"/>
      <c r="S784" s="31"/>
      <c r="V784" s="1"/>
      <c r="W784" s="1"/>
      <c r="X784" s="1"/>
      <c r="Y784" s="30"/>
      <c r="Z784" s="211"/>
    </row>
    <row r="785" spans="2:26">
      <c r="B785" s="1"/>
      <c r="C785" s="28"/>
      <c r="D785" s="19"/>
      <c r="G785" s="29"/>
      <c r="H785" s="212"/>
      <c r="I785" s="1"/>
      <c r="K785" s="30"/>
      <c r="L785" s="30"/>
      <c r="M785" s="1"/>
      <c r="N785" s="211"/>
      <c r="O785" s="211"/>
      <c r="P785" s="31"/>
      <c r="Q785" s="211"/>
      <c r="R785" s="211"/>
      <c r="S785" s="31"/>
      <c r="V785" s="1"/>
      <c r="W785" s="1"/>
      <c r="X785" s="1"/>
      <c r="Y785" s="30"/>
      <c r="Z785" s="211"/>
    </row>
    <row r="786" spans="2:26">
      <c r="B786" s="1"/>
      <c r="C786" s="28"/>
      <c r="D786" s="19"/>
      <c r="G786" s="29"/>
      <c r="H786" s="212"/>
      <c r="I786" s="1"/>
      <c r="K786" s="30"/>
      <c r="L786" s="30"/>
      <c r="M786" s="1"/>
      <c r="N786" s="211"/>
      <c r="O786" s="211"/>
      <c r="P786" s="31"/>
      <c r="Q786" s="211"/>
      <c r="R786" s="211"/>
      <c r="S786" s="31"/>
      <c r="V786" s="1"/>
      <c r="W786" s="1"/>
      <c r="X786" s="1"/>
      <c r="Y786" s="30"/>
      <c r="Z786" s="211"/>
    </row>
    <row r="787" spans="2:26">
      <c r="B787" s="1"/>
      <c r="C787" s="28"/>
      <c r="D787" s="19"/>
      <c r="G787" s="29"/>
      <c r="H787" s="212"/>
      <c r="I787" s="1"/>
      <c r="K787" s="30"/>
      <c r="L787" s="30"/>
      <c r="M787" s="1"/>
      <c r="N787" s="211"/>
      <c r="O787" s="211"/>
      <c r="P787" s="31"/>
      <c r="Q787" s="211"/>
      <c r="R787" s="211"/>
      <c r="S787" s="31"/>
      <c r="V787" s="1"/>
      <c r="W787" s="1"/>
      <c r="X787" s="1"/>
      <c r="Y787" s="30"/>
      <c r="Z787" s="211"/>
    </row>
    <row r="788" spans="2:26">
      <c r="B788" s="1"/>
      <c r="C788" s="28"/>
      <c r="D788" s="19"/>
      <c r="G788" s="29"/>
      <c r="H788" s="212"/>
      <c r="I788" s="1"/>
      <c r="K788" s="30"/>
      <c r="L788" s="30"/>
      <c r="M788" s="1"/>
      <c r="N788" s="211"/>
      <c r="O788" s="211"/>
      <c r="P788" s="31"/>
      <c r="Q788" s="211"/>
      <c r="R788" s="211"/>
      <c r="S788" s="31"/>
      <c r="V788" s="1"/>
      <c r="W788" s="1"/>
      <c r="X788" s="1"/>
      <c r="Y788" s="30"/>
      <c r="Z788" s="211"/>
    </row>
    <row r="789" spans="2:26">
      <c r="B789" s="1"/>
      <c r="C789" s="28"/>
      <c r="D789" s="19"/>
      <c r="G789" s="29"/>
      <c r="H789" s="212"/>
      <c r="I789" s="1"/>
      <c r="K789" s="30"/>
      <c r="L789" s="30"/>
      <c r="M789" s="1"/>
      <c r="N789" s="211"/>
      <c r="O789" s="211"/>
      <c r="P789" s="31"/>
      <c r="Q789" s="211"/>
      <c r="R789" s="211"/>
      <c r="S789" s="31"/>
      <c r="V789" s="1"/>
      <c r="W789" s="1"/>
      <c r="X789" s="1"/>
      <c r="Y789" s="30"/>
      <c r="Z789" s="211"/>
    </row>
    <row r="790" spans="2:26">
      <c r="B790" s="1"/>
      <c r="C790" s="28"/>
      <c r="D790" s="19"/>
      <c r="G790" s="29"/>
      <c r="H790" s="212"/>
      <c r="I790" s="1"/>
      <c r="K790" s="30"/>
      <c r="L790" s="30"/>
      <c r="M790" s="1"/>
      <c r="N790" s="211"/>
      <c r="O790" s="211"/>
      <c r="P790" s="31"/>
      <c r="Q790" s="211"/>
      <c r="R790" s="211"/>
      <c r="S790" s="31"/>
      <c r="V790" s="1"/>
      <c r="W790" s="1"/>
      <c r="X790" s="1"/>
      <c r="Y790" s="30"/>
      <c r="Z790" s="211"/>
    </row>
    <row r="791" spans="2:26">
      <c r="B791" s="1"/>
      <c r="C791" s="28"/>
      <c r="D791" s="19"/>
      <c r="G791" s="29"/>
      <c r="H791" s="212"/>
      <c r="I791" s="1"/>
      <c r="K791" s="30"/>
      <c r="L791" s="30"/>
      <c r="M791" s="1"/>
      <c r="N791" s="211"/>
      <c r="O791" s="211"/>
      <c r="P791" s="31"/>
      <c r="Q791" s="211"/>
      <c r="R791" s="211"/>
      <c r="S791" s="31"/>
      <c r="V791" s="1"/>
      <c r="W791" s="1"/>
      <c r="X791" s="1"/>
      <c r="Y791" s="30"/>
      <c r="Z791" s="211"/>
    </row>
    <row r="792" spans="2:26">
      <c r="B792" s="1"/>
      <c r="C792" s="28"/>
      <c r="D792" s="19"/>
      <c r="G792" s="29"/>
      <c r="H792" s="212"/>
      <c r="I792" s="1"/>
      <c r="K792" s="30"/>
      <c r="L792" s="30"/>
      <c r="M792" s="1"/>
      <c r="N792" s="211"/>
      <c r="O792" s="211"/>
      <c r="P792" s="31"/>
      <c r="Q792" s="211"/>
      <c r="R792" s="211"/>
      <c r="S792" s="31"/>
      <c r="V792" s="1"/>
      <c r="W792" s="1"/>
      <c r="X792" s="1"/>
      <c r="Y792" s="30"/>
      <c r="Z792" s="211"/>
    </row>
    <row r="793" spans="2:26">
      <c r="B793" s="1"/>
      <c r="C793" s="28"/>
      <c r="D793" s="19"/>
      <c r="G793" s="29"/>
      <c r="H793" s="212"/>
      <c r="I793" s="1"/>
      <c r="K793" s="30"/>
      <c r="L793" s="30"/>
      <c r="M793" s="1"/>
      <c r="N793" s="211"/>
      <c r="O793" s="211"/>
      <c r="P793" s="31"/>
      <c r="Q793" s="211"/>
      <c r="R793" s="211"/>
      <c r="S793" s="31"/>
      <c r="V793" s="1"/>
      <c r="W793" s="1"/>
      <c r="X793" s="1"/>
      <c r="Y793" s="30"/>
      <c r="Z793" s="211"/>
    </row>
    <row r="794" spans="2:26">
      <c r="B794" s="1"/>
      <c r="C794" s="28"/>
      <c r="D794" s="19"/>
      <c r="G794" s="29"/>
      <c r="H794" s="212"/>
      <c r="I794" s="1"/>
      <c r="K794" s="30"/>
      <c r="L794" s="30"/>
      <c r="M794" s="1"/>
      <c r="N794" s="211"/>
      <c r="O794" s="211"/>
      <c r="P794" s="31"/>
      <c r="Q794" s="211"/>
      <c r="R794" s="211"/>
      <c r="S794" s="31"/>
      <c r="V794" s="1"/>
      <c r="W794" s="1"/>
      <c r="X794" s="1"/>
      <c r="Y794" s="30"/>
      <c r="Z794" s="211"/>
    </row>
    <row r="795" spans="2:26">
      <c r="B795" s="1"/>
      <c r="C795" s="28"/>
      <c r="D795" s="19"/>
      <c r="G795" s="29"/>
      <c r="H795" s="212"/>
      <c r="I795" s="1"/>
      <c r="K795" s="30"/>
      <c r="L795" s="30"/>
      <c r="M795" s="1"/>
      <c r="N795" s="211"/>
      <c r="O795" s="211"/>
      <c r="P795" s="31"/>
      <c r="Q795" s="211"/>
      <c r="R795" s="211"/>
      <c r="S795" s="31"/>
      <c r="V795" s="1"/>
      <c r="W795" s="1"/>
      <c r="X795" s="1"/>
      <c r="Y795" s="30"/>
      <c r="Z795" s="211"/>
    </row>
    <row r="796" spans="2:26">
      <c r="B796" s="1"/>
      <c r="C796" s="28"/>
      <c r="D796" s="19"/>
      <c r="G796" s="29"/>
      <c r="H796" s="212"/>
      <c r="I796" s="1"/>
      <c r="K796" s="30"/>
      <c r="L796" s="30"/>
      <c r="M796" s="1"/>
      <c r="N796" s="211"/>
      <c r="O796" s="211"/>
      <c r="P796" s="31"/>
      <c r="Q796" s="211"/>
      <c r="R796" s="211"/>
      <c r="S796" s="31"/>
      <c r="V796" s="1"/>
      <c r="W796" s="1"/>
      <c r="X796" s="1"/>
      <c r="Y796" s="30"/>
      <c r="Z796" s="211"/>
    </row>
    <row r="797" spans="2:26">
      <c r="B797" s="1"/>
      <c r="C797" s="28"/>
      <c r="D797" s="19"/>
      <c r="G797" s="29"/>
      <c r="H797" s="212"/>
      <c r="I797" s="1"/>
      <c r="K797" s="30"/>
      <c r="L797" s="30"/>
      <c r="M797" s="1"/>
      <c r="N797" s="211"/>
      <c r="O797" s="211"/>
      <c r="P797" s="31"/>
      <c r="Q797" s="211"/>
      <c r="R797" s="211"/>
      <c r="S797" s="31"/>
      <c r="V797" s="1"/>
      <c r="W797" s="1"/>
      <c r="X797" s="1"/>
      <c r="Y797" s="30"/>
      <c r="Z797" s="211"/>
    </row>
    <row r="798" spans="2:26">
      <c r="B798" s="1"/>
      <c r="C798" s="28"/>
      <c r="D798" s="19"/>
      <c r="G798" s="29"/>
      <c r="H798" s="212"/>
      <c r="I798" s="1"/>
      <c r="K798" s="30"/>
      <c r="L798" s="30"/>
      <c r="M798" s="1"/>
      <c r="N798" s="211"/>
      <c r="O798" s="211"/>
      <c r="P798" s="31"/>
      <c r="Q798" s="211"/>
      <c r="R798" s="211"/>
      <c r="S798" s="31"/>
      <c r="V798" s="1"/>
      <c r="W798" s="1"/>
      <c r="X798" s="1"/>
      <c r="Y798" s="30"/>
      <c r="Z798" s="211"/>
    </row>
    <row r="799" spans="2:26">
      <c r="B799" s="1"/>
      <c r="C799" s="28"/>
      <c r="D799" s="19"/>
      <c r="G799" s="29"/>
      <c r="H799" s="212"/>
      <c r="I799" s="1"/>
      <c r="K799" s="30"/>
      <c r="L799" s="30"/>
      <c r="M799" s="1"/>
      <c r="N799" s="211"/>
      <c r="O799" s="211"/>
      <c r="P799" s="31"/>
      <c r="Q799" s="211"/>
      <c r="R799" s="211"/>
      <c r="S799" s="31"/>
      <c r="V799" s="1"/>
      <c r="W799" s="1"/>
      <c r="X799" s="1"/>
      <c r="Y799" s="30"/>
      <c r="Z799" s="211"/>
    </row>
    <row r="800" spans="2:26">
      <c r="B800" s="1"/>
      <c r="C800" s="28"/>
      <c r="D800" s="19"/>
      <c r="G800" s="29"/>
      <c r="H800" s="212"/>
      <c r="I800" s="1"/>
      <c r="K800" s="30"/>
      <c r="L800" s="30"/>
      <c r="M800" s="1"/>
      <c r="N800" s="211"/>
      <c r="O800" s="211"/>
      <c r="P800" s="31"/>
      <c r="Q800" s="211"/>
      <c r="R800" s="211"/>
      <c r="S800" s="31"/>
      <c r="V800" s="1"/>
      <c r="W800" s="1"/>
      <c r="X800" s="1"/>
      <c r="Y800" s="30"/>
      <c r="Z800" s="211"/>
    </row>
    <row r="801" spans="2:26">
      <c r="B801" s="1"/>
      <c r="C801" s="28"/>
      <c r="D801" s="19"/>
      <c r="G801" s="29"/>
      <c r="H801" s="212"/>
      <c r="I801" s="1"/>
      <c r="K801" s="30"/>
      <c r="L801" s="30"/>
      <c r="M801" s="1"/>
      <c r="N801" s="211"/>
      <c r="O801" s="211"/>
      <c r="P801" s="31"/>
      <c r="Q801" s="211"/>
      <c r="R801" s="211"/>
      <c r="S801" s="31"/>
      <c r="V801" s="1"/>
      <c r="W801" s="1"/>
      <c r="X801" s="1"/>
      <c r="Y801" s="30"/>
      <c r="Z801" s="211"/>
    </row>
    <row r="802" spans="2:26">
      <c r="B802" s="1"/>
      <c r="C802" s="28"/>
      <c r="D802" s="19"/>
      <c r="G802" s="29"/>
      <c r="H802" s="212"/>
      <c r="I802" s="1"/>
      <c r="K802" s="30"/>
      <c r="L802" s="30"/>
      <c r="M802" s="1"/>
      <c r="N802" s="211"/>
      <c r="O802" s="211"/>
      <c r="P802" s="31"/>
      <c r="Q802" s="211"/>
      <c r="R802" s="211"/>
      <c r="S802" s="31"/>
      <c r="V802" s="1"/>
      <c r="W802" s="1"/>
      <c r="X802" s="1"/>
      <c r="Y802" s="30"/>
      <c r="Z802" s="211"/>
    </row>
    <row r="803" spans="2:26">
      <c r="B803" s="1"/>
      <c r="C803" s="28"/>
      <c r="D803" s="19"/>
      <c r="G803" s="29"/>
      <c r="H803" s="212"/>
      <c r="I803" s="1"/>
      <c r="K803" s="30"/>
      <c r="L803" s="30"/>
      <c r="M803" s="1"/>
      <c r="N803" s="211"/>
      <c r="O803" s="211"/>
      <c r="P803" s="31"/>
      <c r="Q803" s="211"/>
      <c r="R803" s="211"/>
      <c r="S803" s="31"/>
      <c r="V803" s="1"/>
      <c r="W803" s="1"/>
      <c r="X803" s="1"/>
      <c r="Y803" s="30"/>
      <c r="Z803" s="211"/>
    </row>
    <row r="804" spans="2:26">
      <c r="B804" s="1"/>
      <c r="C804" s="28"/>
      <c r="D804" s="19"/>
      <c r="G804" s="29"/>
      <c r="H804" s="212"/>
      <c r="I804" s="1"/>
      <c r="K804" s="30"/>
      <c r="L804" s="30"/>
      <c r="M804" s="1"/>
      <c r="N804" s="211"/>
      <c r="O804" s="211"/>
      <c r="P804" s="31"/>
      <c r="Q804" s="211"/>
      <c r="R804" s="211"/>
      <c r="S804" s="31"/>
      <c r="V804" s="1"/>
      <c r="W804" s="1"/>
      <c r="X804" s="1"/>
      <c r="Y804" s="30"/>
      <c r="Z804" s="211"/>
    </row>
    <row r="805" spans="2:26">
      <c r="B805" s="1"/>
      <c r="C805" s="28"/>
      <c r="D805" s="19"/>
      <c r="G805" s="29"/>
      <c r="H805" s="212"/>
      <c r="I805" s="1"/>
      <c r="K805" s="30"/>
      <c r="L805" s="30"/>
      <c r="M805" s="1"/>
      <c r="N805" s="211"/>
      <c r="O805" s="211"/>
      <c r="P805" s="31"/>
      <c r="Q805" s="211"/>
      <c r="R805" s="211"/>
      <c r="S805" s="31"/>
      <c r="V805" s="1"/>
      <c r="W805" s="1"/>
      <c r="X805" s="1"/>
      <c r="Y805" s="30"/>
      <c r="Z805" s="211"/>
    </row>
    <row r="806" spans="2:26">
      <c r="B806" s="1"/>
      <c r="C806" s="28"/>
      <c r="D806" s="19"/>
      <c r="G806" s="29"/>
      <c r="H806" s="212"/>
      <c r="I806" s="1"/>
      <c r="K806" s="30"/>
      <c r="L806" s="30"/>
      <c r="M806" s="1"/>
      <c r="N806" s="211"/>
      <c r="O806" s="211"/>
      <c r="P806" s="31"/>
      <c r="Q806" s="211"/>
      <c r="R806" s="211"/>
      <c r="S806" s="31"/>
      <c r="V806" s="1"/>
      <c r="W806" s="1"/>
      <c r="X806" s="1"/>
      <c r="Y806" s="30"/>
      <c r="Z806" s="211"/>
    </row>
    <row r="807" spans="2:26">
      <c r="B807" s="1"/>
      <c r="C807" s="28"/>
      <c r="D807" s="19"/>
      <c r="G807" s="29"/>
      <c r="H807" s="212"/>
      <c r="I807" s="1"/>
      <c r="K807" s="30"/>
      <c r="L807" s="30"/>
      <c r="M807" s="1"/>
      <c r="N807" s="211"/>
      <c r="O807" s="211"/>
      <c r="P807" s="31"/>
      <c r="Q807" s="211"/>
      <c r="R807" s="211"/>
      <c r="S807" s="31"/>
      <c r="V807" s="1"/>
      <c r="W807" s="1"/>
      <c r="X807" s="1"/>
      <c r="Y807" s="30"/>
      <c r="Z807" s="211"/>
    </row>
    <row r="808" spans="2:26">
      <c r="B808" s="1"/>
      <c r="C808" s="28"/>
      <c r="D808" s="19"/>
      <c r="G808" s="29"/>
      <c r="H808" s="212"/>
      <c r="I808" s="1"/>
      <c r="K808" s="30"/>
      <c r="L808" s="30"/>
      <c r="M808" s="1"/>
      <c r="N808" s="211"/>
      <c r="O808" s="211"/>
      <c r="P808" s="31"/>
      <c r="Q808" s="211"/>
      <c r="R808" s="211"/>
      <c r="S808" s="31"/>
      <c r="V808" s="1"/>
      <c r="W808" s="1"/>
      <c r="X808" s="1"/>
      <c r="Y808" s="30"/>
      <c r="Z808" s="211"/>
    </row>
    <row r="809" spans="2:26">
      <c r="B809" s="1"/>
      <c r="C809" s="28"/>
      <c r="D809" s="19"/>
      <c r="G809" s="29"/>
      <c r="H809" s="212"/>
      <c r="I809" s="1"/>
      <c r="K809" s="30"/>
      <c r="L809" s="30"/>
      <c r="M809" s="1"/>
      <c r="N809" s="211"/>
      <c r="O809" s="211"/>
      <c r="P809" s="31"/>
      <c r="Q809" s="211"/>
      <c r="R809" s="211"/>
      <c r="S809" s="31"/>
      <c r="V809" s="1"/>
      <c r="W809" s="1"/>
      <c r="X809" s="1"/>
      <c r="Y809" s="30"/>
      <c r="Z809" s="211"/>
    </row>
    <row r="810" spans="2:26">
      <c r="B810" s="1"/>
      <c r="C810" s="28"/>
      <c r="D810" s="19"/>
      <c r="G810" s="29"/>
      <c r="H810" s="212"/>
      <c r="I810" s="1"/>
      <c r="K810" s="30"/>
      <c r="L810" s="30"/>
      <c r="M810" s="1"/>
      <c r="N810" s="211"/>
      <c r="O810" s="211"/>
      <c r="P810" s="31"/>
      <c r="Q810" s="211"/>
      <c r="R810" s="211"/>
      <c r="S810" s="31"/>
      <c r="V810" s="1"/>
      <c r="W810" s="1"/>
      <c r="X810" s="1"/>
      <c r="Y810" s="30"/>
      <c r="Z810" s="211"/>
    </row>
    <row r="811" spans="2:26">
      <c r="B811" s="1"/>
      <c r="C811" s="28"/>
      <c r="D811" s="19"/>
      <c r="G811" s="29"/>
      <c r="H811" s="212"/>
      <c r="I811" s="1"/>
      <c r="K811" s="30"/>
      <c r="L811" s="30"/>
      <c r="M811" s="1"/>
      <c r="N811" s="211"/>
      <c r="O811" s="211"/>
      <c r="P811" s="31"/>
      <c r="Q811" s="211"/>
      <c r="R811" s="211"/>
      <c r="S811" s="31"/>
      <c r="V811" s="1"/>
      <c r="W811" s="1"/>
      <c r="X811" s="1"/>
      <c r="Y811" s="30"/>
      <c r="Z811" s="211"/>
    </row>
    <row r="812" spans="2:26">
      <c r="B812" s="1"/>
      <c r="C812" s="28"/>
      <c r="D812" s="19"/>
      <c r="G812" s="29"/>
      <c r="H812" s="212"/>
      <c r="I812" s="1"/>
      <c r="K812" s="30"/>
      <c r="L812" s="30"/>
      <c r="M812" s="1"/>
      <c r="N812" s="211"/>
      <c r="O812" s="211"/>
      <c r="P812" s="31"/>
      <c r="Q812" s="211"/>
      <c r="R812" s="211"/>
      <c r="S812" s="31"/>
      <c r="V812" s="1"/>
      <c r="W812" s="1"/>
      <c r="X812" s="1"/>
      <c r="Y812" s="30"/>
      <c r="Z812" s="211"/>
    </row>
    <row r="813" spans="2:26">
      <c r="B813" s="1"/>
      <c r="C813" s="28"/>
      <c r="D813" s="19"/>
      <c r="G813" s="29"/>
      <c r="H813" s="212"/>
      <c r="I813" s="1"/>
      <c r="K813" s="30"/>
      <c r="L813" s="30"/>
      <c r="M813" s="1"/>
      <c r="N813" s="211"/>
      <c r="O813" s="211"/>
      <c r="P813" s="31"/>
      <c r="Q813" s="211"/>
      <c r="R813" s="211"/>
      <c r="S813" s="31"/>
      <c r="V813" s="1"/>
      <c r="W813" s="1"/>
      <c r="X813" s="1"/>
      <c r="Y813" s="30"/>
      <c r="Z813" s="211"/>
    </row>
    <row r="814" spans="2:26">
      <c r="B814" s="1"/>
      <c r="C814" s="28"/>
      <c r="D814" s="19"/>
      <c r="G814" s="29"/>
      <c r="H814" s="212"/>
      <c r="I814" s="1"/>
      <c r="K814" s="30"/>
      <c r="L814" s="30"/>
      <c r="M814" s="1"/>
      <c r="N814" s="211"/>
      <c r="O814" s="211"/>
      <c r="P814" s="31"/>
      <c r="Q814" s="211"/>
      <c r="R814" s="211"/>
      <c r="S814" s="31"/>
      <c r="V814" s="1"/>
      <c r="W814" s="1"/>
      <c r="X814" s="1"/>
      <c r="Y814" s="30"/>
      <c r="Z814" s="211"/>
    </row>
    <row r="815" spans="2:26">
      <c r="B815" s="1"/>
      <c r="C815" s="28"/>
      <c r="D815" s="19"/>
      <c r="G815" s="29"/>
      <c r="H815" s="212"/>
      <c r="I815" s="1"/>
      <c r="K815" s="30"/>
      <c r="L815" s="30"/>
      <c r="M815" s="1"/>
      <c r="N815" s="211"/>
      <c r="O815" s="211"/>
      <c r="P815" s="31"/>
      <c r="Q815" s="211"/>
      <c r="R815" s="211"/>
      <c r="S815" s="31"/>
      <c r="V815" s="1"/>
      <c r="W815" s="1"/>
      <c r="X815" s="1"/>
      <c r="Y815" s="30"/>
      <c r="Z815" s="211"/>
    </row>
    <row r="816" spans="2:26">
      <c r="B816" s="1"/>
      <c r="C816" s="28"/>
      <c r="D816" s="19"/>
      <c r="G816" s="29"/>
      <c r="H816" s="212"/>
      <c r="I816" s="1"/>
      <c r="K816" s="30"/>
      <c r="L816" s="30"/>
      <c r="M816" s="1"/>
      <c r="N816" s="211"/>
      <c r="O816" s="211"/>
      <c r="P816" s="31"/>
      <c r="Q816" s="211"/>
      <c r="R816" s="211"/>
      <c r="S816" s="31"/>
      <c r="V816" s="1"/>
      <c r="W816" s="1"/>
      <c r="X816" s="1"/>
      <c r="Y816" s="30"/>
      <c r="Z816" s="211"/>
    </row>
    <row r="817" spans="2:26">
      <c r="B817" s="1"/>
      <c r="C817" s="28"/>
      <c r="D817" s="19"/>
      <c r="G817" s="29"/>
      <c r="H817" s="212"/>
      <c r="I817" s="1"/>
      <c r="K817" s="30"/>
      <c r="L817" s="30"/>
      <c r="M817" s="1"/>
      <c r="N817" s="211"/>
      <c r="O817" s="211"/>
      <c r="P817" s="31"/>
      <c r="Q817" s="211"/>
      <c r="R817" s="211"/>
      <c r="S817" s="31"/>
      <c r="V817" s="1"/>
      <c r="W817" s="1"/>
      <c r="X817" s="1"/>
      <c r="Y817" s="30"/>
      <c r="Z817" s="211"/>
    </row>
    <row r="818" spans="2:26">
      <c r="B818" s="1"/>
      <c r="C818" s="28"/>
      <c r="D818" s="19"/>
      <c r="G818" s="29"/>
      <c r="H818" s="212"/>
      <c r="I818" s="1"/>
      <c r="K818" s="30"/>
      <c r="L818" s="30"/>
      <c r="M818" s="1"/>
      <c r="N818" s="211"/>
      <c r="O818" s="211"/>
      <c r="P818" s="31"/>
      <c r="Q818" s="211"/>
      <c r="R818" s="211"/>
      <c r="S818" s="31"/>
      <c r="V818" s="1"/>
      <c r="W818" s="1"/>
      <c r="X818" s="1"/>
      <c r="Y818" s="30"/>
      <c r="Z818" s="211"/>
    </row>
    <row r="819" spans="2:26">
      <c r="B819" s="1"/>
      <c r="C819" s="28"/>
      <c r="D819" s="19"/>
      <c r="G819" s="29"/>
      <c r="H819" s="212"/>
      <c r="I819" s="1"/>
      <c r="K819" s="30"/>
      <c r="L819" s="30"/>
      <c r="M819" s="1"/>
      <c r="N819" s="211"/>
      <c r="O819" s="211"/>
      <c r="P819" s="31"/>
      <c r="Q819" s="211"/>
      <c r="R819" s="211"/>
      <c r="S819" s="31"/>
      <c r="V819" s="1"/>
      <c r="W819" s="1"/>
      <c r="X819" s="1"/>
      <c r="Y819" s="30"/>
      <c r="Z819" s="211"/>
    </row>
    <row r="820" spans="2:26">
      <c r="B820" s="1"/>
      <c r="C820" s="28"/>
      <c r="D820" s="19"/>
      <c r="G820" s="29"/>
      <c r="H820" s="212"/>
      <c r="I820" s="1"/>
      <c r="K820" s="30"/>
      <c r="L820" s="30"/>
      <c r="M820" s="1"/>
      <c r="N820" s="211"/>
      <c r="O820" s="211"/>
      <c r="P820" s="31"/>
      <c r="Q820" s="211"/>
      <c r="R820" s="211"/>
      <c r="S820" s="31"/>
      <c r="V820" s="1"/>
      <c r="W820" s="1"/>
      <c r="X820" s="1"/>
      <c r="Y820" s="30"/>
      <c r="Z820" s="211"/>
    </row>
    <row r="821" spans="2:26">
      <c r="B821" s="1"/>
      <c r="C821" s="28"/>
      <c r="D821" s="19"/>
      <c r="G821" s="29"/>
      <c r="H821" s="212"/>
      <c r="I821" s="1"/>
      <c r="K821" s="30"/>
      <c r="L821" s="30"/>
      <c r="M821" s="1"/>
      <c r="N821" s="211"/>
      <c r="O821" s="211"/>
      <c r="P821" s="31"/>
      <c r="Q821" s="211"/>
      <c r="R821" s="211"/>
      <c r="S821" s="31"/>
      <c r="V821" s="1"/>
      <c r="W821" s="1"/>
      <c r="X821" s="1"/>
      <c r="Y821" s="30"/>
      <c r="Z821" s="211"/>
    </row>
    <row r="822" spans="2:26">
      <c r="B822" s="1"/>
      <c r="C822" s="28"/>
      <c r="D822" s="19"/>
      <c r="G822" s="29"/>
      <c r="H822" s="212"/>
      <c r="I822" s="1"/>
      <c r="K822" s="30"/>
      <c r="L822" s="30"/>
      <c r="M822" s="1"/>
      <c r="N822" s="211"/>
      <c r="O822" s="211"/>
      <c r="P822" s="31"/>
      <c r="Q822" s="211"/>
      <c r="R822" s="211"/>
      <c r="S822" s="31"/>
      <c r="V822" s="1"/>
      <c r="W822" s="1"/>
      <c r="X822" s="1"/>
      <c r="Y822" s="30"/>
      <c r="Z822" s="211"/>
    </row>
    <row r="823" spans="2:26">
      <c r="B823" s="1"/>
      <c r="C823" s="28"/>
      <c r="D823" s="19"/>
      <c r="G823" s="29"/>
      <c r="H823" s="212"/>
      <c r="I823" s="1"/>
      <c r="K823" s="30"/>
      <c r="L823" s="30"/>
      <c r="M823" s="1"/>
      <c r="N823" s="211"/>
      <c r="O823" s="211"/>
      <c r="P823" s="31"/>
      <c r="Q823" s="211"/>
      <c r="R823" s="211"/>
      <c r="S823" s="31"/>
      <c r="V823" s="1"/>
      <c r="W823" s="1"/>
      <c r="X823" s="1"/>
      <c r="Y823" s="30"/>
      <c r="Z823" s="211"/>
    </row>
    <row r="824" spans="2:26">
      <c r="B824" s="1"/>
      <c r="C824" s="28"/>
      <c r="D824" s="19"/>
      <c r="G824" s="29"/>
      <c r="H824" s="212"/>
      <c r="I824" s="1"/>
      <c r="K824" s="30"/>
      <c r="L824" s="30"/>
      <c r="M824" s="1"/>
      <c r="N824" s="211"/>
      <c r="O824" s="211"/>
      <c r="P824" s="31"/>
      <c r="Q824" s="211"/>
      <c r="R824" s="211"/>
      <c r="S824" s="31"/>
      <c r="V824" s="1"/>
      <c r="W824" s="1"/>
      <c r="X824" s="1"/>
      <c r="Y824" s="30"/>
      <c r="Z824" s="211"/>
    </row>
    <row r="825" spans="2:26">
      <c r="B825" s="1"/>
      <c r="C825" s="28"/>
      <c r="D825" s="19"/>
      <c r="G825" s="29"/>
      <c r="H825" s="212"/>
      <c r="I825" s="1"/>
      <c r="K825" s="30"/>
      <c r="L825" s="30"/>
      <c r="M825" s="1"/>
      <c r="N825" s="211"/>
      <c r="O825" s="211"/>
      <c r="P825" s="31"/>
      <c r="Q825" s="211"/>
      <c r="R825" s="211"/>
      <c r="S825" s="31"/>
      <c r="V825" s="1"/>
      <c r="W825" s="1"/>
      <c r="X825" s="1"/>
      <c r="Y825" s="30"/>
      <c r="Z825" s="211"/>
    </row>
    <row r="826" spans="2:26">
      <c r="B826" s="1"/>
      <c r="C826" s="28"/>
      <c r="D826" s="19"/>
      <c r="G826" s="29"/>
      <c r="H826" s="212"/>
      <c r="I826" s="1"/>
      <c r="K826" s="30"/>
      <c r="L826" s="30"/>
      <c r="M826" s="1"/>
      <c r="N826" s="211"/>
      <c r="O826" s="211"/>
      <c r="P826" s="31"/>
      <c r="Q826" s="211"/>
      <c r="R826" s="211"/>
      <c r="S826" s="31"/>
      <c r="V826" s="1"/>
      <c r="W826" s="1"/>
      <c r="X826" s="1"/>
      <c r="Y826" s="30"/>
      <c r="Z826" s="211"/>
    </row>
    <row r="827" spans="2:26">
      <c r="B827" s="1"/>
      <c r="C827" s="28"/>
      <c r="D827" s="19"/>
      <c r="G827" s="29"/>
      <c r="H827" s="212"/>
      <c r="I827" s="1"/>
      <c r="K827" s="30"/>
      <c r="L827" s="30"/>
      <c r="M827" s="1"/>
      <c r="N827" s="211"/>
      <c r="O827" s="211"/>
      <c r="P827" s="31"/>
      <c r="Q827" s="211"/>
      <c r="R827" s="211"/>
      <c r="S827" s="31"/>
      <c r="V827" s="1"/>
      <c r="W827" s="1"/>
      <c r="X827" s="1"/>
      <c r="Y827" s="30"/>
      <c r="Z827" s="211"/>
    </row>
    <row r="828" spans="2:26">
      <c r="B828" s="1"/>
      <c r="C828" s="28"/>
      <c r="D828" s="19"/>
      <c r="G828" s="29"/>
      <c r="H828" s="212"/>
      <c r="I828" s="1"/>
      <c r="K828" s="30"/>
      <c r="L828" s="30"/>
      <c r="M828" s="1"/>
      <c r="N828" s="211"/>
      <c r="O828" s="211"/>
      <c r="P828" s="31"/>
      <c r="Q828" s="211"/>
      <c r="R828" s="211"/>
      <c r="S828" s="31"/>
      <c r="V828" s="1"/>
      <c r="W828" s="1"/>
      <c r="X828" s="1"/>
      <c r="Y828" s="30"/>
      <c r="Z828" s="211"/>
    </row>
    <row r="829" spans="2:26">
      <c r="B829" s="1"/>
      <c r="C829" s="28"/>
      <c r="D829" s="19"/>
      <c r="G829" s="29"/>
      <c r="H829" s="212"/>
      <c r="I829" s="1"/>
      <c r="K829" s="30"/>
      <c r="L829" s="30"/>
      <c r="M829" s="1"/>
      <c r="N829" s="211"/>
      <c r="O829" s="211"/>
      <c r="P829" s="31"/>
      <c r="Q829" s="211"/>
      <c r="R829" s="211"/>
      <c r="S829" s="31"/>
      <c r="V829" s="1"/>
      <c r="W829" s="1"/>
      <c r="X829" s="1"/>
      <c r="Y829" s="30"/>
      <c r="Z829" s="211"/>
    </row>
    <row r="830" spans="2:26">
      <c r="B830" s="1"/>
      <c r="C830" s="28"/>
      <c r="D830" s="19"/>
      <c r="G830" s="29"/>
      <c r="H830" s="212"/>
      <c r="I830" s="1"/>
      <c r="K830" s="30"/>
      <c r="L830" s="30"/>
      <c r="M830" s="1"/>
      <c r="N830" s="211"/>
      <c r="O830" s="211"/>
      <c r="P830" s="31"/>
      <c r="Q830" s="211"/>
      <c r="R830" s="211"/>
      <c r="S830" s="31"/>
      <c r="V830" s="1"/>
      <c r="W830" s="1"/>
      <c r="X830" s="1"/>
      <c r="Y830" s="30"/>
      <c r="Z830" s="211"/>
    </row>
    <row r="831" spans="2:26">
      <c r="B831" s="1"/>
      <c r="C831" s="28"/>
      <c r="D831" s="19"/>
      <c r="G831" s="29"/>
      <c r="H831" s="212"/>
      <c r="I831" s="1"/>
      <c r="K831" s="30"/>
      <c r="L831" s="30"/>
      <c r="M831" s="1"/>
      <c r="N831" s="211"/>
      <c r="O831" s="211"/>
      <c r="P831" s="31"/>
      <c r="Q831" s="211"/>
      <c r="R831" s="211"/>
      <c r="S831" s="31"/>
      <c r="V831" s="1"/>
      <c r="W831" s="1"/>
      <c r="X831" s="1"/>
      <c r="Y831" s="30"/>
      <c r="Z831" s="211"/>
    </row>
    <row r="832" spans="2:26">
      <c r="B832" s="1"/>
      <c r="C832" s="28"/>
      <c r="D832" s="19"/>
      <c r="G832" s="29"/>
      <c r="H832" s="212"/>
      <c r="I832" s="1"/>
      <c r="K832" s="30"/>
      <c r="L832" s="30"/>
      <c r="M832" s="1"/>
      <c r="N832" s="211"/>
      <c r="O832" s="211"/>
      <c r="P832" s="31"/>
      <c r="Q832" s="211"/>
      <c r="R832" s="211"/>
      <c r="S832" s="31"/>
      <c r="V832" s="1"/>
      <c r="W832" s="1"/>
      <c r="X832" s="1"/>
      <c r="Y832" s="30"/>
      <c r="Z832" s="211"/>
    </row>
    <row r="833" spans="2:26">
      <c r="B833" s="1"/>
      <c r="C833" s="28"/>
      <c r="D833" s="19"/>
      <c r="G833" s="29"/>
      <c r="H833" s="212"/>
      <c r="I833" s="1"/>
      <c r="K833" s="30"/>
      <c r="L833" s="30"/>
      <c r="M833" s="1"/>
      <c r="N833" s="211"/>
      <c r="O833" s="211"/>
      <c r="P833" s="31"/>
      <c r="Q833" s="211"/>
      <c r="R833" s="211"/>
      <c r="S833" s="31"/>
      <c r="V833" s="1"/>
      <c r="W833" s="1"/>
      <c r="X833" s="1"/>
      <c r="Y833" s="30"/>
      <c r="Z833" s="211"/>
    </row>
    <row r="834" spans="2:26">
      <c r="B834" s="1"/>
      <c r="C834" s="28"/>
      <c r="D834" s="19"/>
      <c r="G834" s="29"/>
      <c r="H834" s="212"/>
      <c r="I834" s="1"/>
      <c r="K834" s="30"/>
      <c r="L834" s="30"/>
      <c r="M834" s="1"/>
      <c r="N834" s="211"/>
      <c r="O834" s="211"/>
      <c r="P834" s="31"/>
      <c r="Q834" s="211"/>
      <c r="R834" s="211"/>
      <c r="S834" s="31"/>
      <c r="V834" s="1"/>
      <c r="W834" s="1"/>
      <c r="X834" s="1"/>
      <c r="Y834" s="30"/>
      <c r="Z834" s="211"/>
    </row>
    <row r="835" spans="2:26">
      <c r="B835" s="1"/>
      <c r="C835" s="28"/>
      <c r="D835" s="19"/>
      <c r="G835" s="29"/>
      <c r="H835" s="212"/>
      <c r="I835" s="1"/>
      <c r="K835" s="30"/>
      <c r="L835" s="30"/>
      <c r="M835" s="1"/>
      <c r="N835" s="211"/>
      <c r="O835" s="211"/>
      <c r="P835" s="31"/>
      <c r="Q835" s="211"/>
      <c r="R835" s="211"/>
      <c r="S835" s="31"/>
      <c r="V835" s="1"/>
      <c r="W835" s="1"/>
      <c r="X835" s="1"/>
      <c r="Y835" s="30"/>
      <c r="Z835" s="211"/>
    </row>
    <row r="836" spans="2:26">
      <c r="B836" s="1"/>
      <c r="C836" s="28"/>
      <c r="D836" s="19"/>
      <c r="G836" s="29"/>
      <c r="H836" s="212"/>
      <c r="I836" s="1"/>
      <c r="K836" s="30"/>
      <c r="L836" s="30"/>
      <c r="M836" s="1"/>
      <c r="N836" s="211"/>
      <c r="O836" s="211"/>
      <c r="P836" s="31"/>
      <c r="Q836" s="211"/>
      <c r="R836" s="211"/>
      <c r="S836" s="31"/>
      <c r="V836" s="1"/>
      <c r="W836" s="1"/>
      <c r="X836" s="1"/>
      <c r="Y836" s="30"/>
      <c r="Z836" s="211"/>
    </row>
    <row r="837" spans="2:26">
      <c r="B837" s="1"/>
      <c r="C837" s="28"/>
      <c r="D837" s="19"/>
      <c r="G837" s="29"/>
      <c r="H837" s="212"/>
      <c r="I837" s="1"/>
      <c r="K837" s="30"/>
      <c r="L837" s="30"/>
      <c r="M837" s="1"/>
      <c r="N837" s="211"/>
      <c r="O837" s="211"/>
      <c r="P837" s="31"/>
      <c r="Q837" s="211"/>
      <c r="R837" s="211"/>
      <c r="S837" s="31"/>
      <c r="V837" s="1"/>
      <c r="W837" s="1"/>
      <c r="X837" s="1"/>
      <c r="Y837" s="30"/>
      <c r="Z837" s="211"/>
    </row>
    <row r="838" spans="2:26">
      <c r="B838" s="1"/>
      <c r="C838" s="28"/>
      <c r="D838" s="19"/>
      <c r="G838" s="29"/>
      <c r="H838" s="212"/>
      <c r="I838" s="1"/>
      <c r="K838" s="30"/>
      <c r="L838" s="30"/>
      <c r="M838" s="1"/>
      <c r="N838" s="211"/>
      <c r="O838" s="211"/>
      <c r="P838" s="31"/>
      <c r="Q838" s="211"/>
      <c r="R838" s="211"/>
      <c r="S838" s="31"/>
      <c r="V838" s="1"/>
      <c r="W838" s="1"/>
      <c r="X838" s="1"/>
      <c r="Y838" s="30"/>
      <c r="Z838" s="211"/>
    </row>
    <row r="839" spans="2:26">
      <c r="B839" s="1"/>
      <c r="C839" s="28"/>
      <c r="D839" s="19"/>
      <c r="G839" s="29"/>
      <c r="H839" s="212"/>
      <c r="I839" s="1"/>
      <c r="K839" s="30"/>
      <c r="L839" s="30"/>
      <c r="M839" s="1"/>
      <c r="N839" s="211"/>
      <c r="O839" s="211"/>
      <c r="P839" s="31"/>
      <c r="Q839" s="211"/>
      <c r="R839" s="211"/>
      <c r="S839" s="31"/>
      <c r="V839" s="1"/>
      <c r="W839" s="1"/>
      <c r="X839" s="1"/>
      <c r="Y839" s="30"/>
      <c r="Z839" s="211"/>
    </row>
    <row r="840" spans="2:26">
      <c r="B840" s="1"/>
      <c r="C840" s="28"/>
      <c r="D840" s="19"/>
      <c r="G840" s="29"/>
      <c r="H840" s="212"/>
      <c r="I840" s="1"/>
      <c r="K840" s="30"/>
      <c r="L840" s="30"/>
      <c r="M840" s="1"/>
      <c r="N840" s="211"/>
      <c r="O840" s="211"/>
      <c r="P840" s="31"/>
      <c r="Q840" s="211"/>
      <c r="R840" s="211"/>
      <c r="S840" s="31"/>
      <c r="V840" s="1"/>
      <c r="W840" s="1"/>
      <c r="X840" s="1"/>
      <c r="Y840" s="30"/>
      <c r="Z840" s="211"/>
    </row>
    <row r="841" spans="2:26">
      <c r="B841" s="1"/>
      <c r="C841" s="28"/>
      <c r="D841" s="19"/>
      <c r="G841" s="29"/>
      <c r="H841" s="212"/>
      <c r="I841" s="1"/>
      <c r="K841" s="30"/>
      <c r="L841" s="30"/>
      <c r="M841" s="1"/>
      <c r="N841" s="211"/>
      <c r="O841" s="211"/>
      <c r="P841" s="31"/>
      <c r="Q841" s="211"/>
      <c r="R841" s="211"/>
      <c r="S841" s="31"/>
      <c r="V841" s="1"/>
      <c r="W841" s="1"/>
      <c r="X841" s="1"/>
      <c r="Y841" s="30"/>
      <c r="Z841" s="211"/>
    </row>
    <row r="842" spans="2:26">
      <c r="B842" s="1"/>
      <c r="C842" s="28"/>
      <c r="D842" s="19"/>
      <c r="G842" s="29"/>
      <c r="H842" s="212"/>
      <c r="I842" s="1"/>
      <c r="K842" s="30"/>
      <c r="L842" s="30"/>
      <c r="M842" s="1"/>
      <c r="N842" s="211"/>
      <c r="O842" s="211"/>
      <c r="P842" s="31"/>
      <c r="Q842" s="211"/>
      <c r="R842" s="211"/>
      <c r="S842" s="31"/>
      <c r="V842" s="1"/>
      <c r="W842" s="1"/>
      <c r="X842" s="1"/>
      <c r="Y842" s="30"/>
      <c r="Z842" s="211"/>
    </row>
    <row r="843" spans="2:26">
      <c r="B843" s="1"/>
      <c r="C843" s="28"/>
      <c r="D843" s="19"/>
      <c r="G843" s="29"/>
      <c r="H843" s="212"/>
      <c r="I843" s="1"/>
      <c r="K843" s="30"/>
      <c r="L843" s="30"/>
      <c r="M843" s="1"/>
      <c r="N843" s="211"/>
      <c r="O843" s="211"/>
      <c r="P843" s="31"/>
      <c r="Q843" s="211"/>
      <c r="R843" s="211"/>
      <c r="S843" s="31"/>
      <c r="V843" s="1"/>
      <c r="W843" s="1"/>
      <c r="X843" s="1"/>
      <c r="Y843" s="30"/>
      <c r="Z843" s="211"/>
    </row>
    <row r="844" spans="2:26">
      <c r="B844" s="1"/>
      <c r="C844" s="28"/>
      <c r="D844" s="19"/>
      <c r="G844" s="29"/>
      <c r="H844" s="212"/>
      <c r="I844" s="1"/>
      <c r="K844" s="30"/>
      <c r="L844" s="30"/>
      <c r="M844" s="1"/>
      <c r="N844" s="211"/>
      <c r="O844" s="211"/>
      <c r="P844" s="31"/>
      <c r="Q844" s="211"/>
      <c r="R844" s="211"/>
      <c r="S844" s="31"/>
      <c r="V844" s="1"/>
      <c r="W844" s="1"/>
      <c r="X844" s="1"/>
      <c r="Y844" s="30"/>
      <c r="Z844" s="211"/>
    </row>
    <row r="845" spans="2:26">
      <c r="B845" s="1"/>
      <c r="C845" s="28"/>
      <c r="D845" s="19"/>
      <c r="G845" s="29"/>
      <c r="H845" s="212"/>
      <c r="I845" s="1"/>
      <c r="K845" s="30"/>
      <c r="L845" s="30"/>
      <c r="M845" s="1"/>
      <c r="N845" s="211"/>
      <c r="O845" s="211"/>
      <c r="P845" s="31"/>
      <c r="Q845" s="211"/>
      <c r="R845" s="211"/>
      <c r="S845" s="31"/>
      <c r="V845" s="1"/>
      <c r="W845" s="1"/>
      <c r="X845" s="1"/>
      <c r="Y845" s="30"/>
      <c r="Z845" s="211"/>
    </row>
    <row r="846" spans="2:26">
      <c r="B846" s="1"/>
      <c r="C846" s="28"/>
      <c r="D846" s="19"/>
      <c r="G846" s="29"/>
      <c r="H846" s="212"/>
      <c r="I846" s="1"/>
      <c r="K846" s="30"/>
      <c r="L846" s="30"/>
      <c r="M846" s="1"/>
      <c r="N846" s="211"/>
      <c r="O846" s="211"/>
      <c r="P846" s="31"/>
      <c r="Q846" s="211"/>
      <c r="R846" s="211"/>
      <c r="S846" s="31"/>
      <c r="V846" s="1"/>
      <c r="W846" s="1"/>
      <c r="X846" s="1"/>
      <c r="Y846" s="30"/>
      <c r="Z846" s="211"/>
    </row>
    <row r="847" spans="2:26">
      <c r="B847" s="1"/>
      <c r="C847" s="28"/>
      <c r="D847" s="19"/>
      <c r="G847" s="29"/>
      <c r="H847" s="212"/>
      <c r="I847" s="1"/>
      <c r="K847" s="30"/>
      <c r="L847" s="30"/>
      <c r="M847" s="1"/>
      <c r="N847" s="211"/>
      <c r="O847" s="211"/>
      <c r="P847" s="31"/>
      <c r="Q847" s="211"/>
      <c r="R847" s="211"/>
      <c r="S847" s="31"/>
      <c r="V847" s="1"/>
      <c r="W847" s="1"/>
      <c r="X847" s="1"/>
      <c r="Y847" s="30"/>
      <c r="Z847" s="211"/>
    </row>
    <row r="848" spans="2:26">
      <c r="B848" s="1"/>
      <c r="C848" s="28"/>
      <c r="D848" s="19"/>
      <c r="G848" s="29"/>
      <c r="H848" s="212"/>
      <c r="I848" s="1"/>
      <c r="K848" s="30"/>
      <c r="L848" s="30"/>
      <c r="M848" s="1"/>
      <c r="N848" s="211"/>
      <c r="O848" s="211"/>
      <c r="P848" s="31"/>
      <c r="Q848" s="211"/>
      <c r="R848" s="211"/>
      <c r="S848" s="31"/>
      <c r="V848" s="1"/>
      <c r="W848" s="1"/>
      <c r="X848" s="1"/>
      <c r="Y848" s="30"/>
      <c r="Z848" s="211"/>
    </row>
    <row r="849" spans="2:26">
      <c r="B849" s="1"/>
      <c r="C849" s="28"/>
      <c r="D849" s="19"/>
      <c r="G849" s="29"/>
      <c r="H849" s="212"/>
      <c r="I849" s="1"/>
      <c r="K849" s="30"/>
      <c r="L849" s="30"/>
      <c r="M849" s="1"/>
      <c r="N849" s="211"/>
      <c r="O849" s="211"/>
      <c r="P849" s="31"/>
      <c r="Q849" s="211"/>
      <c r="R849" s="211"/>
      <c r="S849" s="31"/>
      <c r="V849" s="1"/>
      <c r="W849" s="1"/>
      <c r="X849" s="1"/>
      <c r="Y849" s="30"/>
      <c r="Z849" s="211"/>
    </row>
    <row r="850" spans="2:26">
      <c r="B850" s="1"/>
      <c r="C850" s="28"/>
      <c r="D850" s="19"/>
      <c r="G850" s="29"/>
      <c r="H850" s="212"/>
      <c r="I850" s="1"/>
      <c r="K850" s="30"/>
      <c r="L850" s="30"/>
      <c r="M850" s="1"/>
      <c r="N850" s="211"/>
      <c r="O850" s="211"/>
      <c r="P850" s="31"/>
      <c r="Q850" s="211"/>
      <c r="R850" s="211"/>
      <c r="S850" s="31"/>
      <c r="V850" s="1"/>
      <c r="W850" s="1"/>
      <c r="X850" s="1"/>
      <c r="Y850" s="30"/>
      <c r="Z850" s="211"/>
    </row>
    <row r="851" spans="2:26">
      <c r="B851" s="1"/>
      <c r="C851" s="28"/>
      <c r="D851" s="19"/>
      <c r="G851" s="29"/>
      <c r="H851" s="212"/>
      <c r="I851" s="1"/>
      <c r="K851" s="30"/>
      <c r="L851" s="30"/>
      <c r="M851" s="1"/>
      <c r="N851" s="211"/>
      <c r="O851" s="211"/>
      <c r="P851" s="31"/>
      <c r="Q851" s="211"/>
      <c r="R851" s="211"/>
      <c r="S851" s="31"/>
      <c r="V851" s="1"/>
      <c r="W851" s="1"/>
      <c r="X851" s="1"/>
      <c r="Y851" s="30"/>
      <c r="Z851" s="211"/>
    </row>
    <row r="852" spans="2:26">
      <c r="B852" s="1"/>
      <c r="C852" s="28"/>
      <c r="D852" s="19"/>
      <c r="G852" s="29"/>
      <c r="H852" s="212"/>
      <c r="I852" s="1"/>
      <c r="K852" s="30"/>
      <c r="L852" s="30"/>
      <c r="M852" s="1"/>
      <c r="N852" s="211"/>
      <c r="O852" s="211"/>
      <c r="P852" s="31"/>
      <c r="Q852" s="211"/>
      <c r="R852" s="211"/>
      <c r="S852" s="31"/>
      <c r="V852" s="1"/>
      <c r="W852" s="1"/>
      <c r="X852" s="1"/>
      <c r="Y852" s="30"/>
      <c r="Z852" s="211"/>
    </row>
    <row r="853" spans="2:26">
      <c r="B853" s="1"/>
      <c r="C853" s="28"/>
      <c r="D853" s="19"/>
      <c r="G853" s="29"/>
      <c r="H853" s="212"/>
      <c r="I853" s="1"/>
      <c r="K853" s="30"/>
      <c r="L853" s="30"/>
      <c r="M853" s="1"/>
      <c r="N853" s="211"/>
      <c r="O853" s="211"/>
      <c r="P853" s="31"/>
      <c r="Q853" s="211"/>
      <c r="R853" s="211"/>
      <c r="S853" s="31"/>
      <c r="V853" s="1"/>
      <c r="W853" s="1"/>
      <c r="X853" s="1"/>
      <c r="Y853" s="30"/>
      <c r="Z853" s="211"/>
    </row>
    <row r="854" spans="2:26">
      <c r="B854" s="1"/>
      <c r="C854" s="28"/>
      <c r="D854" s="19"/>
      <c r="G854" s="29"/>
      <c r="H854" s="212"/>
      <c r="I854" s="1"/>
      <c r="K854" s="30"/>
      <c r="L854" s="30"/>
      <c r="M854" s="1"/>
      <c r="N854" s="211"/>
      <c r="O854" s="211"/>
      <c r="P854" s="31"/>
      <c r="Q854" s="211"/>
      <c r="R854" s="211"/>
      <c r="S854" s="31"/>
      <c r="V854" s="1"/>
      <c r="W854" s="1"/>
      <c r="X854" s="1"/>
      <c r="Y854" s="30"/>
      <c r="Z854" s="211"/>
    </row>
    <row r="855" spans="2:26">
      <c r="B855" s="1"/>
      <c r="C855" s="28"/>
      <c r="D855" s="19"/>
      <c r="G855" s="29"/>
      <c r="H855" s="212"/>
      <c r="I855" s="1"/>
      <c r="K855" s="30"/>
      <c r="L855" s="30"/>
      <c r="M855" s="1"/>
      <c r="N855" s="211"/>
      <c r="O855" s="211"/>
      <c r="P855" s="31"/>
      <c r="Q855" s="211"/>
      <c r="R855" s="211"/>
      <c r="S855" s="31"/>
      <c r="V855" s="1"/>
      <c r="W855" s="1"/>
      <c r="X855" s="1"/>
      <c r="Y855" s="30"/>
      <c r="Z855" s="211"/>
    </row>
    <row r="856" spans="2:26">
      <c r="B856" s="1"/>
      <c r="C856" s="28"/>
      <c r="D856" s="19"/>
      <c r="G856" s="29"/>
      <c r="H856" s="212"/>
      <c r="I856" s="1"/>
      <c r="K856" s="30"/>
      <c r="L856" s="30"/>
      <c r="M856" s="1"/>
      <c r="N856" s="211"/>
      <c r="O856" s="211"/>
      <c r="P856" s="31"/>
      <c r="Q856" s="211"/>
      <c r="R856" s="211"/>
      <c r="S856" s="31"/>
      <c r="V856" s="1"/>
      <c r="W856" s="1"/>
      <c r="X856" s="1"/>
      <c r="Y856" s="30"/>
      <c r="Z856" s="211"/>
    </row>
    <row r="857" spans="2:26">
      <c r="B857" s="1"/>
      <c r="C857" s="28"/>
      <c r="D857" s="19"/>
      <c r="G857" s="29"/>
      <c r="H857" s="212"/>
      <c r="I857" s="1"/>
      <c r="K857" s="30"/>
      <c r="L857" s="30"/>
      <c r="M857" s="1"/>
      <c r="N857" s="211"/>
      <c r="O857" s="211"/>
      <c r="P857" s="31"/>
      <c r="Q857" s="211"/>
      <c r="R857" s="211"/>
      <c r="S857" s="31"/>
      <c r="V857" s="1"/>
      <c r="W857" s="1"/>
      <c r="X857" s="1"/>
      <c r="Y857" s="30"/>
      <c r="Z857" s="211"/>
    </row>
    <row r="858" spans="2:26">
      <c r="B858" s="1"/>
      <c r="C858" s="28"/>
      <c r="D858" s="19"/>
      <c r="G858" s="29"/>
      <c r="H858" s="212"/>
      <c r="I858" s="1"/>
      <c r="K858" s="30"/>
      <c r="L858" s="30"/>
      <c r="M858" s="1"/>
      <c r="N858" s="211"/>
      <c r="O858" s="211"/>
      <c r="P858" s="31"/>
      <c r="Q858" s="211"/>
      <c r="R858" s="211"/>
      <c r="S858" s="31"/>
      <c r="V858" s="1"/>
      <c r="W858" s="1"/>
      <c r="X858" s="1"/>
      <c r="Y858" s="30"/>
      <c r="Z858" s="211"/>
    </row>
    <row r="859" spans="2:26">
      <c r="B859" s="1"/>
      <c r="C859" s="28"/>
      <c r="D859" s="19"/>
      <c r="G859" s="29"/>
      <c r="H859" s="212"/>
      <c r="I859" s="1"/>
      <c r="K859" s="30"/>
      <c r="L859" s="30"/>
      <c r="M859" s="1"/>
      <c r="N859" s="211"/>
      <c r="O859" s="211"/>
      <c r="P859" s="31"/>
      <c r="Q859" s="211"/>
      <c r="R859" s="211"/>
      <c r="S859" s="31"/>
      <c r="V859" s="1"/>
      <c r="W859" s="1"/>
      <c r="X859" s="1"/>
      <c r="Y859" s="30"/>
      <c r="Z859" s="211"/>
    </row>
    <row r="860" spans="2:26">
      <c r="B860" s="1"/>
      <c r="C860" s="28"/>
      <c r="D860" s="19"/>
      <c r="G860" s="29"/>
      <c r="H860" s="212"/>
      <c r="I860" s="1"/>
      <c r="K860" s="30"/>
      <c r="L860" s="30"/>
      <c r="M860" s="1"/>
      <c r="N860" s="211"/>
      <c r="O860" s="211"/>
      <c r="P860" s="31"/>
      <c r="Q860" s="211"/>
      <c r="R860" s="211"/>
      <c r="S860" s="31"/>
      <c r="V860" s="1"/>
      <c r="W860" s="1"/>
      <c r="X860" s="1"/>
      <c r="Y860" s="30"/>
      <c r="Z860" s="211"/>
    </row>
    <row r="861" spans="2:26">
      <c r="B861" s="1"/>
      <c r="C861" s="28"/>
      <c r="D861" s="19"/>
      <c r="G861" s="29"/>
      <c r="H861" s="212"/>
      <c r="I861" s="1"/>
      <c r="K861" s="30"/>
      <c r="L861" s="30"/>
      <c r="M861" s="1"/>
      <c r="N861" s="211"/>
      <c r="O861" s="211"/>
      <c r="P861" s="31"/>
      <c r="Q861" s="211"/>
      <c r="R861" s="211"/>
      <c r="S861" s="31"/>
      <c r="V861" s="1"/>
      <c r="W861" s="1"/>
      <c r="X861" s="1"/>
      <c r="Y861" s="30"/>
      <c r="Z861" s="211"/>
    </row>
    <row r="862" spans="2:26">
      <c r="B862" s="1"/>
      <c r="C862" s="28"/>
      <c r="D862" s="19"/>
      <c r="G862" s="29"/>
      <c r="H862" s="212"/>
      <c r="I862" s="1"/>
      <c r="K862" s="30"/>
      <c r="L862" s="30"/>
      <c r="M862" s="1"/>
      <c r="N862" s="211"/>
      <c r="O862" s="211"/>
      <c r="P862" s="31"/>
      <c r="Q862" s="211"/>
      <c r="R862" s="211"/>
      <c r="S862" s="31"/>
      <c r="V862" s="1"/>
      <c r="W862" s="1"/>
      <c r="X862" s="1"/>
      <c r="Y862" s="30"/>
      <c r="Z862" s="211"/>
    </row>
    <row r="863" spans="2:26">
      <c r="B863" s="1"/>
      <c r="C863" s="28"/>
      <c r="D863" s="19"/>
      <c r="G863" s="29"/>
      <c r="H863" s="212"/>
      <c r="I863" s="1"/>
      <c r="K863" s="30"/>
      <c r="L863" s="30"/>
      <c r="M863" s="1"/>
      <c r="N863" s="211"/>
      <c r="O863" s="211"/>
      <c r="P863" s="31"/>
      <c r="Q863" s="211"/>
      <c r="R863" s="211"/>
      <c r="S863" s="31"/>
      <c r="V863" s="1"/>
      <c r="W863" s="1"/>
      <c r="X863" s="1"/>
      <c r="Y863" s="30"/>
      <c r="Z863" s="211"/>
    </row>
    <row r="864" spans="2:26">
      <c r="B864" s="1"/>
      <c r="C864" s="28"/>
      <c r="D864" s="19"/>
      <c r="G864" s="29"/>
      <c r="H864" s="212"/>
      <c r="I864" s="1"/>
      <c r="K864" s="30"/>
      <c r="L864" s="30"/>
      <c r="M864" s="1"/>
      <c r="N864" s="211"/>
      <c r="O864" s="211"/>
      <c r="P864" s="31"/>
      <c r="Q864" s="211"/>
      <c r="R864" s="211"/>
      <c r="S864" s="31"/>
      <c r="V864" s="1"/>
      <c r="W864" s="1"/>
      <c r="X864" s="1"/>
      <c r="Y864" s="30"/>
      <c r="Z864" s="211"/>
    </row>
    <row r="865" spans="2:26">
      <c r="B865" s="1"/>
      <c r="C865" s="28"/>
      <c r="D865" s="19"/>
      <c r="G865" s="29"/>
      <c r="H865" s="212"/>
      <c r="I865" s="1"/>
      <c r="K865" s="30"/>
      <c r="L865" s="30"/>
      <c r="M865" s="1"/>
      <c r="N865" s="211"/>
      <c r="O865" s="211"/>
      <c r="P865" s="31"/>
      <c r="Q865" s="211"/>
      <c r="R865" s="211"/>
      <c r="S865" s="31"/>
      <c r="V865" s="1"/>
      <c r="W865" s="1"/>
      <c r="X865" s="1"/>
      <c r="Y865" s="30"/>
      <c r="Z865" s="211"/>
    </row>
    <row r="866" spans="2:26">
      <c r="B866" s="1"/>
      <c r="C866" s="28"/>
      <c r="D866" s="19"/>
      <c r="G866" s="29"/>
      <c r="H866" s="212"/>
      <c r="I866" s="1"/>
      <c r="K866" s="30"/>
      <c r="L866" s="30"/>
      <c r="M866" s="1"/>
      <c r="N866" s="211"/>
      <c r="O866" s="211"/>
      <c r="P866" s="31"/>
      <c r="Q866" s="211"/>
      <c r="R866" s="211"/>
      <c r="S866" s="31"/>
      <c r="V866" s="1"/>
      <c r="W866" s="1"/>
      <c r="X866" s="1"/>
      <c r="Y866" s="30"/>
      <c r="Z866" s="211"/>
    </row>
    <row r="867" spans="2:26">
      <c r="B867" s="1"/>
      <c r="C867" s="28"/>
      <c r="D867" s="19"/>
      <c r="G867" s="29"/>
      <c r="H867" s="212"/>
      <c r="I867" s="1"/>
      <c r="K867" s="30"/>
      <c r="L867" s="30"/>
      <c r="M867" s="1"/>
      <c r="N867" s="211"/>
      <c r="O867" s="211"/>
      <c r="P867" s="31"/>
      <c r="Q867" s="211"/>
      <c r="R867" s="211"/>
      <c r="S867" s="31"/>
      <c r="V867" s="1"/>
      <c r="W867" s="1"/>
      <c r="X867" s="1"/>
      <c r="Y867" s="30"/>
      <c r="Z867" s="211"/>
    </row>
    <row r="868" spans="2:26">
      <c r="B868" s="1"/>
      <c r="C868" s="28"/>
      <c r="D868" s="19"/>
      <c r="G868" s="29"/>
      <c r="H868" s="212"/>
      <c r="I868" s="1"/>
      <c r="K868" s="30"/>
      <c r="L868" s="30"/>
      <c r="M868" s="1"/>
      <c r="N868" s="211"/>
      <c r="O868" s="211"/>
      <c r="P868" s="31"/>
      <c r="Q868" s="211"/>
      <c r="R868" s="211"/>
      <c r="S868" s="31"/>
      <c r="V868" s="1"/>
      <c r="W868" s="1"/>
      <c r="X868" s="1"/>
      <c r="Y868" s="30"/>
      <c r="Z868" s="211"/>
    </row>
    <row r="869" spans="2:26">
      <c r="B869" s="1"/>
      <c r="C869" s="28"/>
      <c r="D869" s="19"/>
      <c r="G869" s="29"/>
      <c r="H869" s="212"/>
      <c r="I869" s="1"/>
      <c r="K869" s="30"/>
      <c r="L869" s="30"/>
      <c r="M869" s="1"/>
      <c r="N869" s="211"/>
      <c r="O869" s="211"/>
      <c r="P869" s="31"/>
      <c r="Q869" s="211"/>
      <c r="R869" s="211"/>
      <c r="S869" s="31"/>
      <c r="V869" s="1"/>
      <c r="W869" s="1"/>
      <c r="X869" s="1"/>
      <c r="Y869" s="30"/>
      <c r="Z869" s="211"/>
    </row>
    <row r="870" spans="2:26">
      <c r="B870" s="1"/>
      <c r="C870" s="28"/>
      <c r="D870" s="19"/>
      <c r="G870" s="29"/>
      <c r="H870" s="212"/>
      <c r="I870" s="1"/>
      <c r="K870" s="30"/>
      <c r="L870" s="30"/>
      <c r="M870" s="1"/>
      <c r="N870" s="211"/>
      <c r="O870" s="211"/>
      <c r="P870" s="31"/>
      <c r="Q870" s="211"/>
      <c r="R870" s="211"/>
      <c r="S870" s="31"/>
      <c r="V870" s="1"/>
      <c r="W870" s="1"/>
      <c r="X870" s="1"/>
      <c r="Y870" s="30"/>
      <c r="Z870" s="211"/>
    </row>
    <row r="871" spans="2:26">
      <c r="B871" s="1"/>
      <c r="C871" s="28"/>
      <c r="D871" s="19"/>
      <c r="G871" s="29"/>
      <c r="H871" s="212"/>
      <c r="I871" s="1"/>
      <c r="K871" s="30"/>
      <c r="L871" s="30"/>
      <c r="M871" s="1"/>
      <c r="N871" s="211"/>
      <c r="O871" s="211"/>
      <c r="P871" s="31"/>
      <c r="Q871" s="211"/>
      <c r="R871" s="211"/>
      <c r="S871" s="31"/>
      <c r="V871" s="1"/>
      <c r="W871" s="1"/>
      <c r="X871" s="1"/>
      <c r="Y871" s="30"/>
      <c r="Z871" s="211"/>
    </row>
    <row r="872" spans="2:26">
      <c r="B872" s="1"/>
      <c r="C872" s="28"/>
      <c r="D872" s="19"/>
      <c r="G872" s="29"/>
      <c r="H872" s="212"/>
      <c r="I872" s="1"/>
      <c r="K872" s="30"/>
      <c r="L872" s="30"/>
      <c r="M872" s="1"/>
      <c r="N872" s="211"/>
      <c r="O872" s="211"/>
      <c r="P872" s="31"/>
      <c r="Q872" s="211"/>
      <c r="R872" s="211"/>
      <c r="S872" s="31"/>
      <c r="V872" s="1"/>
      <c r="W872" s="1"/>
      <c r="X872" s="1"/>
      <c r="Y872" s="30"/>
      <c r="Z872" s="211"/>
    </row>
    <row r="873" spans="2:26">
      <c r="B873" s="1"/>
      <c r="C873" s="28"/>
      <c r="D873" s="19"/>
      <c r="G873" s="29"/>
      <c r="H873" s="212"/>
      <c r="I873" s="1"/>
      <c r="K873" s="30"/>
      <c r="L873" s="30"/>
      <c r="M873" s="1"/>
      <c r="N873" s="211"/>
      <c r="O873" s="211"/>
      <c r="P873" s="31"/>
      <c r="Q873" s="211"/>
      <c r="R873" s="211"/>
      <c r="S873" s="31"/>
      <c r="V873" s="1"/>
      <c r="W873" s="1"/>
      <c r="X873" s="1"/>
      <c r="Y873" s="30"/>
      <c r="Z873" s="211"/>
    </row>
    <row r="874" spans="2:26">
      <c r="B874" s="1"/>
      <c r="C874" s="28"/>
      <c r="D874" s="19"/>
      <c r="G874" s="29"/>
      <c r="H874" s="212"/>
      <c r="I874" s="1"/>
      <c r="K874" s="30"/>
      <c r="L874" s="30"/>
      <c r="M874" s="1"/>
      <c r="N874" s="211"/>
      <c r="O874" s="211"/>
      <c r="P874" s="31"/>
      <c r="Q874" s="211"/>
      <c r="R874" s="211"/>
      <c r="S874" s="31"/>
      <c r="V874" s="1"/>
      <c r="W874" s="1"/>
      <c r="X874" s="1"/>
      <c r="Y874" s="30"/>
      <c r="Z874" s="211"/>
    </row>
    <row r="875" spans="2:26">
      <c r="B875" s="1"/>
      <c r="C875" s="28"/>
      <c r="D875" s="19"/>
      <c r="G875" s="29"/>
      <c r="H875" s="212"/>
      <c r="I875" s="1"/>
      <c r="K875" s="30"/>
      <c r="L875" s="30"/>
      <c r="M875" s="1"/>
      <c r="N875" s="211"/>
      <c r="O875" s="211"/>
      <c r="P875" s="31"/>
      <c r="Q875" s="211"/>
      <c r="R875" s="211"/>
      <c r="S875" s="31"/>
      <c r="V875" s="1"/>
      <c r="W875" s="1"/>
      <c r="X875" s="1"/>
      <c r="Y875" s="30"/>
      <c r="Z875" s="211"/>
    </row>
    <row r="876" spans="2:26">
      <c r="B876" s="1"/>
      <c r="C876" s="28"/>
      <c r="D876" s="19"/>
      <c r="G876" s="29"/>
      <c r="H876" s="212"/>
      <c r="I876" s="1"/>
      <c r="K876" s="30"/>
      <c r="L876" s="30"/>
      <c r="M876" s="1"/>
      <c r="N876" s="211"/>
      <c r="O876" s="211"/>
      <c r="P876" s="31"/>
      <c r="Q876" s="211"/>
      <c r="R876" s="211"/>
      <c r="S876" s="31"/>
      <c r="V876" s="1"/>
      <c r="W876" s="1"/>
      <c r="X876" s="1"/>
      <c r="Y876" s="30"/>
      <c r="Z876" s="211"/>
    </row>
    <row r="877" spans="2:26">
      <c r="B877" s="1"/>
      <c r="C877" s="28"/>
      <c r="D877" s="19"/>
      <c r="G877" s="29"/>
      <c r="H877" s="212"/>
      <c r="I877" s="1"/>
      <c r="K877" s="30"/>
      <c r="L877" s="30"/>
      <c r="M877" s="1"/>
      <c r="N877" s="211"/>
      <c r="O877" s="211"/>
      <c r="P877" s="31"/>
      <c r="Q877" s="211"/>
      <c r="R877" s="211"/>
      <c r="S877" s="31"/>
      <c r="V877" s="1"/>
      <c r="W877" s="1"/>
      <c r="X877" s="1"/>
      <c r="Y877" s="30"/>
      <c r="Z877" s="211"/>
    </row>
    <row r="878" spans="2:26">
      <c r="B878" s="1"/>
      <c r="C878" s="28"/>
      <c r="D878" s="19"/>
      <c r="G878" s="29"/>
      <c r="H878" s="212"/>
      <c r="I878" s="1"/>
      <c r="K878" s="30"/>
      <c r="L878" s="30"/>
      <c r="M878" s="1"/>
      <c r="N878" s="211"/>
      <c r="O878" s="211"/>
      <c r="P878" s="31"/>
      <c r="Q878" s="211"/>
      <c r="R878" s="211"/>
      <c r="S878" s="31"/>
      <c r="V878" s="1"/>
      <c r="W878" s="1"/>
      <c r="X878" s="1"/>
      <c r="Y878" s="30"/>
      <c r="Z878" s="211"/>
    </row>
    <row r="879" spans="2:26">
      <c r="B879" s="1"/>
      <c r="C879" s="28"/>
      <c r="D879" s="19"/>
      <c r="G879" s="29"/>
      <c r="H879" s="212"/>
      <c r="I879" s="1"/>
      <c r="K879" s="30"/>
      <c r="L879" s="30"/>
      <c r="M879" s="1"/>
      <c r="N879" s="211"/>
      <c r="O879" s="211"/>
      <c r="P879" s="31"/>
      <c r="Q879" s="211"/>
      <c r="R879" s="211"/>
      <c r="S879" s="31"/>
      <c r="V879" s="1"/>
      <c r="W879" s="1"/>
      <c r="X879" s="1"/>
      <c r="Y879" s="30"/>
      <c r="Z879" s="211"/>
    </row>
    <row r="880" spans="2:26">
      <c r="B880" s="1"/>
      <c r="C880" s="28"/>
      <c r="D880" s="19"/>
      <c r="G880" s="29"/>
      <c r="H880" s="212"/>
      <c r="I880" s="1"/>
      <c r="K880" s="30"/>
      <c r="L880" s="30"/>
      <c r="M880" s="1"/>
      <c r="N880" s="211"/>
      <c r="O880" s="211"/>
      <c r="P880" s="31"/>
      <c r="Q880" s="211"/>
      <c r="R880" s="211"/>
      <c r="S880" s="31"/>
      <c r="V880" s="1"/>
      <c r="W880" s="1"/>
      <c r="X880" s="1"/>
      <c r="Y880" s="30"/>
      <c r="Z880" s="211"/>
    </row>
    <row r="881" spans="2:26">
      <c r="B881" s="1"/>
      <c r="C881" s="28"/>
      <c r="D881" s="19"/>
      <c r="G881" s="29"/>
      <c r="H881" s="212"/>
      <c r="I881" s="1"/>
      <c r="K881" s="30"/>
      <c r="L881" s="30"/>
      <c r="M881" s="1"/>
      <c r="N881" s="211"/>
      <c r="O881" s="211"/>
      <c r="P881" s="31"/>
      <c r="Q881" s="211"/>
      <c r="R881" s="211"/>
      <c r="S881" s="31"/>
      <c r="V881" s="1"/>
      <c r="W881" s="1"/>
      <c r="X881" s="1"/>
      <c r="Y881" s="30"/>
      <c r="Z881" s="211"/>
    </row>
    <row r="882" spans="2:26">
      <c r="B882" s="1"/>
      <c r="C882" s="28"/>
      <c r="D882" s="19"/>
      <c r="G882" s="29"/>
      <c r="H882" s="212"/>
      <c r="I882" s="1"/>
      <c r="K882" s="30"/>
      <c r="L882" s="30"/>
      <c r="M882" s="1"/>
      <c r="N882" s="211"/>
      <c r="O882" s="211"/>
      <c r="P882" s="31"/>
      <c r="Q882" s="211"/>
      <c r="R882" s="211"/>
      <c r="S882" s="31"/>
      <c r="V882" s="1"/>
      <c r="W882" s="1"/>
      <c r="X882" s="1"/>
      <c r="Y882" s="30"/>
      <c r="Z882" s="211"/>
    </row>
    <row r="883" spans="2:26">
      <c r="B883" s="1"/>
      <c r="C883" s="28"/>
      <c r="D883" s="19"/>
      <c r="G883" s="29"/>
      <c r="H883" s="212"/>
      <c r="I883" s="1"/>
      <c r="K883" s="30"/>
      <c r="L883" s="30"/>
      <c r="M883" s="1"/>
      <c r="N883" s="211"/>
      <c r="O883" s="211"/>
      <c r="P883" s="31"/>
      <c r="Q883" s="211"/>
      <c r="R883" s="211"/>
      <c r="S883" s="31"/>
      <c r="V883" s="1"/>
      <c r="W883" s="1"/>
      <c r="X883" s="1"/>
      <c r="Y883" s="30"/>
      <c r="Z883" s="211"/>
    </row>
    <row r="884" spans="2:26">
      <c r="B884" s="1"/>
      <c r="C884" s="28"/>
      <c r="D884" s="19"/>
      <c r="G884" s="29"/>
      <c r="H884" s="212"/>
      <c r="I884" s="1"/>
      <c r="K884" s="30"/>
      <c r="L884" s="30"/>
      <c r="M884" s="1"/>
      <c r="N884" s="211"/>
      <c r="O884" s="211"/>
      <c r="P884" s="31"/>
      <c r="Q884" s="211"/>
      <c r="R884" s="211"/>
      <c r="S884" s="31"/>
      <c r="V884" s="1"/>
      <c r="W884" s="1"/>
      <c r="X884" s="1"/>
      <c r="Y884" s="30"/>
      <c r="Z884" s="211"/>
    </row>
    <row r="885" spans="2:26">
      <c r="B885" s="1"/>
      <c r="C885" s="28"/>
      <c r="D885" s="19"/>
      <c r="G885" s="29"/>
      <c r="H885" s="212"/>
      <c r="I885" s="1"/>
      <c r="K885" s="30"/>
      <c r="L885" s="30"/>
      <c r="M885" s="1"/>
      <c r="N885" s="211"/>
      <c r="O885" s="211"/>
      <c r="P885" s="31"/>
      <c r="Q885" s="211"/>
      <c r="R885" s="211"/>
      <c r="S885" s="31"/>
      <c r="V885" s="1"/>
      <c r="W885" s="1"/>
      <c r="X885" s="1"/>
      <c r="Y885" s="30"/>
      <c r="Z885" s="211"/>
    </row>
    <row r="886" spans="2:26">
      <c r="B886" s="1"/>
      <c r="C886" s="28"/>
      <c r="D886" s="19"/>
      <c r="G886" s="29"/>
      <c r="H886" s="212"/>
      <c r="I886" s="1"/>
      <c r="K886" s="30"/>
      <c r="L886" s="30"/>
      <c r="M886" s="1"/>
      <c r="N886" s="211"/>
      <c r="O886" s="211"/>
      <c r="P886" s="31"/>
      <c r="Q886" s="211"/>
      <c r="R886" s="211"/>
      <c r="S886" s="31"/>
      <c r="V886" s="1"/>
      <c r="W886" s="1"/>
      <c r="X886" s="1"/>
      <c r="Y886" s="30"/>
      <c r="Z886" s="211"/>
    </row>
    <row r="887" spans="2:26">
      <c r="B887" s="1"/>
      <c r="C887" s="28"/>
      <c r="D887" s="19"/>
      <c r="G887" s="29"/>
      <c r="H887" s="212"/>
      <c r="I887" s="1"/>
      <c r="K887" s="30"/>
      <c r="L887" s="30"/>
      <c r="M887" s="1"/>
      <c r="N887" s="211"/>
      <c r="O887" s="211"/>
      <c r="P887" s="31"/>
      <c r="Q887" s="211"/>
      <c r="R887" s="211"/>
      <c r="S887" s="31"/>
      <c r="V887" s="1"/>
      <c r="W887" s="1"/>
      <c r="X887" s="1"/>
      <c r="Y887" s="30"/>
      <c r="Z887" s="211"/>
    </row>
    <row r="888" spans="2:26">
      <c r="B888" s="1"/>
      <c r="C888" s="28"/>
      <c r="D888" s="19"/>
      <c r="G888" s="29"/>
      <c r="H888" s="212"/>
      <c r="I888" s="1"/>
      <c r="K888" s="30"/>
      <c r="L888" s="30"/>
      <c r="M888" s="1"/>
      <c r="N888" s="211"/>
      <c r="O888" s="211"/>
      <c r="P888" s="31"/>
      <c r="Q888" s="211"/>
      <c r="R888" s="211"/>
      <c r="S888" s="31"/>
      <c r="V888" s="1"/>
      <c r="W888" s="1"/>
      <c r="X888" s="1"/>
      <c r="Y888" s="30"/>
      <c r="Z888" s="211"/>
    </row>
    <row r="889" spans="2:26">
      <c r="B889" s="1"/>
      <c r="C889" s="28"/>
      <c r="D889" s="19"/>
      <c r="G889" s="29"/>
      <c r="H889" s="212"/>
      <c r="I889" s="1"/>
      <c r="K889" s="30"/>
      <c r="L889" s="30"/>
      <c r="M889" s="1"/>
      <c r="N889" s="211"/>
      <c r="O889" s="211"/>
      <c r="P889" s="31"/>
      <c r="Q889" s="211"/>
      <c r="R889" s="211"/>
      <c r="S889" s="31"/>
      <c r="V889" s="1"/>
      <c r="W889" s="1"/>
      <c r="X889" s="1"/>
      <c r="Y889" s="30"/>
      <c r="Z889" s="211"/>
    </row>
    <row r="890" spans="2:26">
      <c r="B890" s="1"/>
      <c r="C890" s="28"/>
      <c r="D890" s="19"/>
      <c r="G890" s="29"/>
      <c r="H890" s="212"/>
      <c r="I890" s="1"/>
      <c r="K890" s="30"/>
      <c r="L890" s="30"/>
      <c r="M890" s="1"/>
      <c r="N890" s="211"/>
      <c r="O890" s="211"/>
      <c r="P890" s="31"/>
      <c r="Q890" s="211"/>
      <c r="R890" s="211"/>
      <c r="S890" s="31"/>
      <c r="V890" s="1"/>
      <c r="W890" s="1"/>
      <c r="X890" s="1"/>
      <c r="Y890" s="30"/>
      <c r="Z890" s="211"/>
    </row>
    <row r="891" spans="2:26">
      <c r="B891" s="1"/>
      <c r="C891" s="28"/>
      <c r="D891" s="19"/>
      <c r="G891" s="29"/>
      <c r="H891" s="212"/>
      <c r="I891" s="1"/>
      <c r="K891" s="30"/>
      <c r="L891" s="30"/>
      <c r="M891" s="1"/>
      <c r="N891" s="211"/>
      <c r="O891" s="211"/>
      <c r="P891" s="31"/>
      <c r="Q891" s="211"/>
      <c r="R891" s="211"/>
      <c r="S891" s="31"/>
      <c r="V891" s="1"/>
      <c r="W891" s="1"/>
      <c r="X891" s="1"/>
      <c r="Y891" s="30"/>
      <c r="Z891" s="211"/>
    </row>
    <row r="892" spans="2:26">
      <c r="B892" s="1"/>
      <c r="C892" s="28"/>
      <c r="D892" s="19"/>
      <c r="G892" s="29"/>
      <c r="H892" s="212"/>
      <c r="I892" s="1"/>
      <c r="K892" s="30"/>
      <c r="L892" s="30"/>
      <c r="M892" s="1"/>
      <c r="N892" s="211"/>
      <c r="O892" s="211"/>
      <c r="P892" s="31"/>
      <c r="Q892" s="211"/>
      <c r="R892" s="211"/>
      <c r="S892" s="31"/>
      <c r="V892" s="1"/>
      <c r="W892" s="1"/>
      <c r="X892" s="1"/>
      <c r="Y892" s="30"/>
      <c r="Z892" s="211"/>
    </row>
    <row r="893" spans="2:26">
      <c r="B893" s="1"/>
      <c r="C893" s="28"/>
      <c r="D893" s="19"/>
      <c r="G893" s="29"/>
      <c r="H893" s="212"/>
      <c r="I893" s="1"/>
      <c r="K893" s="30"/>
      <c r="L893" s="30"/>
      <c r="M893" s="1"/>
      <c r="N893" s="211"/>
      <c r="O893" s="211"/>
      <c r="P893" s="31"/>
      <c r="Q893" s="211"/>
      <c r="R893" s="211"/>
      <c r="S893" s="31"/>
      <c r="V893" s="1"/>
      <c r="W893" s="1"/>
      <c r="X893" s="1"/>
      <c r="Y893" s="30"/>
      <c r="Z893" s="211"/>
    </row>
    <row r="894" spans="2:26">
      <c r="B894" s="1"/>
      <c r="C894" s="28"/>
      <c r="D894" s="19"/>
      <c r="G894" s="29"/>
      <c r="H894" s="212"/>
      <c r="I894" s="1"/>
      <c r="K894" s="30"/>
      <c r="L894" s="30"/>
      <c r="M894" s="1"/>
      <c r="N894" s="211"/>
      <c r="O894" s="211"/>
      <c r="P894" s="31"/>
      <c r="Q894" s="211"/>
      <c r="R894" s="211"/>
      <c r="S894" s="31"/>
      <c r="V894" s="1"/>
      <c r="W894" s="1"/>
      <c r="X894" s="1"/>
      <c r="Y894" s="30"/>
      <c r="Z894" s="211"/>
    </row>
    <row r="895" spans="2:26">
      <c r="B895" s="1"/>
      <c r="C895" s="28"/>
      <c r="D895" s="19"/>
      <c r="G895" s="29"/>
      <c r="H895" s="212"/>
      <c r="I895" s="1"/>
      <c r="K895" s="30"/>
      <c r="L895" s="30"/>
      <c r="M895" s="1"/>
      <c r="N895" s="211"/>
      <c r="O895" s="211"/>
      <c r="P895" s="31"/>
      <c r="Q895" s="211"/>
      <c r="R895" s="211"/>
      <c r="S895" s="31"/>
      <c r="V895" s="1"/>
      <c r="W895" s="1"/>
      <c r="X895" s="1"/>
      <c r="Y895" s="30"/>
      <c r="Z895" s="211"/>
    </row>
    <row r="896" spans="2:26">
      <c r="B896" s="1"/>
      <c r="C896" s="28"/>
      <c r="D896" s="19"/>
      <c r="G896" s="29"/>
      <c r="H896" s="212"/>
      <c r="I896" s="1"/>
      <c r="K896" s="30"/>
      <c r="L896" s="30"/>
      <c r="M896" s="1"/>
      <c r="N896" s="211"/>
      <c r="O896" s="211"/>
      <c r="P896" s="31"/>
      <c r="Q896" s="211"/>
      <c r="R896" s="211"/>
      <c r="S896" s="31"/>
      <c r="V896" s="1"/>
      <c r="W896" s="1"/>
      <c r="X896" s="1"/>
      <c r="Y896" s="30"/>
      <c r="Z896" s="211"/>
    </row>
    <row r="897" spans="2:26">
      <c r="B897" s="1"/>
      <c r="C897" s="28"/>
      <c r="D897" s="19"/>
      <c r="G897" s="29"/>
      <c r="H897" s="212"/>
      <c r="I897" s="1"/>
      <c r="K897" s="30"/>
      <c r="L897" s="30"/>
      <c r="M897" s="1"/>
      <c r="N897" s="211"/>
      <c r="O897" s="211"/>
      <c r="P897" s="31"/>
      <c r="Q897" s="211"/>
      <c r="R897" s="211"/>
      <c r="S897" s="31"/>
      <c r="V897" s="1"/>
      <c r="W897" s="1"/>
      <c r="X897" s="1"/>
      <c r="Y897" s="30"/>
      <c r="Z897" s="211"/>
    </row>
    <row r="898" spans="2:26">
      <c r="B898" s="1"/>
      <c r="C898" s="28"/>
      <c r="D898" s="19"/>
      <c r="G898" s="29"/>
      <c r="H898" s="212"/>
      <c r="I898" s="1"/>
      <c r="K898" s="30"/>
      <c r="L898" s="30"/>
      <c r="M898" s="1"/>
      <c r="N898" s="211"/>
      <c r="O898" s="211"/>
      <c r="P898" s="31"/>
      <c r="Q898" s="211"/>
      <c r="R898" s="211"/>
      <c r="S898" s="31"/>
      <c r="V898" s="1"/>
      <c r="W898" s="1"/>
      <c r="X898" s="1"/>
      <c r="Y898" s="30"/>
      <c r="Z898" s="211"/>
    </row>
    <row r="899" spans="2:26">
      <c r="B899" s="1"/>
      <c r="C899" s="28"/>
      <c r="D899" s="19"/>
      <c r="G899" s="29"/>
      <c r="H899" s="212"/>
      <c r="I899" s="1"/>
      <c r="K899" s="30"/>
      <c r="L899" s="30"/>
      <c r="M899" s="1"/>
      <c r="N899" s="211"/>
      <c r="O899" s="211"/>
      <c r="P899" s="31"/>
      <c r="Q899" s="211"/>
      <c r="R899" s="211"/>
      <c r="S899" s="31"/>
      <c r="V899" s="1"/>
      <c r="W899" s="1"/>
      <c r="X899" s="1"/>
      <c r="Y899" s="30"/>
      <c r="Z899" s="211"/>
    </row>
    <row r="900" spans="2:26">
      <c r="B900" s="1"/>
      <c r="C900" s="28"/>
      <c r="D900" s="19"/>
      <c r="G900" s="29"/>
      <c r="H900" s="212"/>
      <c r="I900" s="1"/>
      <c r="K900" s="30"/>
      <c r="L900" s="30"/>
      <c r="M900" s="1"/>
      <c r="N900" s="211"/>
      <c r="O900" s="211"/>
      <c r="P900" s="31"/>
      <c r="Q900" s="211"/>
      <c r="R900" s="211"/>
      <c r="S900" s="31"/>
      <c r="V900" s="1"/>
      <c r="W900" s="1"/>
      <c r="X900" s="1"/>
      <c r="Y900" s="30"/>
      <c r="Z900" s="211"/>
    </row>
    <row r="901" spans="2:26">
      <c r="B901" s="1"/>
      <c r="C901" s="28"/>
      <c r="D901" s="19"/>
      <c r="G901" s="29"/>
      <c r="H901" s="212"/>
      <c r="I901" s="1"/>
      <c r="K901" s="30"/>
      <c r="L901" s="30"/>
      <c r="M901" s="1"/>
      <c r="N901" s="211"/>
      <c r="O901" s="211"/>
      <c r="P901" s="31"/>
      <c r="Q901" s="211"/>
      <c r="R901" s="211"/>
      <c r="S901" s="31"/>
      <c r="V901" s="1"/>
      <c r="W901" s="1"/>
      <c r="X901" s="1"/>
      <c r="Y901" s="30"/>
      <c r="Z901" s="211"/>
    </row>
    <row r="902" spans="2:26">
      <c r="B902" s="1"/>
      <c r="C902" s="28"/>
      <c r="D902" s="19"/>
      <c r="G902" s="29"/>
      <c r="H902" s="212"/>
      <c r="I902" s="1"/>
      <c r="K902" s="30"/>
      <c r="L902" s="30"/>
      <c r="M902" s="1"/>
      <c r="N902" s="211"/>
      <c r="O902" s="211"/>
      <c r="P902" s="31"/>
      <c r="Q902" s="211"/>
      <c r="R902" s="211"/>
      <c r="S902" s="31"/>
      <c r="V902" s="1"/>
      <c r="W902" s="1"/>
      <c r="X902" s="1"/>
      <c r="Y902" s="30"/>
      <c r="Z902" s="211"/>
    </row>
    <row r="903" spans="2:26">
      <c r="B903" s="1"/>
      <c r="C903" s="28"/>
      <c r="D903" s="19"/>
      <c r="G903" s="29"/>
      <c r="H903" s="212"/>
      <c r="I903" s="1"/>
      <c r="K903" s="30"/>
      <c r="L903" s="30"/>
      <c r="M903" s="1"/>
      <c r="N903" s="211"/>
      <c r="O903" s="211"/>
      <c r="P903" s="31"/>
      <c r="Q903" s="211"/>
      <c r="R903" s="211"/>
      <c r="S903" s="31"/>
      <c r="V903" s="1"/>
      <c r="W903" s="1"/>
      <c r="X903" s="1"/>
      <c r="Y903" s="30"/>
      <c r="Z903" s="211"/>
    </row>
    <row r="904" spans="2:26">
      <c r="B904" s="1"/>
      <c r="C904" s="28"/>
      <c r="D904" s="19"/>
      <c r="G904" s="29"/>
      <c r="H904" s="212"/>
      <c r="I904" s="1"/>
      <c r="K904" s="30"/>
      <c r="L904" s="30"/>
      <c r="M904" s="1"/>
      <c r="N904" s="211"/>
      <c r="O904" s="211"/>
      <c r="P904" s="31"/>
      <c r="Q904" s="211"/>
      <c r="R904" s="211"/>
      <c r="S904" s="31"/>
      <c r="V904" s="1"/>
      <c r="W904" s="1"/>
      <c r="X904" s="1"/>
      <c r="Y904" s="30"/>
      <c r="Z904" s="211"/>
    </row>
    <row r="905" spans="2:26">
      <c r="B905" s="1"/>
      <c r="C905" s="28"/>
      <c r="D905" s="19"/>
      <c r="G905" s="29"/>
      <c r="H905" s="212"/>
      <c r="I905" s="1"/>
      <c r="K905" s="30"/>
      <c r="L905" s="30"/>
      <c r="M905" s="1"/>
      <c r="N905" s="211"/>
      <c r="O905" s="211"/>
      <c r="P905" s="31"/>
      <c r="Q905" s="211"/>
      <c r="R905" s="211"/>
      <c r="S905" s="31"/>
      <c r="V905" s="1"/>
      <c r="W905" s="1"/>
      <c r="X905" s="1"/>
      <c r="Y905" s="30"/>
      <c r="Z905" s="211"/>
    </row>
    <row r="906" spans="2:26">
      <c r="B906" s="1"/>
      <c r="C906" s="28"/>
      <c r="D906" s="19"/>
      <c r="G906" s="29"/>
      <c r="H906" s="212"/>
      <c r="I906" s="1"/>
      <c r="K906" s="30"/>
      <c r="L906" s="30"/>
      <c r="M906" s="1"/>
      <c r="N906" s="211"/>
      <c r="O906" s="211"/>
      <c r="P906" s="31"/>
      <c r="Q906" s="211"/>
      <c r="R906" s="211"/>
      <c r="S906" s="31"/>
      <c r="V906" s="1"/>
      <c r="W906" s="1"/>
      <c r="X906" s="1"/>
      <c r="Y906" s="30"/>
      <c r="Z906" s="211"/>
    </row>
    <row r="907" spans="2:26">
      <c r="B907" s="1"/>
      <c r="C907" s="28"/>
      <c r="D907" s="19"/>
      <c r="G907" s="29"/>
      <c r="H907" s="212"/>
      <c r="I907" s="1"/>
      <c r="K907" s="30"/>
      <c r="L907" s="30"/>
      <c r="M907" s="1"/>
      <c r="N907" s="211"/>
      <c r="O907" s="211"/>
      <c r="P907" s="31"/>
      <c r="Q907" s="211"/>
      <c r="R907" s="211"/>
      <c r="S907" s="31"/>
      <c r="V907" s="1"/>
      <c r="W907" s="1"/>
      <c r="X907" s="1"/>
      <c r="Y907" s="30"/>
      <c r="Z907" s="211"/>
    </row>
    <row r="908" spans="2:26">
      <c r="B908" s="1"/>
      <c r="C908" s="28"/>
      <c r="D908" s="19"/>
      <c r="G908" s="29"/>
      <c r="H908" s="212"/>
      <c r="I908" s="1"/>
      <c r="K908" s="30"/>
      <c r="L908" s="30"/>
      <c r="M908" s="1"/>
      <c r="N908" s="211"/>
      <c r="O908" s="211"/>
      <c r="P908" s="31"/>
      <c r="Q908" s="211"/>
      <c r="R908" s="211"/>
      <c r="S908" s="31"/>
      <c r="V908" s="1"/>
      <c r="W908" s="1"/>
      <c r="X908" s="1"/>
      <c r="Y908" s="30"/>
      <c r="Z908" s="211"/>
    </row>
    <row r="909" spans="2:26">
      <c r="B909" s="1"/>
      <c r="C909" s="28"/>
      <c r="D909" s="19"/>
      <c r="G909" s="29"/>
      <c r="H909" s="212"/>
      <c r="I909" s="1"/>
      <c r="K909" s="30"/>
      <c r="L909" s="30"/>
      <c r="M909" s="1"/>
      <c r="N909" s="211"/>
      <c r="O909" s="211"/>
      <c r="P909" s="31"/>
      <c r="Q909" s="211"/>
      <c r="R909" s="211"/>
      <c r="S909" s="31"/>
      <c r="V909" s="1"/>
      <c r="W909" s="1"/>
      <c r="X909" s="1"/>
      <c r="Y909" s="30"/>
      <c r="Z909" s="211"/>
    </row>
    <row r="910" spans="2:26">
      <c r="B910" s="1"/>
      <c r="C910" s="28"/>
      <c r="D910" s="19"/>
      <c r="G910" s="29"/>
      <c r="H910" s="212"/>
      <c r="I910" s="1"/>
      <c r="K910" s="30"/>
      <c r="L910" s="30"/>
      <c r="M910" s="1"/>
      <c r="N910" s="211"/>
      <c r="O910" s="211"/>
      <c r="P910" s="31"/>
      <c r="Q910" s="211"/>
      <c r="R910" s="211"/>
      <c r="S910" s="31"/>
      <c r="V910" s="1"/>
      <c r="W910" s="1"/>
      <c r="X910" s="1"/>
      <c r="Y910" s="30"/>
      <c r="Z910" s="211"/>
    </row>
    <row r="911" spans="2:26">
      <c r="B911" s="1"/>
      <c r="C911" s="28"/>
      <c r="D911" s="19"/>
      <c r="G911" s="29"/>
      <c r="H911" s="212"/>
      <c r="I911" s="1"/>
      <c r="K911" s="30"/>
      <c r="L911" s="30"/>
      <c r="M911" s="1"/>
      <c r="N911" s="211"/>
      <c r="O911" s="211"/>
      <c r="P911" s="31"/>
      <c r="Q911" s="211"/>
      <c r="R911" s="211"/>
      <c r="S911" s="31"/>
      <c r="V911" s="1"/>
      <c r="W911" s="1"/>
      <c r="X911" s="1"/>
      <c r="Y911" s="30"/>
      <c r="Z911" s="211"/>
    </row>
    <row r="912" spans="2:26">
      <c r="B912" s="1"/>
      <c r="C912" s="28"/>
      <c r="D912" s="19"/>
      <c r="G912" s="29"/>
      <c r="H912" s="212"/>
      <c r="I912" s="1"/>
      <c r="K912" s="30"/>
      <c r="L912" s="30"/>
      <c r="M912" s="1"/>
      <c r="N912" s="211"/>
      <c r="O912" s="211"/>
      <c r="P912" s="31"/>
      <c r="Q912" s="211"/>
      <c r="R912" s="211"/>
      <c r="S912" s="31"/>
      <c r="V912" s="1"/>
      <c r="W912" s="1"/>
      <c r="X912" s="1"/>
      <c r="Y912" s="30"/>
      <c r="Z912" s="211"/>
    </row>
    <row r="913" spans="2:26">
      <c r="B913" s="1"/>
      <c r="C913" s="28"/>
      <c r="D913" s="19"/>
      <c r="G913" s="29"/>
      <c r="H913" s="212"/>
      <c r="I913" s="1"/>
      <c r="K913" s="30"/>
      <c r="L913" s="30"/>
      <c r="M913" s="1"/>
      <c r="N913" s="211"/>
      <c r="O913" s="211"/>
      <c r="P913" s="31"/>
      <c r="Q913" s="211"/>
      <c r="R913" s="211"/>
      <c r="S913" s="31"/>
      <c r="V913" s="1"/>
      <c r="W913" s="1"/>
      <c r="X913" s="1"/>
      <c r="Y913" s="30"/>
      <c r="Z913" s="211"/>
    </row>
    <row r="914" spans="2:26">
      <c r="B914" s="1"/>
      <c r="C914" s="28"/>
      <c r="D914" s="19"/>
      <c r="G914" s="29"/>
      <c r="H914" s="212"/>
      <c r="I914" s="1"/>
      <c r="K914" s="30"/>
      <c r="L914" s="30"/>
      <c r="M914" s="1"/>
      <c r="N914" s="211"/>
      <c r="O914" s="211"/>
      <c r="P914" s="31"/>
      <c r="Q914" s="211"/>
      <c r="R914" s="211"/>
      <c r="S914" s="31"/>
      <c r="V914" s="1"/>
      <c r="W914" s="1"/>
      <c r="X914" s="1"/>
      <c r="Y914" s="30"/>
      <c r="Z914" s="211"/>
    </row>
    <row r="915" spans="2:26">
      <c r="B915" s="1"/>
      <c r="C915" s="28"/>
      <c r="D915" s="19"/>
      <c r="G915" s="29"/>
      <c r="H915" s="212"/>
      <c r="I915" s="1"/>
      <c r="K915" s="30"/>
      <c r="L915" s="30"/>
      <c r="M915" s="1"/>
      <c r="N915" s="211"/>
      <c r="O915" s="211"/>
      <c r="P915" s="31"/>
      <c r="Q915" s="211"/>
      <c r="R915" s="211"/>
      <c r="S915" s="31"/>
      <c r="V915" s="1"/>
      <c r="W915" s="1"/>
      <c r="X915" s="1"/>
      <c r="Y915" s="30"/>
      <c r="Z915" s="211"/>
    </row>
    <row r="916" spans="2:26">
      <c r="B916" s="1"/>
      <c r="C916" s="28"/>
      <c r="D916" s="19"/>
      <c r="G916" s="29"/>
      <c r="H916" s="212"/>
      <c r="I916" s="1"/>
      <c r="K916" s="30"/>
      <c r="L916" s="30"/>
      <c r="M916" s="1"/>
      <c r="N916" s="211"/>
      <c r="O916" s="211"/>
      <c r="P916" s="31"/>
      <c r="Q916" s="211"/>
      <c r="R916" s="211"/>
      <c r="S916" s="31"/>
      <c r="V916" s="1"/>
      <c r="W916" s="1"/>
      <c r="X916" s="1"/>
      <c r="Y916" s="30"/>
      <c r="Z916" s="211"/>
    </row>
    <row r="917" spans="2:26">
      <c r="B917" s="1"/>
      <c r="C917" s="28"/>
      <c r="D917" s="19"/>
      <c r="G917" s="29"/>
      <c r="H917" s="212"/>
      <c r="I917" s="1"/>
      <c r="K917" s="30"/>
      <c r="L917" s="30"/>
      <c r="M917" s="1"/>
      <c r="N917" s="211"/>
      <c r="O917" s="211"/>
      <c r="P917" s="31"/>
      <c r="Q917" s="211"/>
      <c r="R917" s="211"/>
      <c r="S917" s="31"/>
      <c r="V917" s="1"/>
      <c r="W917" s="1"/>
      <c r="X917" s="1"/>
      <c r="Y917" s="30"/>
      <c r="Z917" s="211"/>
    </row>
    <row r="918" spans="2:26">
      <c r="B918" s="1"/>
      <c r="C918" s="28"/>
      <c r="D918" s="19"/>
      <c r="G918" s="29"/>
      <c r="H918" s="212"/>
      <c r="I918" s="1"/>
      <c r="K918" s="30"/>
      <c r="L918" s="30"/>
      <c r="M918" s="1"/>
      <c r="N918" s="211"/>
      <c r="O918" s="211"/>
      <c r="P918" s="31"/>
      <c r="Q918" s="211"/>
      <c r="R918" s="211"/>
      <c r="S918" s="31"/>
      <c r="V918" s="1"/>
      <c r="W918" s="1"/>
      <c r="X918" s="1"/>
      <c r="Y918" s="30"/>
      <c r="Z918" s="211"/>
    </row>
    <row r="919" spans="2:26">
      <c r="B919" s="1"/>
      <c r="C919" s="28"/>
      <c r="D919" s="19"/>
      <c r="G919" s="29"/>
      <c r="H919" s="212"/>
      <c r="I919" s="1"/>
      <c r="K919" s="30"/>
      <c r="L919" s="30"/>
      <c r="M919" s="1"/>
      <c r="N919" s="211"/>
      <c r="O919" s="211"/>
      <c r="P919" s="31"/>
      <c r="Q919" s="211"/>
      <c r="R919" s="211"/>
      <c r="S919" s="31"/>
      <c r="V919" s="1"/>
      <c r="W919" s="1"/>
      <c r="X919" s="1"/>
      <c r="Y919" s="30"/>
      <c r="Z919" s="211"/>
    </row>
    <row r="920" spans="2:26">
      <c r="B920" s="1"/>
      <c r="C920" s="28"/>
      <c r="D920" s="19"/>
      <c r="G920" s="29"/>
      <c r="H920" s="212"/>
      <c r="I920" s="1"/>
      <c r="K920" s="30"/>
      <c r="L920" s="30"/>
      <c r="M920" s="1"/>
      <c r="N920" s="211"/>
      <c r="O920" s="211"/>
      <c r="P920" s="31"/>
      <c r="Q920" s="211"/>
      <c r="R920" s="211"/>
      <c r="S920" s="31"/>
      <c r="V920" s="1"/>
      <c r="W920" s="1"/>
      <c r="X920" s="1"/>
      <c r="Y920" s="30"/>
      <c r="Z920" s="211"/>
    </row>
    <row r="921" spans="2:26">
      <c r="B921" s="1"/>
      <c r="C921" s="28"/>
      <c r="D921" s="19"/>
      <c r="G921" s="29"/>
      <c r="H921" s="212"/>
      <c r="I921" s="1"/>
      <c r="K921" s="30"/>
      <c r="L921" s="30"/>
      <c r="M921" s="1"/>
      <c r="N921" s="211"/>
      <c r="O921" s="211"/>
      <c r="P921" s="31"/>
      <c r="Q921" s="211"/>
      <c r="R921" s="211"/>
      <c r="S921" s="31"/>
      <c r="V921" s="1"/>
      <c r="W921" s="1"/>
      <c r="X921" s="1"/>
      <c r="Y921" s="30"/>
      <c r="Z921" s="211"/>
    </row>
    <row r="922" spans="2:26">
      <c r="B922" s="1"/>
      <c r="C922" s="28"/>
      <c r="D922" s="19"/>
      <c r="G922" s="29"/>
      <c r="H922" s="212"/>
      <c r="I922" s="1"/>
      <c r="K922" s="30"/>
      <c r="L922" s="30"/>
      <c r="M922" s="1"/>
      <c r="N922" s="211"/>
      <c r="O922" s="211"/>
      <c r="P922" s="31"/>
      <c r="Q922" s="211"/>
      <c r="R922" s="211"/>
      <c r="S922" s="31"/>
      <c r="V922" s="1"/>
      <c r="W922" s="1"/>
      <c r="X922" s="1"/>
      <c r="Y922" s="30"/>
      <c r="Z922" s="211"/>
    </row>
    <row r="923" spans="2:26">
      <c r="B923" s="1"/>
      <c r="C923" s="28"/>
      <c r="D923" s="19"/>
      <c r="G923" s="29"/>
      <c r="H923" s="212"/>
      <c r="I923" s="1"/>
      <c r="K923" s="30"/>
      <c r="L923" s="30"/>
      <c r="M923" s="1"/>
      <c r="N923" s="211"/>
      <c r="O923" s="211"/>
      <c r="P923" s="31"/>
      <c r="Q923" s="211"/>
      <c r="R923" s="211"/>
      <c r="S923" s="31"/>
      <c r="V923" s="1"/>
      <c r="W923" s="1"/>
      <c r="X923" s="1"/>
      <c r="Y923" s="30"/>
      <c r="Z923" s="211"/>
    </row>
    <row r="924" spans="2:26">
      <c r="B924" s="1"/>
      <c r="C924" s="28"/>
      <c r="D924" s="19"/>
      <c r="G924" s="29"/>
      <c r="H924" s="212"/>
      <c r="I924" s="1"/>
      <c r="K924" s="30"/>
      <c r="L924" s="30"/>
      <c r="M924" s="1"/>
      <c r="N924" s="211"/>
      <c r="O924" s="211"/>
      <c r="P924" s="31"/>
      <c r="Q924" s="211"/>
      <c r="R924" s="211"/>
      <c r="S924" s="31"/>
      <c r="V924" s="1"/>
      <c r="W924" s="1"/>
      <c r="X924" s="1"/>
      <c r="Y924" s="30"/>
      <c r="Z924" s="211"/>
    </row>
    <row r="925" spans="2:26">
      <c r="B925" s="1"/>
      <c r="C925" s="28"/>
      <c r="D925" s="19"/>
      <c r="G925" s="29"/>
      <c r="H925" s="212"/>
      <c r="I925" s="1"/>
      <c r="K925" s="30"/>
      <c r="L925" s="30"/>
      <c r="M925" s="1"/>
      <c r="N925" s="211"/>
      <c r="O925" s="211"/>
      <c r="P925" s="31"/>
      <c r="Q925" s="211"/>
      <c r="R925" s="211"/>
      <c r="S925" s="31"/>
      <c r="V925" s="1"/>
      <c r="W925" s="1"/>
      <c r="X925" s="1"/>
      <c r="Y925" s="30"/>
      <c r="Z925" s="211"/>
    </row>
    <row r="926" spans="2:26">
      <c r="B926" s="1"/>
      <c r="C926" s="28"/>
      <c r="D926" s="19"/>
      <c r="G926" s="29"/>
      <c r="H926" s="212"/>
      <c r="I926" s="1"/>
      <c r="K926" s="30"/>
      <c r="L926" s="30"/>
      <c r="M926" s="1"/>
      <c r="N926" s="211"/>
      <c r="O926" s="211"/>
      <c r="P926" s="31"/>
      <c r="Q926" s="211"/>
      <c r="R926" s="211"/>
      <c r="S926" s="31"/>
      <c r="V926" s="1"/>
      <c r="W926" s="1"/>
      <c r="X926" s="1"/>
      <c r="Y926" s="30"/>
      <c r="Z926" s="211"/>
    </row>
    <row r="927" spans="2:26">
      <c r="B927" s="1"/>
      <c r="C927" s="28"/>
      <c r="D927" s="19"/>
      <c r="G927" s="29"/>
      <c r="H927" s="212"/>
      <c r="I927" s="1"/>
      <c r="K927" s="30"/>
      <c r="L927" s="30"/>
      <c r="M927" s="1"/>
      <c r="N927" s="211"/>
      <c r="O927" s="211"/>
      <c r="P927" s="31"/>
      <c r="Q927" s="211"/>
      <c r="R927" s="211"/>
      <c r="S927" s="31"/>
      <c r="V927" s="1"/>
      <c r="W927" s="1"/>
      <c r="X927" s="1"/>
      <c r="Y927" s="30"/>
      <c r="Z927" s="211"/>
    </row>
    <row r="928" spans="2:26">
      <c r="B928" s="1"/>
      <c r="C928" s="28"/>
      <c r="D928" s="19"/>
      <c r="G928" s="29"/>
      <c r="H928" s="212"/>
      <c r="I928" s="1"/>
      <c r="K928" s="30"/>
      <c r="L928" s="30"/>
      <c r="M928" s="1"/>
      <c r="N928" s="211"/>
      <c r="O928" s="211"/>
      <c r="P928" s="31"/>
      <c r="Q928" s="211"/>
      <c r="R928" s="211"/>
      <c r="S928" s="31"/>
      <c r="V928" s="1"/>
      <c r="W928" s="1"/>
      <c r="X928" s="1"/>
      <c r="Y928" s="30"/>
      <c r="Z928" s="211"/>
    </row>
    <row r="929" spans="2:26">
      <c r="B929" s="1"/>
      <c r="C929" s="28"/>
      <c r="D929" s="19"/>
      <c r="G929" s="29"/>
      <c r="H929" s="212"/>
      <c r="I929" s="1"/>
      <c r="K929" s="30"/>
      <c r="L929" s="30"/>
      <c r="M929" s="1"/>
      <c r="N929" s="211"/>
      <c r="O929" s="211"/>
      <c r="P929" s="31"/>
      <c r="Q929" s="211"/>
      <c r="R929" s="211"/>
      <c r="S929" s="31"/>
      <c r="V929" s="1"/>
      <c r="W929" s="1"/>
      <c r="X929" s="1"/>
      <c r="Y929" s="30"/>
      <c r="Z929" s="211"/>
    </row>
    <row r="930" spans="2:26">
      <c r="B930" s="1"/>
      <c r="C930" s="28"/>
      <c r="D930" s="19"/>
      <c r="G930" s="29"/>
      <c r="H930" s="212"/>
      <c r="I930" s="1"/>
      <c r="K930" s="30"/>
      <c r="L930" s="30"/>
      <c r="M930" s="1"/>
      <c r="N930" s="211"/>
      <c r="O930" s="211"/>
      <c r="P930" s="31"/>
      <c r="Q930" s="211"/>
      <c r="R930" s="211"/>
      <c r="S930" s="31"/>
      <c r="V930" s="1"/>
      <c r="W930" s="1"/>
      <c r="X930" s="1"/>
      <c r="Y930" s="30"/>
      <c r="Z930" s="211"/>
    </row>
    <row r="931" spans="2:26">
      <c r="B931" s="1"/>
      <c r="C931" s="28"/>
      <c r="D931" s="19"/>
      <c r="G931" s="29"/>
      <c r="H931" s="212"/>
      <c r="I931" s="1"/>
      <c r="K931" s="30"/>
      <c r="L931" s="30"/>
      <c r="M931" s="1"/>
      <c r="N931" s="211"/>
      <c r="O931" s="211"/>
      <c r="P931" s="31"/>
      <c r="Q931" s="211"/>
      <c r="R931" s="211"/>
      <c r="S931" s="31"/>
      <c r="V931" s="1"/>
      <c r="W931" s="1"/>
      <c r="X931" s="1"/>
      <c r="Y931" s="30"/>
      <c r="Z931" s="211"/>
    </row>
    <row r="932" spans="2:26">
      <c r="B932" s="1"/>
      <c r="C932" s="28"/>
      <c r="D932" s="19"/>
      <c r="G932" s="29"/>
      <c r="H932" s="212"/>
      <c r="I932" s="1"/>
      <c r="K932" s="30"/>
      <c r="L932" s="30"/>
      <c r="M932" s="1"/>
      <c r="N932" s="211"/>
      <c r="O932" s="211"/>
      <c r="P932" s="31"/>
      <c r="Q932" s="211"/>
      <c r="R932" s="211"/>
      <c r="S932" s="31"/>
      <c r="V932" s="1"/>
      <c r="W932" s="1"/>
      <c r="X932" s="1"/>
      <c r="Y932" s="30"/>
      <c r="Z932" s="211"/>
    </row>
    <row r="933" spans="2:26">
      <c r="B933" s="1"/>
      <c r="C933" s="28"/>
      <c r="D933" s="19"/>
      <c r="G933" s="29"/>
      <c r="H933" s="212"/>
      <c r="I933" s="1"/>
      <c r="K933" s="30"/>
      <c r="L933" s="30"/>
      <c r="M933" s="1"/>
      <c r="N933" s="211"/>
      <c r="O933" s="211"/>
      <c r="P933" s="31"/>
      <c r="Q933" s="211"/>
      <c r="R933" s="211"/>
      <c r="S933" s="31"/>
      <c r="V933" s="1"/>
      <c r="W933" s="1"/>
      <c r="X933" s="1"/>
      <c r="Y933" s="30"/>
      <c r="Z933" s="211"/>
    </row>
    <row r="934" spans="2:26">
      <c r="B934" s="1"/>
      <c r="C934" s="28"/>
      <c r="D934" s="19"/>
      <c r="G934" s="29"/>
      <c r="H934" s="212"/>
      <c r="I934" s="1"/>
      <c r="K934" s="30"/>
      <c r="L934" s="30"/>
      <c r="M934" s="1"/>
      <c r="N934" s="211"/>
      <c r="O934" s="211"/>
      <c r="P934" s="31"/>
      <c r="Q934" s="211"/>
      <c r="R934" s="211"/>
      <c r="S934" s="31"/>
      <c r="V934" s="1"/>
      <c r="W934" s="1"/>
      <c r="X934" s="1"/>
      <c r="Y934" s="30"/>
      <c r="Z934" s="211"/>
    </row>
    <row r="935" spans="2:26">
      <c r="B935" s="1"/>
      <c r="C935" s="28"/>
      <c r="D935" s="19"/>
      <c r="G935" s="29"/>
      <c r="H935" s="212"/>
      <c r="I935" s="1"/>
      <c r="K935" s="30"/>
      <c r="L935" s="30"/>
      <c r="M935" s="1"/>
      <c r="N935" s="211"/>
      <c r="O935" s="211"/>
      <c r="P935" s="31"/>
      <c r="Q935" s="211"/>
      <c r="R935" s="211"/>
      <c r="S935" s="31"/>
      <c r="V935" s="1"/>
      <c r="W935" s="1"/>
      <c r="X935" s="1"/>
      <c r="Y935" s="30"/>
      <c r="Z935" s="211"/>
    </row>
    <row r="936" spans="2:26">
      <c r="B936" s="1"/>
      <c r="C936" s="28"/>
      <c r="D936" s="19"/>
      <c r="G936" s="29"/>
      <c r="H936" s="212"/>
      <c r="I936" s="1"/>
      <c r="K936" s="30"/>
      <c r="L936" s="30"/>
      <c r="M936" s="1"/>
      <c r="N936" s="211"/>
      <c r="O936" s="211"/>
      <c r="P936" s="31"/>
      <c r="Q936" s="211"/>
      <c r="R936" s="211"/>
      <c r="S936" s="31"/>
      <c r="V936" s="1"/>
      <c r="W936" s="1"/>
      <c r="X936" s="1"/>
      <c r="Y936" s="30"/>
      <c r="Z936" s="211"/>
    </row>
    <row r="937" spans="2:26">
      <c r="B937" s="1"/>
      <c r="C937" s="28"/>
      <c r="D937" s="19"/>
      <c r="G937" s="29"/>
      <c r="H937" s="212"/>
      <c r="I937" s="1"/>
      <c r="K937" s="30"/>
      <c r="L937" s="30"/>
      <c r="M937" s="1"/>
      <c r="N937" s="211"/>
      <c r="O937" s="211"/>
      <c r="P937" s="31"/>
      <c r="Q937" s="211"/>
      <c r="R937" s="211"/>
      <c r="S937" s="31"/>
      <c r="V937" s="1"/>
      <c r="W937" s="1"/>
      <c r="X937" s="1"/>
      <c r="Y937" s="30"/>
      <c r="Z937" s="211"/>
    </row>
    <row r="938" spans="2:26">
      <c r="B938" s="1"/>
      <c r="C938" s="28"/>
      <c r="D938" s="19"/>
      <c r="G938" s="29"/>
      <c r="H938" s="212"/>
      <c r="I938" s="1"/>
      <c r="K938" s="30"/>
      <c r="L938" s="30"/>
      <c r="M938" s="1"/>
      <c r="N938" s="211"/>
      <c r="O938" s="211"/>
      <c r="P938" s="31"/>
      <c r="Q938" s="211"/>
      <c r="R938" s="211"/>
      <c r="S938" s="31"/>
      <c r="V938" s="1"/>
      <c r="W938" s="1"/>
      <c r="X938" s="1"/>
      <c r="Y938" s="30"/>
      <c r="Z938" s="211"/>
    </row>
    <row r="939" spans="2:26">
      <c r="B939" s="1"/>
      <c r="C939" s="28"/>
      <c r="D939" s="19"/>
      <c r="G939" s="29"/>
      <c r="H939" s="212"/>
      <c r="I939" s="1"/>
      <c r="K939" s="30"/>
      <c r="L939" s="30"/>
      <c r="M939" s="1"/>
      <c r="N939" s="211"/>
      <c r="O939" s="211"/>
      <c r="P939" s="31"/>
      <c r="Q939" s="211"/>
      <c r="R939" s="211"/>
      <c r="S939" s="31"/>
      <c r="V939" s="1"/>
      <c r="W939" s="1"/>
      <c r="X939" s="1"/>
      <c r="Y939" s="30"/>
      <c r="Z939" s="211"/>
    </row>
    <row r="940" spans="2:26">
      <c r="B940" s="1"/>
      <c r="C940" s="28"/>
      <c r="D940" s="19"/>
      <c r="G940" s="29"/>
      <c r="H940" s="212"/>
      <c r="I940" s="1"/>
      <c r="K940" s="30"/>
      <c r="L940" s="30"/>
      <c r="M940" s="1"/>
      <c r="N940" s="211"/>
      <c r="O940" s="211"/>
      <c r="P940" s="31"/>
      <c r="Q940" s="211"/>
      <c r="R940" s="211"/>
      <c r="S940" s="31"/>
      <c r="V940" s="1"/>
      <c r="W940" s="1"/>
      <c r="X940" s="1"/>
      <c r="Y940" s="30"/>
      <c r="Z940" s="211"/>
    </row>
    <row r="941" spans="2:26">
      <c r="B941" s="1"/>
      <c r="C941" s="28"/>
      <c r="D941" s="19"/>
      <c r="G941" s="29"/>
      <c r="H941" s="212"/>
      <c r="I941" s="1"/>
      <c r="K941" s="30"/>
      <c r="L941" s="30"/>
      <c r="M941" s="1"/>
      <c r="N941" s="211"/>
      <c r="O941" s="211"/>
      <c r="P941" s="31"/>
      <c r="Q941" s="211"/>
      <c r="R941" s="211"/>
      <c r="S941" s="31"/>
      <c r="V941" s="1"/>
      <c r="W941" s="1"/>
      <c r="X941" s="1"/>
      <c r="Y941" s="30"/>
      <c r="Z941" s="211"/>
    </row>
    <row r="942" spans="2:26">
      <c r="B942" s="1"/>
      <c r="C942" s="28"/>
      <c r="D942" s="19"/>
      <c r="G942" s="29"/>
      <c r="H942" s="212"/>
      <c r="I942" s="1"/>
      <c r="K942" s="30"/>
      <c r="L942" s="30"/>
      <c r="M942" s="1"/>
      <c r="N942" s="211"/>
      <c r="O942" s="211"/>
      <c r="P942" s="31"/>
      <c r="Q942" s="211"/>
      <c r="R942" s="211"/>
      <c r="S942" s="31"/>
      <c r="V942" s="1"/>
      <c r="W942" s="1"/>
      <c r="X942" s="1"/>
      <c r="Y942" s="30"/>
      <c r="Z942" s="211"/>
    </row>
    <row r="943" spans="2:26">
      <c r="B943" s="1"/>
      <c r="C943" s="28"/>
      <c r="D943" s="19"/>
      <c r="G943" s="29"/>
      <c r="H943" s="212"/>
      <c r="I943" s="1"/>
      <c r="K943" s="30"/>
      <c r="L943" s="30"/>
      <c r="M943" s="1"/>
      <c r="N943" s="211"/>
      <c r="O943" s="211"/>
      <c r="P943" s="31"/>
      <c r="Q943" s="211"/>
      <c r="R943" s="211"/>
      <c r="S943" s="31"/>
      <c r="V943" s="1"/>
      <c r="W943" s="1"/>
      <c r="X943" s="1"/>
      <c r="Y943" s="30"/>
      <c r="Z943" s="211"/>
    </row>
    <row r="944" spans="2:26">
      <c r="B944" s="1"/>
      <c r="C944" s="28"/>
      <c r="D944" s="19"/>
      <c r="G944" s="29"/>
      <c r="H944" s="212"/>
      <c r="I944" s="1"/>
      <c r="K944" s="30"/>
      <c r="L944" s="30"/>
      <c r="M944" s="1"/>
      <c r="N944" s="211"/>
      <c r="O944" s="211"/>
      <c r="P944" s="31"/>
      <c r="Q944" s="211"/>
      <c r="R944" s="211"/>
      <c r="S944" s="31"/>
      <c r="V944" s="1"/>
      <c r="W944" s="1"/>
      <c r="X944" s="1"/>
      <c r="Y944" s="30"/>
      <c r="Z944" s="211"/>
    </row>
    <row r="945" spans="2:26">
      <c r="B945" s="1"/>
      <c r="C945" s="28"/>
      <c r="D945" s="19"/>
      <c r="G945" s="29"/>
      <c r="H945" s="212"/>
      <c r="I945" s="1"/>
      <c r="K945" s="30"/>
      <c r="L945" s="30"/>
      <c r="M945" s="1"/>
      <c r="N945" s="211"/>
      <c r="O945" s="211"/>
      <c r="P945" s="31"/>
      <c r="Q945" s="211"/>
      <c r="R945" s="211"/>
      <c r="S945" s="31"/>
      <c r="V945" s="1"/>
      <c r="W945" s="1"/>
      <c r="X945" s="1"/>
      <c r="Y945" s="30"/>
      <c r="Z945" s="211"/>
    </row>
    <row r="946" spans="2:26">
      <c r="B946" s="1"/>
      <c r="C946" s="28"/>
      <c r="D946" s="19"/>
      <c r="G946" s="29"/>
      <c r="H946" s="212"/>
      <c r="I946" s="1"/>
      <c r="K946" s="30"/>
      <c r="L946" s="30"/>
      <c r="M946" s="1"/>
      <c r="N946" s="211"/>
      <c r="O946" s="211"/>
      <c r="P946" s="31"/>
      <c r="Q946" s="211"/>
      <c r="R946" s="211"/>
      <c r="S946" s="31"/>
      <c r="V946" s="1"/>
      <c r="W946" s="1"/>
      <c r="X946" s="1"/>
      <c r="Y946" s="30"/>
      <c r="Z946" s="211"/>
    </row>
    <row r="947" spans="2:26">
      <c r="B947" s="1"/>
      <c r="C947" s="28"/>
      <c r="D947" s="19"/>
      <c r="G947" s="29"/>
      <c r="H947" s="212"/>
      <c r="I947" s="1"/>
      <c r="K947" s="30"/>
      <c r="L947" s="30"/>
      <c r="M947" s="1"/>
      <c r="N947" s="211"/>
      <c r="O947" s="211"/>
      <c r="P947" s="31"/>
      <c r="Q947" s="211"/>
      <c r="R947" s="211"/>
      <c r="S947" s="31"/>
      <c r="V947" s="1"/>
      <c r="W947" s="1"/>
      <c r="X947" s="1"/>
      <c r="Y947" s="30"/>
      <c r="Z947" s="211"/>
    </row>
    <row r="948" spans="2:26">
      <c r="B948" s="1"/>
      <c r="C948" s="28"/>
      <c r="D948" s="19"/>
      <c r="G948" s="29"/>
      <c r="H948" s="212"/>
      <c r="I948" s="1"/>
      <c r="K948" s="30"/>
      <c r="L948" s="30"/>
      <c r="M948" s="1"/>
      <c r="N948" s="211"/>
      <c r="O948" s="211"/>
      <c r="P948" s="31"/>
      <c r="Q948" s="211"/>
      <c r="R948" s="211"/>
      <c r="S948" s="31"/>
      <c r="V948" s="1"/>
      <c r="W948" s="1"/>
      <c r="X948" s="1"/>
      <c r="Y948" s="30"/>
      <c r="Z948" s="211"/>
    </row>
    <row r="949" spans="2:26">
      <c r="B949" s="1"/>
      <c r="C949" s="28"/>
      <c r="D949" s="19"/>
      <c r="G949" s="29"/>
      <c r="H949" s="212"/>
      <c r="I949" s="1"/>
      <c r="K949" s="30"/>
      <c r="L949" s="30"/>
      <c r="M949" s="1"/>
      <c r="N949" s="211"/>
      <c r="O949" s="211"/>
      <c r="P949" s="31"/>
      <c r="Q949" s="211"/>
      <c r="R949" s="211"/>
      <c r="S949" s="31"/>
      <c r="V949" s="1"/>
      <c r="W949" s="1"/>
      <c r="X949" s="1"/>
      <c r="Y949" s="30"/>
      <c r="Z949" s="211"/>
    </row>
    <row r="950" spans="2:26">
      <c r="B950" s="1"/>
      <c r="C950" s="28"/>
      <c r="D950" s="19"/>
      <c r="G950" s="29"/>
      <c r="H950" s="212"/>
      <c r="I950" s="1"/>
      <c r="K950" s="30"/>
      <c r="L950" s="30"/>
      <c r="M950" s="1"/>
      <c r="N950" s="211"/>
      <c r="O950" s="211"/>
      <c r="P950" s="31"/>
      <c r="Q950" s="211"/>
      <c r="R950" s="211"/>
      <c r="S950" s="31"/>
      <c r="V950" s="1"/>
      <c r="W950" s="1"/>
      <c r="X950" s="1"/>
      <c r="Y950" s="30"/>
      <c r="Z950" s="211"/>
    </row>
    <row r="951" spans="2:26">
      <c r="B951" s="1"/>
      <c r="C951" s="28"/>
      <c r="D951" s="19"/>
      <c r="G951" s="29"/>
      <c r="H951" s="212"/>
      <c r="I951" s="1"/>
      <c r="K951" s="30"/>
      <c r="L951" s="30"/>
      <c r="M951" s="1"/>
      <c r="N951" s="211"/>
      <c r="O951" s="211"/>
      <c r="P951" s="31"/>
      <c r="Q951" s="211"/>
      <c r="R951" s="211"/>
      <c r="S951" s="31"/>
      <c r="V951" s="1"/>
      <c r="W951" s="1"/>
      <c r="X951" s="1"/>
      <c r="Y951" s="30"/>
      <c r="Z951" s="211"/>
    </row>
    <row r="952" spans="2:26">
      <c r="B952" s="1"/>
      <c r="C952" s="28"/>
      <c r="D952" s="19"/>
      <c r="G952" s="29"/>
      <c r="H952" s="212"/>
      <c r="I952" s="1"/>
      <c r="K952" s="30"/>
      <c r="L952" s="30"/>
      <c r="M952" s="1"/>
      <c r="N952" s="211"/>
      <c r="O952" s="211"/>
      <c r="P952" s="31"/>
      <c r="Q952" s="211"/>
      <c r="R952" s="211"/>
      <c r="S952" s="31"/>
      <c r="V952" s="1"/>
      <c r="W952" s="1"/>
      <c r="X952" s="1"/>
      <c r="Y952" s="30"/>
      <c r="Z952" s="211"/>
    </row>
    <row r="953" spans="2:26">
      <c r="B953" s="1"/>
      <c r="C953" s="28"/>
      <c r="D953" s="19"/>
      <c r="G953" s="29"/>
      <c r="H953" s="212"/>
      <c r="I953" s="1"/>
      <c r="K953" s="30"/>
      <c r="L953" s="30"/>
      <c r="M953" s="1"/>
      <c r="N953" s="211"/>
      <c r="O953" s="211"/>
      <c r="P953" s="31"/>
      <c r="Q953" s="211"/>
      <c r="R953" s="211"/>
      <c r="S953" s="31"/>
      <c r="V953" s="1"/>
      <c r="W953" s="1"/>
      <c r="X953" s="1"/>
      <c r="Y953" s="30"/>
      <c r="Z953" s="211"/>
    </row>
    <row r="954" spans="2:26">
      <c r="B954" s="1"/>
      <c r="C954" s="28"/>
      <c r="D954" s="19"/>
      <c r="G954" s="29"/>
      <c r="H954" s="212"/>
      <c r="I954" s="1"/>
      <c r="K954" s="30"/>
      <c r="L954" s="30"/>
      <c r="M954" s="1"/>
      <c r="N954" s="211"/>
      <c r="O954" s="211"/>
      <c r="P954" s="31"/>
      <c r="Q954" s="211"/>
      <c r="R954" s="211"/>
      <c r="S954" s="31"/>
      <c r="V954" s="1"/>
      <c r="W954" s="1"/>
      <c r="X954" s="1"/>
      <c r="Y954" s="30"/>
      <c r="Z954" s="211"/>
    </row>
    <row r="955" spans="2:26">
      <c r="B955" s="1"/>
      <c r="C955" s="28"/>
      <c r="D955" s="19"/>
      <c r="G955" s="29"/>
      <c r="H955" s="212"/>
      <c r="I955" s="1"/>
      <c r="J955" s="216"/>
      <c r="K955" s="30"/>
      <c r="L955" s="30"/>
      <c r="M955" s="1"/>
      <c r="N955" s="211"/>
      <c r="O955" s="211"/>
      <c r="P955" s="31"/>
      <c r="Q955" s="211"/>
      <c r="R955" s="211"/>
      <c r="S955" s="31"/>
      <c r="V955" s="1"/>
      <c r="W955" s="1"/>
      <c r="X955" s="1"/>
      <c r="Y955" s="30"/>
      <c r="Z955" s="211"/>
    </row>
    <row r="956" spans="2:26">
      <c r="B956" s="1"/>
      <c r="C956" s="28"/>
      <c r="D956" s="19"/>
      <c r="G956" s="29"/>
      <c r="H956" s="212"/>
      <c r="I956" s="1"/>
      <c r="K956" s="30"/>
      <c r="L956" s="30"/>
      <c r="M956" s="1"/>
      <c r="N956" s="211"/>
      <c r="O956" s="211"/>
      <c r="P956" s="31"/>
      <c r="Q956" s="211"/>
      <c r="R956" s="211"/>
      <c r="S956" s="31"/>
      <c r="V956" s="1"/>
      <c r="W956" s="1"/>
      <c r="X956" s="1"/>
      <c r="Y956" s="30"/>
      <c r="Z956" s="211"/>
    </row>
    <row r="957" spans="2:26">
      <c r="B957" s="1"/>
      <c r="C957" s="28"/>
      <c r="D957" s="19"/>
      <c r="G957" s="29"/>
      <c r="H957" s="212"/>
      <c r="I957" s="1"/>
      <c r="K957" s="30"/>
      <c r="L957" s="30"/>
      <c r="M957" s="1"/>
      <c r="N957" s="211"/>
      <c r="O957" s="211"/>
      <c r="P957" s="31"/>
      <c r="Q957" s="211"/>
      <c r="R957" s="211"/>
      <c r="S957" s="31"/>
      <c r="V957" s="1"/>
      <c r="W957" s="1"/>
      <c r="X957" s="1"/>
      <c r="Y957" s="30"/>
      <c r="Z957" s="211"/>
    </row>
    <row r="958" spans="2:26">
      <c r="B958" s="1"/>
      <c r="C958" s="28"/>
      <c r="D958" s="19"/>
      <c r="G958" s="29"/>
      <c r="H958" s="212"/>
      <c r="I958" s="1"/>
      <c r="K958" s="30"/>
      <c r="L958" s="30"/>
      <c r="M958" s="1"/>
      <c r="N958" s="211"/>
      <c r="O958" s="211"/>
      <c r="P958" s="31"/>
      <c r="Q958" s="211"/>
      <c r="R958" s="211"/>
      <c r="S958" s="31"/>
      <c r="V958" s="1"/>
      <c r="W958" s="1"/>
      <c r="X958" s="1"/>
      <c r="Y958" s="30"/>
      <c r="Z958" s="211"/>
    </row>
    <row r="959" spans="2:26">
      <c r="B959" s="1"/>
      <c r="C959" s="28"/>
      <c r="D959" s="19"/>
      <c r="G959" s="29"/>
      <c r="H959" s="212"/>
      <c r="I959" s="1"/>
      <c r="K959" s="30"/>
      <c r="L959" s="30"/>
      <c r="M959" s="1"/>
      <c r="N959" s="211"/>
      <c r="O959" s="211"/>
      <c r="P959" s="31"/>
      <c r="Q959" s="211"/>
      <c r="R959" s="211"/>
      <c r="S959" s="31"/>
      <c r="V959" s="1"/>
      <c r="W959" s="1"/>
      <c r="X959" s="1"/>
      <c r="Y959" s="30"/>
      <c r="Z959" s="211"/>
    </row>
    <row r="960" spans="2:26">
      <c r="B960" s="1"/>
      <c r="C960" s="28"/>
      <c r="D960" s="19"/>
      <c r="G960" s="29"/>
      <c r="H960" s="212"/>
      <c r="I960" s="1"/>
      <c r="K960" s="30"/>
      <c r="L960" s="30"/>
      <c r="M960" s="1"/>
      <c r="N960" s="211"/>
      <c r="O960" s="211"/>
      <c r="P960" s="31"/>
      <c r="Q960" s="211"/>
      <c r="R960" s="211"/>
      <c r="S960" s="31"/>
      <c r="V960" s="1"/>
      <c r="W960" s="1"/>
      <c r="X960" s="1"/>
      <c r="Y960" s="30"/>
      <c r="Z960" s="211"/>
    </row>
    <row r="961" spans="2:26">
      <c r="B961" s="1"/>
      <c r="C961" s="28"/>
      <c r="D961" s="19"/>
      <c r="G961" s="29"/>
      <c r="H961" s="212"/>
      <c r="I961" s="1"/>
      <c r="K961" s="30"/>
      <c r="L961" s="30"/>
      <c r="M961" s="1"/>
      <c r="N961" s="211"/>
      <c r="O961" s="211"/>
      <c r="P961" s="31"/>
      <c r="Q961" s="211"/>
      <c r="R961" s="211"/>
      <c r="S961" s="31"/>
      <c r="V961" s="1"/>
      <c r="W961" s="1"/>
      <c r="X961" s="1"/>
      <c r="Y961" s="30"/>
      <c r="Z961" s="211"/>
    </row>
    <row r="962" spans="2:26">
      <c r="B962" s="1"/>
      <c r="C962" s="28"/>
      <c r="D962" s="19"/>
      <c r="G962" s="29"/>
      <c r="H962" s="212"/>
      <c r="I962" s="1"/>
      <c r="K962" s="30"/>
      <c r="L962" s="30"/>
      <c r="M962" s="1"/>
      <c r="N962" s="211"/>
      <c r="O962" s="211"/>
      <c r="P962" s="31"/>
      <c r="Q962" s="211"/>
      <c r="R962" s="211"/>
      <c r="S962" s="31"/>
      <c r="V962" s="1"/>
      <c r="W962" s="1"/>
      <c r="X962" s="1"/>
      <c r="Y962" s="30"/>
      <c r="Z962" s="211"/>
    </row>
    <row r="963" spans="2:26">
      <c r="B963" s="1"/>
      <c r="C963" s="28"/>
      <c r="D963" s="19"/>
      <c r="G963" s="29"/>
      <c r="H963" s="212"/>
      <c r="I963" s="1"/>
      <c r="K963" s="30"/>
      <c r="L963" s="30"/>
      <c r="M963" s="1"/>
      <c r="N963" s="211"/>
      <c r="O963" s="211"/>
      <c r="P963" s="31"/>
      <c r="Q963" s="211"/>
      <c r="R963" s="211"/>
      <c r="S963" s="31"/>
      <c r="V963" s="1"/>
      <c r="W963" s="1"/>
      <c r="X963" s="1"/>
      <c r="Y963" s="30"/>
      <c r="Z963" s="211"/>
    </row>
    <row r="964" spans="2:26">
      <c r="B964" s="1"/>
      <c r="C964" s="28"/>
      <c r="D964" s="19"/>
      <c r="G964" s="29"/>
      <c r="H964" s="212"/>
      <c r="I964" s="1"/>
      <c r="K964" s="30"/>
      <c r="L964" s="30"/>
      <c r="M964" s="1"/>
      <c r="N964" s="211"/>
      <c r="O964" s="211"/>
      <c r="P964" s="31"/>
      <c r="Q964" s="211"/>
      <c r="R964" s="211"/>
      <c r="S964" s="31"/>
      <c r="V964" s="1"/>
      <c r="W964" s="1"/>
      <c r="X964" s="1"/>
      <c r="Y964" s="30"/>
      <c r="Z964" s="211"/>
    </row>
    <row r="965" spans="2:26">
      <c r="B965" s="1"/>
      <c r="C965" s="28"/>
      <c r="D965" s="19"/>
      <c r="G965" s="29"/>
      <c r="H965" s="212"/>
      <c r="I965" s="1"/>
      <c r="K965" s="30"/>
      <c r="L965" s="30"/>
      <c r="M965" s="1"/>
      <c r="N965" s="211"/>
      <c r="O965" s="211"/>
      <c r="P965" s="31"/>
      <c r="Q965" s="211"/>
      <c r="R965" s="211"/>
      <c r="S965" s="31"/>
      <c r="V965" s="1"/>
      <c r="W965" s="1"/>
      <c r="X965" s="1"/>
      <c r="Y965" s="30"/>
      <c r="Z965" s="211"/>
    </row>
    <row r="966" spans="2:26">
      <c r="B966" s="1"/>
      <c r="C966" s="28"/>
      <c r="D966" s="19"/>
      <c r="G966" s="29"/>
      <c r="H966" s="212"/>
      <c r="I966" s="1"/>
      <c r="K966" s="30"/>
      <c r="L966" s="30"/>
      <c r="M966" s="1"/>
      <c r="N966" s="211"/>
      <c r="O966" s="211"/>
      <c r="P966" s="31"/>
      <c r="Q966" s="211"/>
      <c r="R966" s="211"/>
      <c r="S966" s="31"/>
      <c r="V966" s="1"/>
      <c r="W966" s="1"/>
      <c r="X966" s="1"/>
      <c r="Y966" s="30"/>
      <c r="Z966" s="211"/>
    </row>
    <row r="967" spans="2:26">
      <c r="B967" s="1"/>
      <c r="C967" s="28"/>
      <c r="D967" s="19"/>
      <c r="G967" s="29"/>
      <c r="H967" s="212"/>
      <c r="I967" s="1"/>
      <c r="K967" s="30"/>
      <c r="L967" s="30"/>
      <c r="M967" s="1"/>
      <c r="N967" s="211"/>
      <c r="O967" s="211"/>
      <c r="P967" s="31"/>
      <c r="Q967" s="211"/>
      <c r="R967" s="211"/>
      <c r="S967" s="31"/>
      <c r="V967" s="1"/>
      <c r="W967" s="1"/>
      <c r="X967" s="1"/>
      <c r="Y967" s="30"/>
      <c r="Z967" s="211"/>
    </row>
    <row r="968" spans="2:26">
      <c r="C968"/>
      <c r="N968"/>
      <c r="O968"/>
      <c r="P968"/>
      <c r="Q968"/>
      <c r="R968"/>
      <c r="S968"/>
      <c r="Z968"/>
    </row>
    <row r="969" spans="2:26">
      <c r="C969"/>
      <c r="N969"/>
      <c r="O969"/>
      <c r="P969"/>
      <c r="Q969"/>
      <c r="R969"/>
      <c r="S969"/>
      <c r="Z969"/>
    </row>
    <row r="970" spans="2:26">
      <c r="C970" s="28"/>
      <c r="H970" s="212"/>
      <c r="N970"/>
      <c r="O970"/>
      <c r="P970"/>
      <c r="Q970"/>
      <c r="R970"/>
      <c r="S970"/>
      <c r="Z970"/>
    </row>
    <row r="971" spans="2:26">
      <c r="C971"/>
      <c r="N971"/>
      <c r="O971"/>
      <c r="P971"/>
      <c r="Q971"/>
      <c r="R971"/>
      <c r="S971"/>
      <c r="Z971"/>
    </row>
    <row r="972" spans="2:26">
      <c r="C972"/>
      <c r="N972"/>
      <c r="O972"/>
      <c r="P972"/>
      <c r="Q972"/>
      <c r="R972"/>
      <c r="S972"/>
      <c r="Z972"/>
    </row>
    <row r="973" spans="2:26">
      <c r="C973"/>
      <c r="N973"/>
      <c r="O973"/>
      <c r="P973"/>
      <c r="Q973"/>
      <c r="R973"/>
      <c r="S973"/>
      <c r="Z973"/>
    </row>
    <row r="974" spans="2:26">
      <c r="C974"/>
      <c r="N974"/>
      <c r="O974"/>
      <c r="P974"/>
      <c r="Q974"/>
      <c r="R974"/>
      <c r="S974"/>
      <c r="Z974"/>
    </row>
    <row r="975" spans="2:26">
      <c r="C975"/>
      <c r="N975"/>
      <c r="O975"/>
      <c r="P975"/>
      <c r="Q975"/>
      <c r="R975"/>
      <c r="S975"/>
      <c r="Z975"/>
    </row>
    <row r="976" spans="2:26">
      <c r="C976"/>
      <c r="N976"/>
      <c r="O976"/>
      <c r="P976"/>
      <c r="Q976"/>
      <c r="R976"/>
      <c r="S976"/>
      <c r="Z976"/>
    </row>
    <row r="977" spans="3:26">
      <c r="C977"/>
      <c r="N977"/>
      <c r="O977"/>
      <c r="P977"/>
      <c r="Q977"/>
      <c r="R977"/>
      <c r="S977"/>
      <c r="Z977"/>
    </row>
    <row r="978" spans="3:26">
      <c r="C978"/>
      <c r="N978"/>
      <c r="O978"/>
      <c r="P978"/>
      <c r="Q978"/>
      <c r="R978"/>
      <c r="S978"/>
      <c r="Z978"/>
    </row>
    <row r="979" spans="3:26">
      <c r="C979"/>
      <c r="N979"/>
      <c r="O979"/>
      <c r="P979"/>
      <c r="Q979"/>
      <c r="R979"/>
      <c r="S979"/>
      <c r="Z979"/>
    </row>
    <row r="980" spans="3:26">
      <c r="C980"/>
      <c r="N980"/>
      <c r="O980"/>
      <c r="P980"/>
      <c r="Q980"/>
      <c r="R980"/>
      <c r="S980"/>
      <c r="Z980"/>
    </row>
    <row r="981" spans="3:26">
      <c r="C981"/>
      <c r="N981"/>
      <c r="O981"/>
      <c r="P981"/>
      <c r="Q981"/>
      <c r="R981"/>
      <c r="S981"/>
      <c r="Z981"/>
    </row>
    <row r="982" spans="3:26">
      <c r="C982"/>
      <c r="N982"/>
      <c r="O982"/>
      <c r="P982"/>
      <c r="Q982"/>
      <c r="R982"/>
      <c r="S982"/>
      <c r="Z982"/>
    </row>
    <row r="983" spans="3:26">
      <c r="C983"/>
      <c r="N983"/>
      <c r="O983"/>
      <c r="P983"/>
      <c r="Q983"/>
      <c r="R983"/>
      <c r="S983"/>
      <c r="Z983"/>
    </row>
    <row r="984" spans="3:26">
      <c r="C984"/>
      <c r="N984"/>
      <c r="O984"/>
      <c r="P984"/>
      <c r="Q984"/>
      <c r="R984"/>
      <c r="S984"/>
      <c r="Z984"/>
    </row>
    <row r="985" spans="3:26">
      <c r="C985"/>
      <c r="N985"/>
      <c r="O985"/>
      <c r="P985"/>
      <c r="Q985"/>
      <c r="R985"/>
      <c r="S985"/>
      <c r="Z985"/>
    </row>
    <row r="986" spans="3:26">
      <c r="C986"/>
      <c r="N986"/>
      <c r="O986"/>
      <c r="P986"/>
      <c r="Q986"/>
      <c r="R986"/>
      <c r="S986"/>
      <c r="Z986"/>
    </row>
    <row r="987" spans="3:26">
      <c r="C987"/>
      <c r="N987"/>
      <c r="O987"/>
      <c r="P987"/>
      <c r="Q987"/>
      <c r="R987"/>
      <c r="S987"/>
      <c r="Z987"/>
    </row>
    <row r="988" spans="3:26">
      <c r="C988"/>
      <c r="N988"/>
      <c r="O988"/>
      <c r="P988"/>
      <c r="Q988"/>
      <c r="R988"/>
      <c r="S988"/>
      <c r="Z988"/>
    </row>
    <row r="989" spans="3:26">
      <c r="C989"/>
      <c r="N989"/>
      <c r="O989"/>
      <c r="P989"/>
      <c r="Q989"/>
      <c r="R989"/>
      <c r="S989"/>
      <c r="Z989"/>
    </row>
    <row r="990" spans="3:26">
      <c r="C990"/>
      <c r="N990"/>
      <c r="O990"/>
      <c r="P990"/>
      <c r="Q990"/>
      <c r="R990"/>
      <c r="S990"/>
      <c r="Z990"/>
    </row>
    <row r="991" spans="3:26">
      <c r="C991"/>
      <c r="N991"/>
      <c r="O991"/>
      <c r="P991"/>
      <c r="Q991"/>
      <c r="R991"/>
      <c r="S991"/>
      <c r="Z991"/>
    </row>
    <row r="992" spans="3:26">
      <c r="C992"/>
      <c r="N992"/>
      <c r="O992"/>
      <c r="P992"/>
      <c r="Q992"/>
      <c r="R992"/>
      <c r="S992"/>
      <c r="Z992"/>
    </row>
    <row r="993" spans="3:26">
      <c r="C993"/>
      <c r="N993"/>
      <c r="O993"/>
      <c r="P993"/>
      <c r="Q993"/>
      <c r="R993"/>
      <c r="S993"/>
      <c r="Z993"/>
    </row>
    <row r="994" spans="3:26">
      <c r="C994"/>
      <c r="N994"/>
      <c r="O994"/>
      <c r="P994"/>
      <c r="Q994"/>
      <c r="R994"/>
      <c r="S994"/>
      <c r="Z994"/>
    </row>
    <row r="995" spans="3:26">
      <c r="C995"/>
      <c r="N995"/>
      <c r="O995"/>
      <c r="P995"/>
      <c r="Q995"/>
      <c r="R995"/>
      <c r="S995"/>
      <c r="Z995"/>
    </row>
    <row r="996" spans="3:26">
      <c r="C996"/>
      <c r="N996"/>
      <c r="O996"/>
      <c r="P996"/>
      <c r="Q996"/>
      <c r="R996"/>
      <c r="S996"/>
      <c r="Z996"/>
    </row>
    <row r="997" spans="3:26">
      <c r="C997"/>
      <c r="N997"/>
      <c r="O997"/>
      <c r="P997"/>
      <c r="Q997"/>
      <c r="R997"/>
      <c r="S997"/>
      <c r="Z997"/>
    </row>
    <row r="998" spans="3:26">
      <c r="C998"/>
      <c r="N998"/>
      <c r="O998"/>
      <c r="P998"/>
      <c r="Q998"/>
      <c r="R998"/>
      <c r="S998"/>
      <c r="Z998"/>
    </row>
    <row r="999" spans="3:26">
      <c r="C999"/>
      <c r="N999"/>
      <c r="O999"/>
      <c r="P999"/>
      <c r="Q999"/>
      <c r="R999"/>
      <c r="S999"/>
      <c r="Z999"/>
    </row>
    <row r="1000" spans="3:26">
      <c r="C1000"/>
      <c r="N1000"/>
      <c r="O1000"/>
      <c r="P1000"/>
      <c r="Q1000"/>
      <c r="R1000"/>
      <c r="S1000"/>
      <c r="Z1000"/>
    </row>
    <row r="1001" spans="3:26">
      <c r="C1001"/>
      <c r="N1001"/>
      <c r="O1001"/>
      <c r="P1001"/>
      <c r="Q1001"/>
      <c r="R1001"/>
      <c r="S1001"/>
      <c r="Z1001"/>
    </row>
    <row r="1002" spans="3:26">
      <c r="C1002"/>
      <c r="N1002"/>
      <c r="O1002"/>
      <c r="P1002"/>
      <c r="Q1002"/>
      <c r="R1002"/>
      <c r="S1002"/>
      <c r="Z1002"/>
    </row>
    <row r="1003" spans="3:26">
      <c r="C1003"/>
      <c r="N1003"/>
      <c r="O1003"/>
      <c r="P1003"/>
      <c r="Q1003"/>
      <c r="R1003"/>
      <c r="S1003"/>
      <c r="Z1003"/>
    </row>
    <row r="1004" spans="3:26">
      <c r="C1004"/>
      <c r="N1004"/>
      <c r="O1004"/>
      <c r="P1004"/>
      <c r="Q1004"/>
      <c r="R1004"/>
      <c r="S1004"/>
      <c r="Z1004"/>
    </row>
    <row r="1005" spans="3:26">
      <c r="C1005"/>
      <c r="N1005"/>
      <c r="O1005"/>
      <c r="P1005"/>
      <c r="Q1005"/>
      <c r="R1005"/>
      <c r="S1005"/>
      <c r="Z1005"/>
    </row>
    <row r="1006" spans="3:26">
      <c r="C1006"/>
      <c r="N1006"/>
      <c r="O1006"/>
      <c r="P1006"/>
      <c r="Q1006"/>
      <c r="R1006"/>
      <c r="S1006"/>
      <c r="Z1006"/>
    </row>
    <row r="1007" spans="3:26">
      <c r="C1007"/>
      <c r="N1007"/>
      <c r="O1007"/>
      <c r="P1007"/>
      <c r="Q1007"/>
      <c r="R1007"/>
      <c r="S1007"/>
      <c r="Z1007"/>
    </row>
    <row r="1008" spans="3:26">
      <c r="C1008"/>
      <c r="N1008"/>
      <c r="O1008"/>
      <c r="P1008"/>
      <c r="Q1008"/>
      <c r="R1008"/>
      <c r="S1008"/>
      <c r="Z1008"/>
    </row>
    <row r="1009" spans="3:26">
      <c r="C1009"/>
      <c r="N1009"/>
      <c r="O1009"/>
      <c r="P1009"/>
      <c r="Q1009"/>
      <c r="R1009"/>
      <c r="S1009"/>
      <c r="Z1009"/>
    </row>
    <row r="1010" spans="3:26">
      <c r="C1010"/>
      <c r="N1010"/>
      <c r="O1010"/>
      <c r="P1010"/>
      <c r="Q1010"/>
      <c r="R1010"/>
      <c r="S1010"/>
      <c r="Z1010"/>
    </row>
    <row r="1011" spans="3:26">
      <c r="C1011"/>
      <c r="N1011"/>
      <c r="O1011"/>
      <c r="P1011"/>
      <c r="Q1011"/>
      <c r="R1011"/>
      <c r="S1011"/>
      <c r="Z1011"/>
    </row>
    <row r="1012" spans="3:26">
      <c r="C1012"/>
      <c r="N1012"/>
      <c r="O1012"/>
      <c r="P1012"/>
      <c r="Q1012"/>
      <c r="R1012"/>
      <c r="S1012"/>
      <c r="Z1012"/>
    </row>
    <row r="1013" spans="3:26">
      <c r="C1013"/>
      <c r="N1013"/>
      <c r="O1013"/>
      <c r="P1013"/>
      <c r="Q1013"/>
      <c r="R1013"/>
      <c r="S1013"/>
      <c r="Z1013"/>
    </row>
    <row r="1014" spans="3:26">
      <c r="C1014"/>
      <c r="N1014"/>
      <c r="O1014"/>
      <c r="P1014"/>
      <c r="Q1014"/>
      <c r="R1014"/>
      <c r="S1014"/>
      <c r="Z1014"/>
    </row>
    <row r="1015" spans="3:26">
      <c r="C1015"/>
      <c r="N1015"/>
      <c r="O1015"/>
      <c r="P1015"/>
      <c r="Q1015"/>
      <c r="R1015"/>
      <c r="S1015"/>
      <c r="Z1015"/>
    </row>
    <row r="1016" spans="3:26">
      <c r="C1016"/>
      <c r="N1016"/>
      <c r="O1016"/>
      <c r="P1016"/>
      <c r="Q1016"/>
      <c r="R1016"/>
      <c r="S1016"/>
      <c r="Z1016"/>
    </row>
    <row r="1017" spans="3:26">
      <c r="C1017"/>
      <c r="N1017"/>
      <c r="O1017"/>
      <c r="P1017"/>
      <c r="Q1017"/>
      <c r="R1017"/>
      <c r="S1017"/>
      <c r="Z1017"/>
    </row>
    <row r="1018" spans="3:26">
      <c r="C1018"/>
      <c r="N1018"/>
      <c r="O1018"/>
      <c r="P1018"/>
      <c r="Q1018"/>
      <c r="R1018"/>
      <c r="S1018"/>
      <c r="Z1018"/>
    </row>
    <row r="1019" spans="3:26">
      <c r="C1019"/>
      <c r="N1019"/>
      <c r="O1019"/>
      <c r="P1019"/>
      <c r="Q1019"/>
      <c r="R1019"/>
      <c r="S1019"/>
      <c r="Z1019"/>
    </row>
    <row r="1020" spans="3:26">
      <c r="C1020"/>
      <c r="N1020"/>
      <c r="O1020"/>
      <c r="P1020"/>
      <c r="Q1020"/>
      <c r="R1020"/>
      <c r="S1020"/>
      <c r="Z1020"/>
    </row>
    <row r="1021" spans="3:26">
      <c r="C1021"/>
      <c r="N1021"/>
      <c r="O1021"/>
      <c r="P1021"/>
      <c r="Q1021"/>
      <c r="R1021"/>
      <c r="S1021"/>
      <c r="Z1021"/>
    </row>
    <row r="1022" spans="3:26">
      <c r="C1022"/>
      <c r="N1022"/>
      <c r="O1022"/>
      <c r="P1022"/>
      <c r="Q1022"/>
      <c r="R1022"/>
      <c r="S1022"/>
      <c r="Z1022"/>
    </row>
    <row r="1023" spans="3:26">
      <c r="C1023"/>
      <c r="N1023"/>
      <c r="O1023"/>
      <c r="P1023"/>
      <c r="Q1023"/>
      <c r="R1023"/>
      <c r="S1023"/>
      <c r="Z1023"/>
    </row>
    <row r="1024" spans="3:26">
      <c r="C1024"/>
      <c r="N1024"/>
      <c r="O1024"/>
      <c r="P1024"/>
      <c r="Q1024"/>
      <c r="R1024"/>
      <c r="S1024"/>
      <c r="Z1024"/>
    </row>
    <row r="1025" spans="3:26">
      <c r="C1025"/>
      <c r="N1025"/>
      <c r="O1025"/>
      <c r="P1025"/>
      <c r="Q1025"/>
      <c r="R1025"/>
      <c r="S1025"/>
      <c r="Z1025"/>
    </row>
    <row r="1026" spans="3:26">
      <c r="C1026"/>
      <c r="N1026"/>
      <c r="O1026"/>
      <c r="P1026"/>
      <c r="Q1026"/>
      <c r="R1026"/>
      <c r="S1026"/>
      <c r="Z1026"/>
    </row>
    <row r="1027" spans="3:26">
      <c r="C1027"/>
      <c r="N1027"/>
      <c r="O1027"/>
      <c r="P1027"/>
      <c r="Q1027"/>
      <c r="R1027"/>
      <c r="S1027"/>
      <c r="Z1027"/>
    </row>
    <row r="1028" spans="3:26">
      <c r="C1028"/>
      <c r="N1028"/>
      <c r="O1028"/>
      <c r="P1028"/>
      <c r="Q1028"/>
      <c r="R1028"/>
      <c r="S1028"/>
      <c r="Z1028"/>
    </row>
    <row r="1029" spans="3:26">
      <c r="C1029"/>
      <c r="N1029"/>
      <c r="O1029"/>
      <c r="P1029"/>
      <c r="Q1029"/>
      <c r="R1029"/>
      <c r="S1029"/>
      <c r="Z1029"/>
    </row>
    <row r="1030" spans="3:26">
      <c r="C1030"/>
      <c r="N1030"/>
      <c r="O1030"/>
      <c r="P1030"/>
      <c r="Q1030"/>
      <c r="R1030"/>
      <c r="S1030"/>
      <c r="Z1030"/>
    </row>
    <row r="1031" spans="3:26">
      <c r="C1031"/>
      <c r="N1031"/>
      <c r="O1031"/>
      <c r="P1031"/>
      <c r="Q1031"/>
      <c r="R1031"/>
      <c r="S1031"/>
      <c r="Z1031"/>
    </row>
    <row r="1032" spans="3:26">
      <c r="C1032"/>
      <c r="N1032"/>
      <c r="O1032"/>
      <c r="P1032"/>
      <c r="Q1032"/>
      <c r="R1032"/>
      <c r="S1032"/>
      <c r="Z1032"/>
    </row>
    <row r="1033" spans="3:26">
      <c r="C1033"/>
      <c r="N1033"/>
      <c r="O1033"/>
      <c r="P1033"/>
      <c r="Q1033"/>
      <c r="R1033"/>
      <c r="S1033"/>
      <c r="Z1033"/>
    </row>
    <row r="1034" spans="3:26">
      <c r="C1034"/>
      <c r="N1034"/>
      <c r="O1034"/>
      <c r="P1034"/>
      <c r="Q1034"/>
      <c r="R1034"/>
      <c r="S1034"/>
      <c r="Z1034"/>
    </row>
    <row r="1035" spans="3:26">
      <c r="C1035"/>
      <c r="N1035"/>
      <c r="O1035"/>
      <c r="P1035"/>
      <c r="Q1035"/>
      <c r="R1035"/>
      <c r="S1035"/>
      <c r="Z1035"/>
    </row>
    <row r="1036" spans="3:26">
      <c r="C1036"/>
      <c r="N1036"/>
      <c r="O1036"/>
      <c r="P1036"/>
      <c r="Q1036"/>
      <c r="R1036"/>
      <c r="S1036"/>
      <c r="Z1036"/>
    </row>
    <row r="1037" spans="3:26">
      <c r="C1037"/>
      <c r="N1037"/>
      <c r="O1037"/>
      <c r="P1037"/>
      <c r="Q1037"/>
      <c r="R1037"/>
      <c r="S1037"/>
      <c r="Z1037"/>
    </row>
    <row r="1038" spans="3:26">
      <c r="C1038"/>
      <c r="N1038"/>
      <c r="O1038"/>
      <c r="P1038"/>
      <c r="Q1038"/>
      <c r="R1038"/>
      <c r="S1038"/>
      <c r="Z1038"/>
    </row>
    <row r="1039" spans="3:26">
      <c r="C1039"/>
      <c r="N1039"/>
      <c r="O1039"/>
      <c r="P1039"/>
      <c r="Q1039"/>
      <c r="R1039"/>
      <c r="S1039"/>
      <c r="Z1039"/>
    </row>
    <row r="1040" spans="3:26">
      <c r="C1040"/>
      <c r="N1040"/>
      <c r="O1040"/>
      <c r="P1040"/>
      <c r="Q1040"/>
      <c r="R1040"/>
      <c r="S1040"/>
      <c r="Z1040"/>
    </row>
    <row r="1041" spans="2:26">
      <c r="C1041"/>
      <c r="N1041"/>
      <c r="O1041"/>
      <c r="P1041"/>
      <c r="Q1041"/>
      <c r="R1041"/>
      <c r="S1041"/>
      <c r="Z1041"/>
    </row>
    <row r="1042" spans="2:26">
      <c r="C1042"/>
      <c r="N1042"/>
      <c r="O1042"/>
      <c r="P1042"/>
      <c r="Q1042"/>
      <c r="R1042"/>
      <c r="S1042"/>
      <c r="Z1042"/>
    </row>
    <row r="1043" spans="2:26">
      <c r="C1043"/>
      <c r="N1043"/>
      <c r="O1043"/>
      <c r="P1043"/>
      <c r="Q1043"/>
      <c r="R1043"/>
      <c r="S1043"/>
      <c r="Z1043"/>
    </row>
    <row r="1044" spans="2:26">
      <c r="C1044"/>
      <c r="N1044"/>
      <c r="O1044"/>
      <c r="P1044"/>
      <c r="Q1044"/>
      <c r="R1044"/>
      <c r="S1044"/>
      <c r="Z1044"/>
    </row>
    <row r="1045" spans="2:26">
      <c r="C1045"/>
      <c r="N1045"/>
      <c r="O1045"/>
      <c r="P1045"/>
      <c r="Q1045"/>
      <c r="R1045"/>
      <c r="S1045"/>
      <c r="Z1045"/>
    </row>
    <row r="1046" spans="2:26">
      <c r="C1046"/>
      <c r="N1046"/>
      <c r="O1046"/>
      <c r="P1046"/>
      <c r="Q1046"/>
      <c r="R1046"/>
      <c r="S1046"/>
      <c r="Z1046"/>
    </row>
    <row r="1047" spans="2:26">
      <c r="C1047"/>
      <c r="N1047"/>
      <c r="O1047"/>
      <c r="P1047"/>
      <c r="Q1047"/>
      <c r="R1047"/>
      <c r="S1047"/>
      <c r="Z1047"/>
    </row>
    <row r="1048" spans="2:26">
      <c r="C1048"/>
      <c r="N1048"/>
      <c r="O1048"/>
      <c r="P1048"/>
      <c r="Q1048"/>
      <c r="R1048"/>
      <c r="S1048"/>
      <c r="Z1048"/>
    </row>
    <row r="1049" spans="2:26">
      <c r="C1049"/>
      <c r="N1049"/>
      <c r="O1049"/>
      <c r="P1049"/>
      <c r="Q1049"/>
      <c r="R1049"/>
      <c r="S1049"/>
      <c r="Z1049"/>
    </row>
    <row r="1050" spans="2:26">
      <c r="C1050"/>
      <c r="H1050" s="212"/>
      <c r="N1050"/>
      <c r="O1050"/>
      <c r="P1050"/>
      <c r="Q1050"/>
      <c r="R1050"/>
      <c r="S1050"/>
      <c r="Z1050"/>
    </row>
    <row r="1051" spans="2:26">
      <c r="C1051"/>
      <c r="N1051"/>
      <c r="O1051"/>
      <c r="P1051"/>
      <c r="Q1051"/>
      <c r="R1051"/>
      <c r="S1051"/>
      <c r="Z1051"/>
    </row>
    <row r="1052" spans="2:26">
      <c r="C1052"/>
      <c r="N1052"/>
      <c r="O1052"/>
      <c r="P1052"/>
      <c r="Q1052"/>
      <c r="R1052"/>
      <c r="S1052"/>
      <c r="Z1052"/>
    </row>
    <row r="1053" spans="2:26">
      <c r="C1053"/>
      <c r="N1053"/>
      <c r="O1053"/>
      <c r="P1053"/>
      <c r="Q1053"/>
      <c r="R1053"/>
      <c r="S1053"/>
      <c r="Z1053"/>
    </row>
    <row r="1054" spans="2:26">
      <c r="B1054" s="1"/>
      <c r="C1054"/>
      <c r="N1054"/>
      <c r="O1054"/>
      <c r="P1054"/>
      <c r="Q1054"/>
      <c r="R1054"/>
      <c r="S1054"/>
      <c r="Z1054"/>
    </row>
    <row r="1055" spans="2:26">
      <c r="C1055"/>
      <c r="N1055"/>
      <c r="O1055"/>
      <c r="P1055"/>
      <c r="Q1055"/>
      <c r="R1055"/>
      <c r="S1055"/>
      <c r="Z1055"/>
    </row>
    <row r="1056" spans="2:26">
      <c r="C1056"/>
      <c r="N1056"/>
      <c r="O1056"/>
      <c r="P1056"/>
      <c r="Q1056"/>
      <c r="R1056"/>
      <c r="S1056"/>
      <c r="Z1056"/>
    </row>
    <row r="1057" spans="2:26">
      <c r="C1057"/>
      <c r="N1057"/>
      <c r="O1057"/>
      <c r="P1057"/>
      <c r="Q1057"/>
      <c r="R1057"/>
      <c r="S1057"/>
      <c r="Z1057"/>
    </row>
    <row r="1058" spans="2:26">
      <c r="C1058"/>
      <c r="N1058"/>
      <c r="O1058"/>
      <c r="P1058"/>
      <c r="Q1058"/>
      <c r="R1058"/>
      <c r="S1058"/>
      <c r="Z1058"/>
    </row>
    <row r="1059" spans="2:26">
      <c r="C1059"/>
      <c r="N1059"/>
      <c r="O1059"/>
      <c r="P1059"/>
      <c r="Q1059"/>
      <c r="R1059"/>
      <c r="S1059"/>
      <c r="Z1059"/>
    </row>
    <row r="1060" spans="2:26">
      <c r="C1060"/>
      <c r="N1060"/>
      <c r="O1060"/>
      <c r="P1060"/>
      <c r="Q1060"/>
      <c r="R1060"/>
      <c r="S1060"/>
      <c r="Z1060"/>
    </row>
    <row r="1061" spans="2:26">
      <c r="C1061"/>
      <c r="N1061"/>
      <c r="O1061"/>
      <c r="P1061"/>
      <c r="Q1061"/>
      <c r="R1061"/>
      <c r="S1061"/>
      <c r="Z1061"/>
    </row>
    <row r="1062" spans="2:26">
      <c r="C1062"/>
      <c r="N1062"/>
      <c r="O1062"/>
      <c r="P1062"/>
      <c r="Q1062"/>
      <c r="R1062"/>
      <c r="S1062"/>
      <c r="Z1062"/>
    </row>
    <row r="1063" spans="2:26">
      <c r="C1063"/>
      <c r="N1063"/>
      <c r="O1063"/>
      <c r="P1063"/>
      <c r="Q1063"/>
      <c r="R1063"/>
      <c r="S1063"/>
      <c r="Z1063"/>
    </row>
    <row r="1064" spans="2:26">
      <c r="C1064"/>
      <c r="N1064"/>
      <c r="O1064"/>
      <c r="P1064"/>
      <c r="Q1064"/>
      <c r="R1064"/>
      <c r="S1064"/>
      <c r="Z1064"/>
    </row>
    <row r="1065" spans="2:26">
      <c r="B1065" s="1"/>
      <c r="C1065" s="28"/>
      <c r="D1065" s="19"/>
      <c r="G1065" s="29"/>
      <c r="H1065" s="212"/>
      <c r="I1065" s="1"/>
      <c r="K1065" s="30"/>
      <c r="L1065" s="30"/>
      <c r="M1065" s="1"/>
      <c r="N1065" s="211"/>
      <c r="O1065" s="211"/>
      <c r="P1065" s="31"/>
      <c r="Q1065" s="211"/>
      <c r="R1065" s="211"/>
      <c r="S1065" s="31"/>
      <c r="V1065" s="1"/>
      <c r="W1065" s="1"/>
      <c r="X1065" s="1"/>
      <c r="Y1065" s="30"/>
      <c r="Z1065" s="211"/>
    </row>
    <row r="1066" spans="2:26">
      <c r="B1066" s="1"/>
      <c r="C1066" s="28"/>
      <c r="D1066" s="19"/>
      <c r="G1066" s="29"/>
      <c r="H1066" s="212"/>
      <c r="I1066" s="1"/>
      <c r="K1066" s="30"/>
      <c r="L1066" s="30"/>
      <c r="M1066" s="1"/>
      <c r="N1066" s="211"/>
      <c r="O1066" s="211"/>
      <c r="P1066" s="31"/>
      <c r="Q1066" s="211"/>
      <c r="R1066" s="211"/>
      <c r="S1066" s="31"/>
      <c r="V1066" s="1"/>
      <c r="W1066" s="1"/>
      <c r="X1066" s="1"/>
      <c r="Y1066" s="30"/>
      <c r="Z1066" s="211"/>
    </row>
    <row r="1067" spans="2:26">
      <c r="B1067" s="1"/>
      <c r="C1067" s="28"/>
      <c r="D1067" s="19"/>
      <c r="G1067" s="29"/>
      <c r="H1067" s="212"/>
      <c r="I1067" s="1"/>
      <c r="K1067" s="30"/>
      <c r="L1067" s="30"/>
      <c r="M1067" s="1"/>
      <c r="N1067" s="211"/>
      <c r="O1067" s="211"/>
      <c r="P1067" s="31"/>
      <c r="Q1067" s="211"/>
      <c r="R1067" s="211"/>
      <c r="S1067" s="31"/>
      <c r="V1067" s="1"/>
      <c r="W1067" s="1"/>
      <c r="X1067" s="1"/>
      <c r="Y1067" s="30"/>
      <c r="Z1067" s="211"/>
    </row>
    <row r="1068" spans="2:26">
      <c r="B1068" s="1"/>
      <c r="C1068" s="28"/>
      <c r="D1068" s="19"/>
      <c r="G1068" s="29"/>
      <c r="H1068" s="212"/>
      <c r="I1068" s="1"/>
      <c r="K1068" s="30"/>
      <c r="L1068" s="30"/>
      <c r="M1068" s="1"/>
      <c r="N1068" s="211"/>
      <c r="O1068" s="211"/>
      <c r="P1068" s="31"/>
      <c r="Q1068" s="211"/>
      <c r="R1068" s="211"/>
      <c r="S1068" s="31"/>
      <c r="V1068" s="1"/>
      <c r="W1068" s="1"/>
      <c r="X1068" s="1"/>
      <c r="Y1068" s="30"/>
      <c r="Z1068" s="211"/>
    </row>
    <row r="1069" spans="2:26">
      <c r="B1069" s="1"/>
      <c r="C1069" s="28"/>
      <c r="D1069" s="19"/>
      <c r="G1069" s="29"/>
      <c r="H1069" s="212"/>
      <c r="I1069" s="1"/>
      <c r="K1069" s="30"/>
      <c r="L1069" s="30"/>
      <c r="M1069" s="1"/>
      <c r="N1069" s="211"/>
      <c r="O1069" s="211"/>
      <c r="P1069" s="31"/>
      <c r="Q1069" s="211"/>
      <c r="R1069" s="211"/>
      <c r="S1069" s="31"/>
      <c r="V1069" s="1"/>
      <c r="W1069" s="1"/>
      <c r="X1069" s="1"/>
      <c r="Y1069" s="30"/>
      <c r="Z1069" s="211"/>
    </row>
    <row r="1070" spans="2:26">
      <c r="C1070" s="28"/>
      <c r="D1070" s="19"/>
      <c r="G1070" s="29"/>
      <c r="H1070" s="212"/>
      <c r="I1070" s="1"/>
      <c r="K1070" s="30"/>
      <c r="L1070" s="30"/>
      <c r="M1070" s="1"/>
      <c r="N1070" s="211"/>
      <c r="O1070" s="211"/>
      <c r="P1070" s="31"/>
      <c r="Q1070" s="211"/>
      <c r="R1070" s="211"/>
      <c r="S1070" s="31"/>
      <c r="V1070" s="1"/>
      <c r="W1070" s="1"/>
      <c r="X1070" s="1"/>
      <c r="Y1070" s="30"/>
      <c r="Z1070" s="211"/>
    </row>
    <row r="1071" spans="2:26">
      <c r="B1071" s="1"/>
      <c r="C1071" s="28"/>
      <c r="D1071" s="19"/>
      <c r="G1071" s="29"/>
      <c r="H1071" s="212"/>
      <c r="I1071" s="1"/>
      <c r="K1071" s="30"/>
      <c r="L1071" s="30"/>
      <c r="M1071" s="1"/>
      <c r="N1071" s="211"/>
      <c r="O1071" s="211"/>
      <c r="P1071" s="31"/>
      <c r="Q1071" s="211"/>
      <c r="R1071" s="211"/>
      <c r="S1071" s="31"/>
      <c r="V1071" s="1"/>
      <c r="W1071" s="1"/>
      <c r="X1071" s="1"/>
      <c r="Y1071" s="30"/>
      <c r="Z1071" s="211"/>
    </row>
    <row r="1072" spans="2:26">
      <c r="B1072" s="1"/>
      <c r="C1072" s="28"/>
      <c r="D1072" s="19"/>
      <c r="G1072" s="29"/>
      <c r="H1072" s="212"/>
      <c r="I1072" s="1"/>
      <c r="K1072" s="30"/>
      <c r="L1072" s="30"/>
      <c r="M1072" s="1"/>
      <c r="N1072" s="211"/>
      <c r="O1072" s="211"/>
      <c r="P1072" s="31"/>
      <c r="Q1072" s="211"/>
      <c r="R1072" s="211"/>
      <c r="S1072" s="31"/>
      <c r="V1072" s="1"/>
      <c r="W1072" s="1"/>
      <c r="X1072" s="1"/>
      <c r="Y1072" s="30"/>
      <c r="Z1072" s="211"/>
    </row>
    <row r="1073" spans="2:26">
      <c r="B1073" s="1"/>
      <c r="C1073" s="28"/>
      <c r="D1073" s="19"/>
      <c r="G1073" s="29"/>
      <c r="H1073" s="212"/>
      <c r="I1073" s="1"/>
      <c r="K1073" s="30"/>
      <c r="L1073" s="30"/>
      <c r="M1073" s="1"/>
      <c r="N1073" s="211"/>
      <c r="O1073" s="211"/>
      <c r="P1073" s="31"/>
      <c r="Q1073" s="211"/>
      <c r="R1073" s="211"/>
      <c r="S1073" s="31"/>
      <c r="V1073" s="1"/>
      <c r="W1073" s="1"/>
      <c r="X1073" s="1"/>
      <c r="Y1073" s="30"/>
      <c r="Z1073" s="211"/>
    </row>
    <row r="1074" spans="2:26">
      <c r="B1074" s="1"/>
      <c r="C1074" s="28"/>
      <c r="D1074" s="19"/>
      <c r="G1074" s="29"/>
      <c r="H1074" s="212"/>
      <c r="I1074" s="1"/>
      <c r="K1074" s="30"/>
      <c r="L1074" s="30"/>
      <c r="M1074" s="1"/>
      <c r="N1074" s="211"/>
      <c r="O1074" s="211"/>
      <c r="P1074" s="31"/>
      <c r="Q1074" s="211"/>
      <c r="R1074" s="211"/>
      <c r="S1074" s="31"/>
      <c r="V1074" s="1"/>
      <c r="W1074" s="1"/>
      <c r="X1074" s="1"/>
      <c r="Y1074" s="30"/>
      <c r="Z1074" s="211"/>
    </row>
    <row r="1075" spans="2:26">
      <c r="B1075" s="1"/>
      <c r="C1075" s="28"/>
      <c r="D1075" s="19"/>
      <c r="G1075" s="29"/>
      <c r="H1075" s="212"/>
      <c r="I1075" s="1"/>
      <c r="K1075" s="30"/>
      <c r="L1075" s="30"/>
      <c r="M1075" s="1"/>
      <c r="N1075" s="211"/>
      <c r="O1075" s="211"/>
      <c r="P1075" s="31"/>
      <c r="Q1075" s="211"/>
      <c r="R1075" s="211"/>
      <c r="S1075" s="31"/>
      <c r="V1075" s="1"/>
      <c r="W1075" s="1"/>
      <c r="X1075" s="1"/>
      <c r="Y1075" s="30"/>
      <c r="Z1075" s="211"/>
    </row>
    <row r="1076" spans="2:26">
      <c r="B1076" s="1"/>
      <c r="C1076" s="28"/>
      <c r="D1076" s="19"/>
      <c r="G1076" s="29"/>
      <c r="H1076" s="212"/>
      <c r="I1076" s="1"/>
      <c r="K1076" s="30"/>
      <c r="L1076" s="30"/>
      <c r="M1076" s="1"/>
      <c r="N1076" s="211"/>
      <c r="O1076" s="211"/>
      <c r="P1076" s="31"/>
      <c r="Q1076" s="211"/>
      <c r="R1076" s="211"/>
      <c r="S1076" s="31"/>
      <c r="V1076" s="1"/>
      <c r="W1076" s="1"/>
      <c r="X1076" s="1"/>
      <c r="Y1076" s="30"/>
      <c r="Z1076" s="211"/>
    </row>
    <row r="1077" spans="2:26">
      <c r="B1077" s="1"/>
      <c r="C1077" s="28"/>
      <c r="D1077" s="19"/>
      <c r="G1077" s="29"/>
      <c r="H1077" s="212"/>
      <c r="I1077" s="1"/>
      <c r="K1077" s="30"/>
      <c r="L1077" s="30"/>
      <c r="M1077" s="1"/>
      <c r="N1077" s="211"/>
      <c r="O1077" s="211"/>
      <c r="P1077" s="31"/>
      <c r="Q1077" s="211"/>
      <c r="R1077" s="211"/>
      <c r="S1077" s="31"/>
      <c r="V1077" s="1"/>
      <c r="W1077" s="1"/>
      <c r="X1077" s="1"/>
      <c r="Y1077" s="30"/>
      <c r="Z1077" s="211"/>
    </row>
    <row r="1078" spans="2:26">
      <c r="B1078" s="1"/>
      <c r="C1078" s="28"/>
      <c r="D1078" s="19"/>
      <c r="G1078" s="29"/>
      <c r="H1078" s="212"/>
      <c r="I1078" s="1"/>
      <c r="K1078" s="30"/>
      <c r="L1078" s="30"/>
      <c r="M1078" s="1"/>
      <c r="N1078" s="211"/>
      <c r="O1078" s="211"/>
      <c r="P1078" s="31"/>
      <c r="Q1078" s="211"/>
      <c r="R1078" s="211"/>
      <c r="S1078" s="31"/>
      <c r="V1078" s="1"/>
      <c r="W1078" s="1"/>
      <c r="X1078" s="1"/>
      <c r="Y1078" s="30"/>
      <c r="Z1078" s="211"/>
    </row>
    <row r="1079" spans="2:26">
      <c r="B1079" s="1"/>
      <c r="C1079" s="28"/>
      <c r="D1079" s="19"/>
      <c r="G1079" s="29"/>
      <c r="H1079" s="212"/>
      <c r="I1079" s="1"/>
      <c r="K1079" s="30"/>
      <c r="L1079" s="30"/>
      <c r="M1079" s="1"/>
      <c r="N1079" s="211"/>
      <c r="O1079" s="211"/>
      <c r="P1079" s="31"/>
      <c r="Q1079" s="211"/>
      <c r="R1079" s="211"/>
      <c r="S1079" s="31"/>
      <c r="V1079" s="1"/>
      <c r="W1079" s="1"/>
      <c r="X1079" s="1"/>
      <c r="Y1079" s="30"/>
      <c r="Z1079" s="211"/>
    </row>
    <row r="1080" spans="2:26">
      <c r="B1080" s="1"/>
      <c r="C1080" s="28"/>
      <c r="D1080" s="19"/>
      <c r="G1080" s="29"/>
      <c r="H1080" s="212"/>
      <c r="I1080" s="1"/>
      <c r="K1080" s="30"/>
      <c r="L1080" s="30"/>
      <c r="M1080" s="1"/>
      <c r="N1080" s="211"/>
      <c r="O1080" s="211"/>
      <c r="P1080" s="31"/>
      <c r="Q1080" s="211"/>
      <c r="R1080" s="211"/>
      <c r="S1080" s="31"/>
      <c r="V1080" s="1"/>
      <c r="W1080" s="1"/>
      <c r="X1080" s="1"/>
      <c r="Y1080" s="30"/>
      <c r="Z1080" s="211"/>
    </row>
    <row r="1081" spans="2:26">
      <c r="B1081" s="1"/>
      <c r="C1081" s="28"/>
      <c r="D1081" s="19"/>
      <c r="G1081" s="29"/>
      <c r="H1081" s="212"/>
      <c r="I1081" s="1"/>
      <c r="K1081" s="30"/>
      <c r="L1081" s="30"/>
      <c r="M1081" s="1"/>
      <c r="N1081" s="211"/>
      <c r="O1081" s="211"/>
      <c r="P1081" s="31"/>
      <c r="Q1081" s="211"/>
      <c r="R1081" s="211"/>
      <c r="S1081" s="31"/>
      <c r="V1081" s="1"/>
      <c r="W1081" s="1"/>
      <c r="X1081" s="1"/>
      <c r="Y1081" s="30"/>
      <c r="Z1081" s="211"/>
    </row>
    <row r="1082" spans="2:26">
      <c r="B1082" s="1"/>
      <c r="C1082" s="28"/>
      <c r="D1082" s="19"/>
      <c r="G1082" s="29"/>
      <c r="H1082" s="212"/>
      <c r="I1082" s="1"/>
      <c r="K1082" s="30"/>
      <c r="L1082" s="30"/>
      <c r="M1082" s="1"/>
      <c r="N1082" s="211"/>
      <c r="O1082" s="211"/>
      <c r="P1082" s="31"/>
      <c r="Q1082" s="211"/>
      <c r="R1082" s="211"/>
      <c r="S1082" s="31"/>
      <c r="V1082" s="1"/>
      <c r="W1082" s="1"/>
      <c r="X1082" s="1"/>
      <c r="Y1082" s="30"/>
      <c r="Z1082" s="211"/>
    </row>
    <row r="1083" spans="2:26">
      <c r="B1083" s="1"/>
      <c r="C1083" s="28"/>
      <c r="D1083" s="19"/>
      <c r="G1083" s="29"/>
      <c r="H1083" s="212"/>
      <c r="I1083" s="1"/>
      <c r="K1083" s="30"/>
      <c r="L1083" s="30"/>
      <c r="M1083" s="1"/>
      <c r="N1083" s="211"/>
      <c r="O1083" s="211"/>
      <c r="P1083" s="31"/>
      <c r="Q1083" s="211"/>
      <c r="R1083" s="211"/>
      <c r="S1083" s="31"/>
      <c r="V1083" s="1"/>
      <c r="W1083" s="1"/>
      <c r="X1083" s="1"/>
      <c r="Y1083" s="30"/>
      <c r="Z1083" s="211"/>
    </row>
    <row r="1084" spans="2:26">
      <c r="B1084" s="1"/>
      <c r="C1084" s="28"/>
      <c r="D1084" s="19"/>
      <c r="G1084" s="29"/>
      <c r="H1084" s="212"/>
      <c r="I1084" s="1"/>
      <c r="K1084" s="30"/>
      <c r="L1084" s="30"/>
      <c r="M1084" s="1"/>
      <c r="N1084" s="211"/>
      <c r="O1084" s="211"/>
      <c r="P1084" s="31"/>
      <c r="Q1084" s="211"/>
      <c r="R1084" s="211"/>
      <c r="S1084" s="31"/>
      <c r="V1084" s="1"/>
      <c r="W1084" s="1"/>
      <c r="X1084" s="1"/>
      <c r="Y1084" s="30"/>
      <c r="Z1084" s="211"/>
    </row>
    <row r="1085" spans="2:26">
      <c r="B1085" s="1"/>
      <c r="C1085" s="28"/>
      <c r="D1085" s="19"/>
      <c r="G1085" s="29"/>
      <c r="H1085" s="212"/>
      <c r="I1085" s="1"/>
      <c r="K1085" s="30"/>
      <c r="L1085" s="30"/>
      <c r="M1085" s="1"/>
      <c r="N1085" s="211"/>
      <c r="O1085" s="211"/>
      <c r="P1085" s="31"/>
      <c r="Q1085" s="211"/>
      <c r="R1085" s="211"/>
      <c r="S1085" s="31"/>
      <c r="V1085" s="1"/>
      <c r="W1085" s="1"/>
      <c r="X1085" s="1"/>
      <c r="Y1085" s="30"/>
      <c r="Z1085" s="211"/>
    </row>
    <row r="1086" spans="2:26">
      <c r="B1086" s="1"/>
      <c r="C1086" s="28"/>
      <c r="D1086" s="19"/>
      <c r="G1086" s="29"/>
      <c r="H1086" s="212"/>
      <c r="I1086" s="1"/>
      <c r="K1086" s="30"/>
      <c r="L1086" s="30"/>
      <c r="M1086" s="1"/>
      <c r="N1086" s="211"/>
      <c r="O1086" s="211"/>
      <c r="P1086" s="31"/>
      <c r="Q1086" s="211"/>
      <c r="R1086" s="211"/>
      <c r="S1086" s="31"/>
      <c r="V1086" s="1"/>
      <c r="W1086" s="1"/>
      <c r="X1086" s="1"/>
      <c r="Y1086" s="30"/>
      <c r="Z1086" s="211"/>
    </row>
    <row r="1087" spans="2:26">
      <c r="B1087" s="1"/>
      <c r="C1087" s="28"/>
      <c r="D1087" s="19"/>
      <c r="G1087" s="29"/>
      <c r="H1087" s="212"/>
      <c r="I1087" s="1"/>
      <c r="K1087" s="30"/>
      <c r="L1087" s="30"/>
      <c r="M1087" s="1"/>
      <c r="N1087" s="211"/>
      <c r="O1087" s="211"/>
      <c r="P1087" s="31"/>
      <c r="Q1087" s="211"/>
      <c r="R1087" s="211"/>
      <c r="S1087" s="31"/>
      <c r="V1087" s="1"/>
      <c r="W1087" s="1"/>
      <c r="X1087" s="1"/>
      <c r="Y1087" s="30"/>
      <c r="Z1087" s="211"/>
    </row>
    <row r="1088" spans="2:26">
      <c r="B1088" s="1"/>
      <c r="C1088" s="28"/>
      <c r="D1088" s="19"/>
      <c r="G1088" s="29"/>
      <c r="H1088" s="212"/>
      <c r="I1088" s="1"/>
      <c r="K1088" s="30"/>
      <c r="L1088" s="30"/>
      <c r="M1088" s="1"/>
      <c r="N1088" s="211"/>
      <c r="O1088" s="211"/>
      <c r="P1088" s="31"/>
      <c r="Q1088" s="211"/>
      <c r="R1088" s="211"/>
      <c r="S1088" s="31"/>
      <c r="V1088" s="1"/>
      <c r="W1088" s="1"/>
      <c r="X1088" s="1"/>
      <c r="Y1088" s="30"/>
      <c r="Z1088" s="211"/>
    </row>
    <row r="1089" spans="2:26">
      <c r="B1089" s="1"/>
      <c r="C1089" s="28"/>
      <c r="D1089" s="19"/>
      <c r="G1089" s="29"/>
      <c r="H1089" s="212"/>
      <c r="I1089" s="1"/>
      <c r="K1089" s="30"/>
      <c r="L1089" s="30"/>
      <c r="M1089" s="1"/>
      <c r="N1089" s="211"/>
      <c r="O1089" s="211"/>
      <c r="P1089" s="31"/>
      <c r="Q1089" s="211"/>
      <c r="R1089" s="211"/>
      <c r="S1089" s="31"/>
      <c r="V1089" s="1"/>
      <c r="W1089" s="1"/>
      <c r="X1089" s="1"/>
      <c r="Y1089" s="30"/>
      <c r="Z1089" s="211"/>
    </row>
    <row r="1090" spans="2:26">
      <c r="B1090" s="1"/>
      <c r="C1090" s="28"/>
      <c r="D1090" s="19"/>
      <c r="G1090" s="29"/>
      <c r="H1090" s="212"/>
      <c r="I1090" s="1"/>
      <c r="K1090" s="30"/>
      <c r="L1090" s="30"/>
      <c r="M1090" s="1"/>
      <c r="N1090" s="211"/>
      <c r="O1090" s="211"/>
      <c r="P1090" s="31"/>
      <c r="Q1090" s="211"/>
      <c r="R1090" s="211"/>
      <c r="S1090" s="31"/>
      <c r="V1090" s="1"/>
      <c r="W1090" s="1"/>
      <c r="X1090" s="1"/>
      <c r="Y1090" s="30"/>
      <c r="Z1090" s="211"/>
    </row>
    <row r="1091" spans="2:26">
      <c r="N1091"/>
      <c r="O1091"/>
      <c r="P1091"/>
      <c r="Q1091"/>
      <c r="R1091"/>
      <c r="S1091"/>
      <c r="Z1091"/>
    </row>
    <row r="1092" spans="2:26">
      <c r="N1092"/>
      <c r="O1092"/>
      <c r="P1092"/>
      <c r="Q1092"/>
      <c r="R1092"/>
      <c r="S1092"/>
      <c r="Z1092"/>
    </row>
    <row r="1093" spans="2:26">
      <c r="N1093"/>
      <c r="O1093"/>
      <c r="P1093"/>
      <c r="Q1093"/>
      <c r="R1093"/>
      <c r="S1093"/>
      <c r="Z1093"/>
    </row>
    <row r="1094" spans="2:26">
      <c r="N1094"/>
      <c r="O1094"/>
      <c r="P1094"/>
      <c r="Q1094"/>
      <c r="R1094"/>
      <c r="S1094"/>
      <c r="Z1094"/>
    </row>
    <row r="1095" spans="2:26">
      <c r="N1095"/>
      <c r="O1095"/>
      <c r="P1095"/>
      <c r="Q1095"/>
      <c r="R1095"/>
      <c r="S1095"/>
      <c r="Z1095"/>
    </row>
    <row r="1096" spans="2:26">
      <c r="N1096"/>
      <c r="O1096"/>
      <c r="P1096"/>
      <c r="Q1096"/>
      <c r="R1096"/>
      <c r="S1096"/>
      <c r="Z1096"/>
    </row>
    <row r="1097" spans="2:26">
      <c r="N1097"/>
      <c r="O1097"/>
      <c r="P1097"/>
      <c r="Q1097"/>
      <c r="R1097"/>
      <c r="S1097"/>
      <c r="Z1097"/>
    </row>
    <row r="1098" spans="2:26">
      <c r="N1098"/>
      <c r="O1098"/>
      <c r="P1098"/>
      <c r="Q1098"/>
      <c r="R1098"/>
      <c r="S1098"/>
      <c r="Z1098"/>
    </row>
    <row r="1099" spans="2:26">
      <c r="N1099"/>
      <c r="O1099"/>
      <c r="P1099"/>
      <c r="Q1099"/>
      <c r="R1099"/>
      <c r="S1099"/>
      <c r="Z1099"/>
    </row>
    <row r="1100" spans="2:26">
      <c r="N1100"/>
      <c r="O1100"/>
      <c r="P1100"/>
      <c r="Q1100"/>
      <c r="R1100"/>
      <c r="S1100"/>
      <c r="Z1100"/>
    </row>
    <row r="1101" spans="2:26">
      <c r="N1101"/>
      <c r="O1101"/>
      <c r="P1101"/>
      <c r="Q1101"/>
      <c r="R1101"/>
      <c r="S1101"/>
      <c r="Z1101"/>
    </row>
    <row r="1102" spans="2:26">
      <c r="N1102"/>
      <c r="O1102"/>
      <c r="P1102"/>
      <c r="Q1102"/>
      <c r="R1102"/>
      <c r="S1102"/>
      <c r="Z1102"/>
    </row>
    <row r="1103" spans="2:26">
      <c r="N1103"/>
      <c r="O1103"/>
      <c r="P1103"/>
      <c r="Q1103"/>
      <c r="R1103"/>
      <c r="S1103"/>
      <c r="Z1103"/>
    </row>
    <row r="1104" spans="2:26">
      <c r="N1104"/>
      <c r="O1104"/>
      <c r="P1104"/>
      <c r="Q1104"/>
      <c r="R1104"/>
      <c r="S1104"/>
      <c r="Z1104"/>
    </row>
    <row r="1105" spans="8:26">
      <c r="N1105"/>
      <c r="O1105"/>
      <c r="P1105"/>
      <c r="Q1105"/>
      <c r="R1105"/>
      <c r="S1105"/>
      <c r="Z1105"/>
    </row>
    <row r="1106" spans="8:26">
      <c r="N1106"/>
      <c r="O1106"/>
      <c r="P1106"/>
      <c r="Q1106"/>
      <c r="R1106"/>
      <c r="S1106"/>
      <c r="Z1106"/>
    </row>
    <row r="1107" spans="8:26">
      <c r="N1107"/>
      <c r="O1107"/>
      <c r="P1107"/>
      <c r="Q1107"/>
      <c r="R1107"/>
      <c r="S1107"/>
      <c r="Z1107"/>
    </row>
    <row r="1108" spans="8:26">
      <c r="N1108"/>
      <c r="O1108"/>
      <c r="P1108"/>
      <c r="Q1108"/>
      <c r="R1108"/>
      <c r="S1108"/>
      <c r="Z1108"/>
    </row>
    <row r="1109" spans="8:26">
      <c r="N1109"/>
      <c r="O1109"/>
      <c r="P1109"/>
      <c r="Q1109"/>
      <c r="R1109"/>
      <c r="S1109"/>
      <c r="Z1109"/>
    </row>
    <row r="1110" spans="8:26">
      <c r="N1110"/>
      <c r="O1110"/>
      <c r="P1110"/>
      <c r="Q1110"/>
      <c r="R1110"/>
      <c r="S1110"/>
      <c r="Z1110"/>
    </row>
    <row r="1111" spans="8:26">
      <c r="N1111"/>
      <c r="O1111"/>
      <c r="P1111"/>
      <c r="Q1111"/>
      <c r="R1111"/>
      <c r="S1111"/>
      <c r="Z1111"/>
    </row>
    <row r="1112" spans="8:26">
      <c r="N1112"/>
      <c r="O1112"/>
      <c r="P1112"/>
      <c r="Q1112"/>
      <c r="R1112"/>
      <c r="S1112"/>
      <c r="Z1112"/>
    </row>
    <row r="1113" spans="8:26">
      <c r="N1113"/>
      <c r="O1113"/>
      <c r="P1113"/>
      <c r="Q1113"/>
      <c r="R1113"/>
      <c r="S1113"/>
      <c r="Z1113"/>
    </row>
    <row r="1114" spans="8:26">
      <c r="N1114"/>
      <c r="O1114"/>
      <c r="P1114"/>
      <c r="Q1114"/>
      <c r="R1114"/>
      <c r="S1114"/>
      <c r="Z1114"/>
    </row>
    <row r="1115" spans="8:26">
      <c r="N1115"/>
      <c r="O1115"/>
      <c r="P1115"/>
      <c r="Q1115"/>
      <c r="R1115"/>
      <c r="S1115"/>
      <c r="Z1115"/>
    </row>
    <row r="1116" spans="8:26">
      <c r="N1116"/>
      <c r="O1116"/>
      <c r="P1116"/>
      <c r="Q1116"/>
      <c r="R1116"/>
      <c r="S1116"/>
      <c r="Z1116"/>
    </row>
    <row r="1117" spans="8:26">
      <c r="H1117" s="212"/>
      <c r="N1117"/>
      <c r="O1117"/>
      <c r="P1117"/>
      <c r="Q1117"/>
      <c r="R1117"/>
      <c r="S1117"/>
      <c r="Z1117"/>
    </row>
    <row r="1118" spans="8:26">
      <c r="N1118"/>
      <c r="O1118"/>
      <c r="P1118"/>
      <c r="Q1118"/>
      <c r="R1118"/>
      <c r="S1118"/>
      <c r="Z1118"/>
    </row>
    <row r="1119" spans="8:26">
      <c r="N1119"/>
      <c r="O1119"/>
      <c r="P1119"/>
      <c r="Q1119"/>
      <c r="R1119"/>
      <c r="S1119"/>
      <c r="Z1119"/>
    </row>
    <row r="1120" spans="8:26">
      <c r="N1120"/>
      <c r="O1120"/>
      <c r="P1120"/>
      <c r="Q1120"/>
      <c r="R1120"/>
      <c r="S1120"/>
      <c r="Z1120"/>
    </row>
    <row r="1121" spans="14:26">
      <c r="N1121"/>
      <c r="O1121"/>
      <c r="P1121"/>
      <c r="Q1121"/>
      <c r="R1121"/>
      <c r="S1121"/>
      <c r="Z1121"/>
    </row>
    <row r="1122" spans="14:26">
      <c r="N1122"/>
      <c r="O1122"/>
      <c r="P1122"/>
      <c r="Q1122"/>
      <c r="R1122"/>
      <c r="S1122"/>
      <c r="Z1122"/>
    </row>
    <row r="1123" spans="14:26">
      <c r="N1123"/>
      <c r="O1123"/>
      <c r="P1123"/>
      <c r="Q1123"/>
      <c r="R1123"/>
      <c r="S1123"/>
      <c r="Z1123"/>
    </row>
    <row r="1124" spans="14:26">
      <c r="N1124"/>
      <c r="O1124"/>
      <c r="P1124"/>
      <c r="Q1124"/>
      <c r="R1124"/>
      <c r="S1124"/>
      <c r="Z1124"/>
    </row>
    <row r="1125" spans="14:26">
      <c r="N1125"/>
      <c r="O1125"/>
      <c r="P1125"/>
      <c r="Q1125"/>
      <c r="R1125"/>
      <c r="S1125"/>
      <c r="Z1125"/>
    </row>
    <row r="1126" spans="14:26">
      <c r="N1126"/>
      <c r="O1126"/>
      <c r="P1126"/>
      <c r="Q1126"/>
      <c r="R1126"/>
      <c r="S1126"/>
      <c r="Z1126"/>
    </row>
    <row r="1127" spans="14:26">
      <c r="N1127"/>
      <c r="O1127"/>
      <c r="P1127"/>
      <c r="Q1127"/>
      <c r="R1127"/>
      <c r="S1127"/>
      <c r="Z1127"/>
    </row>
    <row r="1128" spans="14:26">
      <c r="N1128"/>
      <c r="O1128"/>
      <c r="P1128"/>
      <c r="Q1128"/>
      <c r="R1128"/>
      <c r="S1128"/>
      <c r="Z1128"/>
    </row>
    <row r="1129" spans="14:26">
      <c r="N1129"/>
      <c r="O1129"/>
      <c r="P1129"/>
      <c r="Q1129"/>
      <c r="R1129"/>
      <c r="S1129"/>
      <c r="Z1129"/>
    </row>
    <row r="1130" spans="14:26">
      <c r="N1130"/>
      <c r="O1130"/>
      <c r="P1130"/>
      <c r="Q1130"/>
      <c r="R1130"/>
      <c r="S1130"/>
      <c r="Z1130"/>
    </row>
    <row r="1131" spans="14:26">
      <c r="N1131"/>
      <c r="O1131"/>
      <c r="P1131"/>
      <c r="Q1131"/>
      <c r="R1131"/>
      <c r="S1131"/>
      <c r="Z1131"/>
    </row>
    <row r="1132" spans="14:26">
      <c r="N1132"/>
      <c r="O1132"/>
      <c r="P1132"/>
      <c r="Q1132"/>
      <c r="R1132"/>
      <c r="S1132"/>
      <c r="Z1132"/>
    </row>
    <row r="1133" spans="14:26">
      <c r="N1133"/>
      <c r="O1133"/>
      <c r="P1133"/>
      <c r="Q1133"/>
      <c r="R1133"/>
      <c r="S1133"/>
      <c r="Z1133"/>
    </row>
    <row r="1134" spans="14:26">
      <c r="N1134"/>
      <c r="O1134"/>
      <c r="P1134"/>
      <c r="Q1134"/>
      <c r="R1134"/>
      <c r="S1134"/>
      <c r="Z1134"/>
    </row>
    <row r="1135" spans="14:26">
      <c r="N1135"/>
      <c r="O1135"/>
      <c r="P1135"/>
      <c r="Q1135"/>
      <c r="R1135"/>
      <c r="S1135"/>
      <c r="Z1135"/>
    </row>
    <row r="1136" spans="14:26">
      <c r="N1136"/>
      <c r="O1136"/>
      <c r="P1136"/>
      <c r="Q1136"/>
      <c r="R1136"/>
      <c r="S1136"/>
      <c r="Z1136"/>
    </row>
    <row r="1137" spans="8:26">
      <c r="N1137"/>
      <c r="O1137"/>
      <c r="P1137"/>
      <c r="Q1137"/>
      <c r="R1137"/>
      <c r="S1137"/>
      <c r="Z1137"/>
    </row>
    <row r="1138" spans="8:26">
      <c r="N1138"/>
      <c r="O1138"/>
      <c r="P1138"/>
      <c r="Q1138"/>
      <c r="R1138"/>
      <c r="S1138"/>
      <c r="Z1138"/>
    </row>
    <row r="1139" spans="8:26">
      <c r="N1139"/>
      <c r="O1139"/>
      <c r="P1139"/>
      <c r="Q1139"/>
      <c r="R1139"/>
      <c r="S1139"/>
      <c r="Z1139"/>
    </row>
    <row r="1140" spans="8:26">
      <c r="N1140"/>
      <c r="O1140"/>
      <c r="P1140"/>
      <c r="Q1140"/>
      <c r="R1140"/>
      <c r="S1140"/>
      <c r="Z1140"/>
    </row>
    <row r="1141" spans="8:26">
      <c r="N1141"/>
      <c r="O1141"/>
      <c r="P1141"/>
      <c r="Q1141"/>
      <c r="R1141"/>
      <c r="S1141"/>
      <c r="Z1141"/>
    </row>
    <row r="1142" spans="8:26">
      <c r="N1142"/>
      <c r="O1142"/>
      <c r="P1142"/>
      <c r="Q1142"/>
      <c r="R1142"/>
      <c r="S1142"/>
      <c r="Z1142"/>
    </row>
    <row r="1143" spans="8:26">
      <c r="N1143"/>
      <c r="O1143"/>
      <c r="P1143"/>
      <c r="Q1143"/>
      <c r="R1143"/>
      <c r="S1143"/>
      <c r="Z1143"/>
    </row>
    <row r="1144" spans="8:26">
      <c r="H1144" s="212"/>
      <c r="N1144"/>
      <c r="O1144"/>
      <c r="P1144"/>
      <c r="Q1144"/>
      <c r="R1144"/>
      <c r="S1144"/>
      <c r="Z1144"/>
    </row>
    <row r="1145" spans="8:26">
      <c r="N1145"/>
      <c r="O1145"/>
      <c r="P1145"/>
      <c r="Q1145"/>
      <c r="R1145"/>
      <c r="S1145"/>
      <c r="Z1145"/>
    </row>
    <row r="1146" spans="8:26">
      <c r="N1146"/>
      <c r="O1146"/>
      <c r="P1146"/>
      <c r="Q1146"/>
      <c r="R1146"/>
      <c r="S1146"/>
      <c r="Z1146"/>
    </row>
    <row r="1147" spans="8:26">
      <c r="N1147"/>
      <c r="O1147"/>
      <c r="P1147"/>
      <c r="Q1147"/>
      <c r="R1147"/>
      <c r="S1147"/>
      <c r="Z1147"/>
    </row>
    <row r="1148" spans="8:26">
      <c r="N1148"/>
      <c r="O1148"/>
      <c r="P1148"/>
      <c r="Q1148"/>
      <c r="R1148"/>
      <c r="S1148"/>
      <c r="Z1148"/>
    </row>
    <row r="1149" spans="8:26">
      <c r="N1149"/>
      <c r="O1149"/>
      <c r="P1149"/>
      <c r="Q1149"/>
      <c r="R1149"/>
      <c r="S1149"/>
      <c r="Z1149"/>
    </row>
    <row r="1150" spans="8:26">
      <c r="N1150"/>
      <c r="O1150"/>
      <c r="P1150"/>
      <c r="Q1150"/>
      <c r="R1150"/>
      <c r="S1150"/>
      <c r="Z1150"/>
    </row>
    <row r="1151" spans="8:26">
      <c r="N1151"/>
      <c r="O1151"/>
      <c r="P1151"/>
      <c r="Q1151"/>
      <c r="R1151"/>
      <c r="S1151"/>
      <c r="Z1151"/>
    </row>
    <row r="1152" spans="8:26">
      <c r="N1152"/>
      <c r="O1152"/>
      <c r="P1152"/>
      <c r="Q1152"/>
      <c r="R1152"/>
      <c r="S1152"/>
      <c r="Z1152"/>
    </row>
    <row r="1153" spans="2:26">
      <c r="N1153"/>
      <c r="O1153"/>
      <c r="P1153"/>
      <c r="Q1153"/>
      <c r="R1153"/>
      <c r="S1153"/>
      <c r="Z1153"/>
    </row>
    <row r="1154" spans="2:26">
      <c r="B1154" s="1"/>
      <c r="C1154" s="28"/>
      <c r="D1154" s="19"/>
      <c r="G1154" s="29"/>
      <c r="H1154" s="212"/>
      <c r="I1154" s="1"/>
      <c r="K1154" s="30"/>
      <c r="L1154" s="30"/>
      <c r="M1154" s="1"/>
      <c r="N1154" s="211"/>
      <c r="O1154" s="211"/>
      <c r="P1154" s="31"/>
      <c r="Q1154" s="211"/>
      <c r="R1154" s="211"/>
      <c r="S1154" s="31"/>
      <c r="V1154" s="1"/>
      <c r="W1154" s="1"/>
      <c r="X1154" s="1"/>
      <c r="Y1154" s="30"/>
      <c r="Z1154" s="211"/>
    </row>
    <row r="1155" spans="2:26">
      <c r="B1155" s="1"/>
      <c r="C1155" s="28"/>
      <c r="D1155" s="19"/>
      <c r="G1155" s="29"/>
      <c r="H1155" s="212"/>
      <c r="I1155" s="1"/>
      <c r="K1155" s="30"/>
      <c r="L1155" s="30"/>
      <c r="M1155" s="1"/>
      <c r="N1155" s="211"/>
      <c r="O1155" s="211"/>
      <c r="P1155" s="31"/>
      <c r="Q1155" s="211"/>
      <c r="R1155" s="211"/>
      <c r="S1155" s="31"/>
      <c r="V1155" s="1"/>
      <c r="W1155" s="1"/>
      <c r="X1155" s="1"/>
      <c r="Y1155" s="30"/>
      <c r="Z1155" s="211"/>
    </row>
    <row r="1156" spans="2:26">
      <c r="B1156" s="1"/>
      <c r="C1156" s="28"/>
      <c r="D1156" s="19"/>
      <c r="G1156" s="29"/>
      <c r="H1156" s="212"/>
      <c r="I1156" s="1"/>
      <c r="K1156" s="30"/>
      <c r="L1156" s="30"/>
      <c r="M1156" s="1"/>
      <c r="N1156" s="211"/>
      <c r="O1156" s="211"/>
      <c r="P1156" s="31"/>
      <c r="Q1156" s="211"/>
      <c r="R1156" s="211"/>
      <c r="S1156" s="31"/>
      <c r="V1156" s="1"/>
      <c r="W1156" s="1"/>
      <c r="X1156" s="1"/>
      <c r="Y1156" s="30"/>
      <c r="Z1156" s="211"/>
    </row>
    <row r="1157" spans="2:26">
      <c r="B1157" s="1"/>
      <c r="C1157" s="28"/>
      <c r="D1157" s="19"/>
      <c r="G1157" s="29"/>
      <c r="H1157" s="212"/>
      <c r="I1157" s="1"/>
      <c r="K1157" s="30"/>
      <c r="L1157" s="30"/>
      <c r="M1157" s="1"/>
      <c r="N1157" s="211"/>
      <c r="O1157" s="211"/>
      <c r="P1157" s="31"/>
      <c r="Q1157" s="211"/>
      <c r="R1157" s="211"/>
      <c r="S1157" s="31"/>
      <c r="V1157" s="1"/>
      <c r="W1157" s="1"/>
      <c r="X1157" s="1"/>
      <c r="Y1157" s="30"/>
      <c r="Z1157" s="211"/>
    </row>
    <row r="1158" spans="2:26">
      <c r="B1158" s="1"/>
      <c r="C1158" s="28"/>
      <c r="D1158" s="19"/>
      <c r="G1158" s="29"/>
      <c r="H1158" s="212"/>
      <c r="I1158" s="1"/>
      <c r="K1158" s="30"/>
      <c r="L1158" s="30"/>
      <c r="M1158" s="1"/>
      <c r="N1158" s="211"/>
      <c r="O1158" s="211"/>
      <c r="P1158" s="31"/>
      <c r="Q1158" s="211"/>
      <c r="R1158" s="211"/>
      <c r="S1158" s="31"/>
      <c r="V1158" s="1"/>
      <c r="W1158" s="1"/>
      <c r="X1158" s="1"/>
      <c r="Y1158" s="30"/>
      <c r="Z1158" s="211"/>
    </row>
    <row r="1159" spans="2:26">
      <c r="B1159" s="1"/>
      <c r="C1159" s="28"/>
      <c r="D1159" s="19"/>
      <c r="G1159" s="29"/>
      <c r="H1159" s="212"/>
      <c r="I1159" s="1"/>
      <c r="K1159" s="30"/>
      <c r="L1159" s="30"/>
      <c r="M1159" s="1"/>
      <c r="N1159" s="211"/>
      <c r="O1159" s="211"/>
      <c r="P1159" s="31"/>
      <c r="Q1159" s="211"/>
      <c r="R1159" s="211"/>
      <c r="S1159" s="31"/>
      <c r="V1159" s="1"/>
      <c r="W1159" s="1"/>
      <c r="X1159" s="1"/>
      <c r="Y1159" s="30"/>
      <c r="Z1159" s="211"/>
    </row>
    <row r="1160" spans="2:26">
      <c r="B1160" s="1"/>
      <c r="C1160" s="28"/>
      <c r="D1160" s="19"/>
      <c r="G1160" s="29"/>
      <c r="H1160" s="212"/>
      <c r="I1160" s="1"/>
      <c r="K1160" s="30"/>
      <c r="L1160" s="30"/>
      <c r="M1160" s="1"/>
      <c r="N1160" s="211"/>
      <c r="O1160" s="211"/>
      <c r="P1160" s="31"/>
      <c r="Q1160" s="211"/>
      <c r="R1160" s="211"/>
      <c r="S1160" s="31"/>
      <c r="V1160" s="1"/>
      <c r="W1160" s="1"/>
      <c r="X1160" s="1"/>
      <c r="Y1160" s="30"/>
      <c r="Z1160" s="211"/>
    </row>
    <row r="1161" spans="2:26">
      <c r="B1161" s="1"/>
      <c r="C1161" s="28"/>
      <c r="D1161" s="19"/>
      <c r="G1161" s="29"/>
      <c r="H1161" s="212"/>
      <c r="I1161" s="1"/>
      <c r="K1161" s="30"/>
      <c r="L1161" s="30"/>
      <c r="M1161" s="1"/>
      <c r="N1161" s="211"/>
      <c r="O1161" s="211"/>
      <c r="P1161" s="31"/>
      <c r="Q1161" s="211"/>
      <c r="R1161" s="211"/>
      <c r="S1161" s="31"/>
      <c r="V1161" s="1"/>
      <c r="W1161" s="1"/>
      <c r="X1161" s="1"/>
      <c r="Y1161" s="30"/>
      <c r="Z1161" s="211"/>
    </row>
    <row r="1162" spans="2:26">
      <c r="B1162" s="1"/>
      <c r="C1162" s="28"/>
      <c r="D1162" s="19"/>
      <c r="G1162" s="29"/>
      <c r="H1162" s="212"/>
      <c r="I1162" s="1"/>
      <c r="K1162" s="30"/>
      <c r="L1162" s="30"/>
      <c r="M1162" s="1"/>
      <c r="N1162" s="211"/>
      <c r="O1162" s="211"/>
      <c r="P1162" s="31"/>
      <c r="Q1162" s="211"/>
      <c r="R1162" s="211"/>
      <c r="S1162" s="31"/>
      <c r="V1162" s="1"/>
      <c r="W1162" s="1"/>
      <c r="X1162" s="1"/>
      <c r="Y1162" s="30"/>
      <c r="Z1162" s="211"/>
    </row>
    <row r="1163" spans="2:26">
      <c r="B1163" s="1"/>
      <c r="C1163" s="28"/>
      <c r="D1163" s="19"/>
      <c r="G1163" s="29"/>
      <c r="H1163" s="212"/>
      <c r="I1163" s="1"/>
      <c r="K1163" s="30"/>
      <c r="L1163" s="30"/>
      <c r="M1163" s="1"/>
      <c r="N1163" s="211"/>
      <c r="O1163" s="211"/>
      <c r="P1163" s="31"/>
      <c r="Q1163" s="211"/>
      <c r="R1163" s="211"/>
      <c r="S1163" s="31"/>
      <c r="V1163" s="1"/>
      <c r="W1163" s="1"/>
      <c r="X1163" s="1"/>
      <c r="Y1163" s="30"/>
      <c r="Z1163" s="211"/>
    </row>
    <row r="1164" spans="2:26">
      <c r="B1164" s="1"/>
      <c r="C1164" s="28"/>
      <c r="D1164" s="19"/>
      <c r="G1164" s="29"/>
      <c r="H1164" s="212"/>
      <c r="I1164" s="1"/>
      <c r="K1164" s="30"/>
      <c r="L1164" s="30"/>
      <c r="M1164" s="1"/>
      <c r="N1164" s="211"/>
      <c r="O1164" s="211"/>
      <c r="P1164" s="31"/>
      <c r="Q1164" s="211"/>
      <c r="R1164" s="211"/>
      <c r="S1164" s="31"/>
      <c r="V1164" s="1"/>
      <c r="W1164" s="1"/>
      <c r="X1164" s="1"/>
      <c r="Y1164" s="30"/>
      <c r="Z1164" s="211"/>
    </row>
    <row r="1165" spans="2:26">
      <c r="B1165" s="1"/>
      <c r="C1165" s="28"/>
      <c r="D1165" s="19"/>
      <c r="G1165" s="29"/>
      <c r="H1165" s="212"/>
      <c r="I1165" s="1"/>
      <c r="K1165" s="30"/>
      <c r="L1165" s="30"/>
      <c r="M1165" s="1"/>
      <c r="N1165" s="211"/>
      <c r="O1165" s="211"/>
      <c r="P1165" s="31"/>
      <c r="Q1165" s="211"/>
      <c r="R1165" s="211"/>
      <c r="S1165" s="31"/>
      <c r="V1165" s="1"/>
      <c r="W1165" s="1"/>
      <c r="X1165" s="1"/>
      <c r="Y1165" s="30"/>
      <c r="Z1165" s="211"/>
    </row>
    <row r="1166" spans="2:26">
      <c r="B1166" s="1"/>
      <c r="C1166" s="28"/>
      <c r="D1166" s="19"/>
      <c r="G1166" s="29"/>
      <c r="H1166" s="212"/>
      <c r="I1166" s="1"/>
      <c r="K1166" s="30"/>
      <c r="L1166" s="30"/>
      <c r="M1166" s="1"/>
      <c r="N1166" s="211"/>
      <c r="O1166" s="211"/>
      <c r="P1166" s="31"/>
      <c r="Q1166" s="211"/>
      <c r="R1166" s="211"/>
      <c r="S1166" s="31"/>
      <c r="V1166" s="1"/>
      <c r="W1166" s="1"/>
      <c r="X1166" s="1"/>
      <c r="Y1166" s="30"/>
      <c r="Z1166" s="211"/>
    </row>
    <row r="1167" spans="2:26">
      <c r="B1167" s="1"/>
      <c r="C1167" s="28"/>
      <c r="D1167" s="19"/>
      <c r="G1167" s="29"/>
      <c r="H1167" s="212"/>
      <c r="I1167" s="1"/>
      <c r="K1167" s="30"/>
      <c r="L1167" s="30"/>
      <c r="M1167" s="1"/>
      <c r="N1167" s="211"/>
      <c r="O1167" s="211"/>
      <c r="P1167" s="31"/>
      <c r="Q1167" s="211"/>
      <c r="R1167" s="211"/>
      <c r="S1167" s="31"/>
      <c r="V1167" s="1"/>
      <c r="W1167" s="1"/>
      <c r="X1167" s="1"/>
      <c r="Y1167" s="30"/>
      <c r="Z1167" s="211"/>
    </row>
    <row r="1168" spans="2:26">
      <c r="B1168" s="1"/>
      <c r="C1168" s="28"/>
      <c r="D1168" s="19"/>
      <c r="G1168" s="29"/>
      <c r="H1168" s="212"/>
      <c r="I1168" s="1"/>
      <c r="K1168" s="30"/>
      <c r="L1168" s="30"/>
      <c r="M1168" s="1"/>
      <c r="N1168" s="211"/>
      <c r="O1168" s="211"/>
      <c r="P1168" s="31"/>
      <c r="Q1168" s="211"/>
      <c r="R1168" s="211"/>
      <c r="S1168" s="31"/>
      <c r="V1168" s="1"/>
      <c r="W1168" s="1"/>
      <c r="X1168" s="1"/>
      <c r="Y1168" s="30"/>
      <c r="Z1168" s="211"/>
    </row>
    <row r="1169" spans="2:26">
      <c r="B1169" s="1"/>
      <c r="C1169" s="28"/>
      <c r="D1169" s="19"/>
      <c r="G1169" s="29"/>
      <c r="H1169" s="212"/>
      <c r="I1169" s="1"/>
      <c r="K1169" s="30"/>
      <c r="L1169" s="30"/>
      <c r="M1169" s="1"/>
      <c r="N1169" s="211"/>
      <c r="O1169" s="211"/>
      <c r="P1169" s="31"/>
      <c r="Q1169" s="211"/>
      <c r="R1169" s="211"/>
      <c r="S1169" s="31"/>
      <c r="V1169" s="1"/>
      <c r="W1169" s="1"/>
      <c r="X1169" s="1"/>
      <c r="Y1169" s="30"/>
      <c r="Z1169" s="211"/>
    </row>
    <row r="1170" spans="2:26">
      <c r="B1170" s="1"/>
      <c r="C1170" s="28"/>
      <c r="D1170" s="19"/>
      <c r="G1170" s="29"/>
      <c r="H1170" s="212"/>
      <c r="I1170" s="1"/>
      <c r="K1170" s="30"/>
      <c r="L1170" s="30"/>
      <c r="M1170" s="1"/>
      <c r="N1170" s="211"/>
      <c r="O1170" s="211"/>
      <c r="P1170" s="31"/>
      <c r="Q1170" s="211"/>
      <c r="R1170" s="211"/>
      <c r="S1170" s="31"/>
      <c r="V1170" s="1"/>
      <c r="W1170" s="1"/>
      <c r="X1170" s="1"/>
      <c r="Y1170" s="30"/>
      <c r="Z1170" s="211"/>
    </row>
    <row r="1171" spans="2:26">
      <c r="B1171" s="1"/>
      <c r="C1171" s="28"/>
      <c r="D1171" s="19"/>
      <c r="G1171" s="29"/>
      <c r="H1171" s="212"/>
      <c r="I1171" s="1"/>
      <c r="K1171" s="30"/>
      <c r="L1171" s="30"/>
      <c r="M1171" s="1"/>
      <c r="N1171" s="211"/>
      <c r="O1171" s="211"/>
      <c r="P1171" s="31"/>
      <c r="Q1171" s="211"/>
      <c r="R1171" s="211"/>
      <c r="S1171" s="31"/>
      <c r="V1171" s="1"/>
      <c r="W1171" s="1"/>
      <c r="X1171" s="1"/>
      <c r="Y1171" s="30"/>
      <c r="Z1171" s="211"/>
    </row>
    <row r="1172" spans="2:26">
      <c r="B1172" s="1"/>
      <c r="C1172" s="28"/>
      <c r="D1172" s="19"/>
      <c r="G1172" s="29"/>
      <c r="H1172" s="212"/>
      <c r="I1172" s="1"/>
      <c r="K1172" s="30"/>
      <c r="L1172" s="30"/>
      <c r="M1172" s="1"/>
      <c r="N1172" s="211"/>
      <c r="O1172" s="211"/>
      <c r="P1172" s="31"/>
      <c r="Q1172" s="211"/>
      <c r="R1172" s="211"/>
      <c r="S1172" s="31"/>
      <c r="V1172" s="1"/>
      <c r="W1172" s="1"/>
      <c r="X1172" s="1"/>
      <c r="Y1172" s="30"/>
      <c r="Z1172" s="211"/>
    </row>
    <row r="1173" spans="2:26">
      <c r="B1173" s="1"/>
      <c r="C1173" s="28"/>
      <c r="D1173" s="19"/>
      <c r="G1173" s="29"/>
      <c r="H1173" s="212"/>
      <c r="I1173" s="1"/>
      <c r="K1173" s="30"/>
      <c r="L1173" s="30"/>
      <c r="M1173" s="1"/>
      <c r="N1173" s="211"/>
      <c r="O1173" s="211"/>
      <c r="P1173" s="31"/>
      <c r="Q1173" s="211"/>
      <c r="R1173" s="211"/>
      <c r="S1173" s="31"/>
      <c r="V1173" s="1"/>
      <c r="W1173" s="1"/>
      <c r="X1173" s="1"/>
      <c r="Y1173" s="30"/>
      <c r="Z1173" s="211"/>
    </row>
    <row r="1174" spans="2:26">
      <c r="B1174" s="1"/>
      <c r="C1174" s="28"/>
      <c r="D1174" s="19"/>
      <c r="G1174" s="29"/>
      <c r="H1174" s="212"/>
      <c r="I1174" s="1"/>
      <c r="K1174" s="30"/>
      <c r="L1174" s="30"/>
      <c r="M1174" s="1"/>
      <c r="N1174" s="211"/>
      <c r="O1174" s="211"/>
      <c r="P1174" s="31"/>
      <c r="Q1174" s="211"/>
      <c r="R1174" s="211"/>
      <c r="S1174" s="31"/>
      <c r="V1174" s="1"/>
      <c r="W1174" s="1"/>
      <c r="X1174" s="1"/>
      <c r="Y1174" s="30"/>
      <c r="Z1174" s="211"/>
    </row>
    <row r="1175" spans="2:26">
      <c r="B1175" s="1"/>
      <c r="C1175" s="28"/>
      <c r="D1175" s="19"/>
      <c r="G1175" s="29"/>
      <c r="H1175" s="212"/>
      <c r="I1175" s="1"/>
      <c r="K1175" s="30"/>
      <c r="L1175" s="30"/>
      <c r="M1175" s="1"/>
      <c r="N1175" s="211"/>
      <c r="O1175" s="211"/>
      <c r="P1175" s="31"/>
      <c r="Q1175" s="211"/>
      <c r="R1175" s="211"/>
      <c r="S1175" s="31"/>
      <c r="V1175" s="1"/>
      <c r="W1175" s="1"/>
      <c r="X1175" s="1"/>
      <c r="Y1175" s="30"/>
      <c r="Z1175" s="211"/>
    </row>
    <row r="1176" spans="2:26">
      <c r="B1176" s="1"/>
      <c r="C1176" s="28"/>
      <c r="D1176" s="19"/>
      <c r="G1176" s="29"/>
      <c r="H1176" s="212"/>
      <c r="I1176" s="1"/>
      <c r="K1176" s="30"/>
      <c r="L1176" s="30"/>
      <c r="M1176" s="1"/>
      <c r="N1176" s="211"/>
      <c r="O1176"/>
      <c r="P1176"/>
      <c r="Q1176" s="211"/>
      <c r="R1176" s="211"/>
      <c r="S1176" s="31"/>
      <c r="V1176" s="1"/>
      <c r="W1176" s="1"/>
      <c r="X1176" s="1"/>
      <c r="Y1176" s="30"/>
      <c r="Z1176" s="211"/>
    </row>
    <row r="1177" spans="2:26">
      <c r="B1177" s="1"/>
      <c r="C1177" s="28"/>
      <c r="D1177" s="19"/>
      <c r="G1177" s="29"/>
      <c r="H1177" s="212"/>
      <c r="I1177" s="1"/>
      <c r="K1177" s="30"/>
      <c r="L1177" s="30"/>
      <c r="M1177" s="1"/>
      <c r="N1177" s="211"/>
      <c r="O1177" s="211"/>
      <c r="P1177" s="31"/>
      <c r="Q1177" s="211"/>
      <c r="R1177" s="211"/>
      <c r="S1177" s="31"/>
      <c r="V1177" s="1"/>
      <c r="W1177" s="1"/>
      <c r="X1177" s="1"/>
      <c r="Y1177" s="30"/>
      <c r="Z1177" s="211"/>
    </row>
    <row r="1178" spans="2:26">
      <c r="B1178" s="1"/>
      <c r="C1178" s="28"/>
      <c r="D1178" s="19"/>
      <c r="G1178" s="29"/>
      <c r="H1178" s="212"/>
      <c r="I1178" s="1"/>
      <c r="K1178" s="30"/>
      <c r="L1178" s="30"/>
      <c r="M1178" s="1"/>
      <c r="N1178" s="211"/>
      <c r="O1178" s="211"/>
      <c r="P1178" s="31"/>
      <c r="Q1178" s="211"/>
      <c r="R1178" s="211"/>
      <c r="S1178" s="31"/>
      <c r="V1178" s="1"/>
      <c r="W1178" s="1"/>
      <c r="X1178" s="1"/>
      <c r="Y1178" s="30"/>
      <c r="Z1178" s="211"/>
    </row>
    <row r="1179" spans="2:26">
      <c r="B1179" s="1"/>
      <c r="C1179" s="28"/>
      <c r="D1179" s="19"/>
      <c r="G1179" s="29"/>
      <c r="H1179" s="212"/>
      <c r="I1179" s="1"/>
      <c r="K1179" s="30"/>
      <c r="L1179" s="30"/>
      <c r="M1179" s="1"/>
      <c r="N1179" s="211"/>
      <c r="O1179" s="211"/>
      <c r="P1179" s="31"/>
      <c r="Q1179" s="211"/>
      <c r="R1179" s="211"/>
      <c r="S1179" s="31"/>
      <c r="V1179" s="1"/>
      <c r="W1179" s="1"/>
      <c r="X1179" s="1"/>
      <c r="Y1179" s="30"/>
      <c r="Z1179" s="211"/>
    </row>
    <row r="1180" spans="2:26">
      <c r="B1180" s="1"/>
      <c r="C1180" s="28"/>
      <c r="D1180" s="19"/>
      <c r="G1180" s="29"/>
      <c r="H1180" s="212"/>
      <c r="I1180" s="1"/>
      <c r="K1180" s="30"/>
      <c r="L1180" s="30"/>
      <c r="M1180" s="1"/>
      <c r="N1180" s="211"/>
      <c r="O1180" s="211"/>
      <c r="P1180" s="31"/>
      <c r="Q1180" s="211"/>
      <c r="R1180" s="211"/>
      <c r="S1180" s="31"/>
      <c r="V1180" s="1"/>
      <c r="W1180" s="1"/>
      <c r="X1180" s="1"/>
      <c r="Y1180" s="30"/>
      <c r="Z1180" s="211"/>
    </row>
    <row r="1181" spans="2:26">
      <c r="B1181" s="1"/>
      <c r="C1181" s="28"/>
      <c r="D1181" s="19"/>
      <c r="G1181" s="29"/>
      <c r="H1181" s="212"/>
      <c r="I1181" s="1"/>
      <c r="K1181" s="30"/>
      <c r="L1181" s="30"/>
      <c r="M1181" s="1"/>
      <c r="N1181" s="211"/>
      <c r="O1181" s="211"/>
      <c r="P1181" s="31"/>
      <c r="Q1181" s="211"/>
      <c r="R1181" s="211"/>
      <c r="S1181" s="31"/>
      <c r="V1181" s="1"/>
      <c r="W1181" s="1"/>
      <c r="X1181" s="1"/>
      <c r="Y1181" s="30"/>
      <c r="Z1181" s="211"/>
    </row>
    <row r="1182" spans="2:26">
      <c r="B1182" s="1"/>
      <c r="C1182" s="28"/>
      <c r="D1182" s="19"/>
      <c r="G1182" s="29"/>
      <c r="H1182" s="212"/>
      <c r="I1182" s="1"/>
      <c r="K1182" s="30"/>
      <c r="L1182" s="30"/>
      <c r="M1182" s="1"/>
      <c r="N1182" s="211"/>
      <c r="O1182" s="211"/>
      <c r="P1182" s="31"/>
      <c r="Q1182" s="211"/>
      <c r="R1182" s="211"/>
      <c r="S1182" s="31"/>
      <c r="V1182" s="1"/>
      <c r="W1182" s="1"/>
      <c r="X1182" s="1"/>
      <c r="Y1182" s="30"/>
      <c r="Z1182" s="211"/>
    </row>
    <row r="1183" spans="2:26">
      <c r="B1183" s="1"/>
      <c r="C1183" s="28"/>
      <c r="D1183" s="19"/>
      <c r="G1183" s="29"/>
      <c r="H1183" s="212"/>
      <c r="I1183" s="1"/>
      <c r="K1183" s="30"/>
      <c r="L1183" s="30"/>
      <c r="M1183" s="1"/>
      <c r="N1183" s="211"/>
      <c r="O1183" s="211"/>
      <c r="P1183" s="31"/>
      <c r="Q1183" s="211"/>
      <c r="R1183" s="211"/>
      <c r="S1183" s="31"/>
      <c r="V1183" s="1"/>
      <c r="W1183" s="1"/>
      <c r="X1183" s="1"/>
      <c r="Y1183" s="30"/>
      <c r="Z1183" s="211"/>
    </row>
    <row r="1184" spans="2:26">
      <c r="B1184" s="1"/>
      <c r="C1184" s="28"/>
      <c r="D1184" s="19"/>
      <c r="G1184" s="29"/>
      <c r="H1184" s="212"/>
      <c r="I1184" s="1"/>
      <c r="K1184" s="30"/>
      <c r="L1184" s="30"/>
      <c r="M1184" s="1"/>
      <c r="N1184" s="211"/>
      <c r="O1184" s="211"/>
      <c r="P1184" s="31"/>
      <c r="Q1184" s="211"/>
      <c r="R1184" s="211"/>
      <c r="S1184" s="31"/>
      <c r="V1184" s="1"/>
      <c r="W1184" s="1"/>
      <c r="X1184" s="1"/>
      <c r="Y1184" s="30"/>
      <c r="Z1184" s="211"/>
    </row>
    <row r="1185" spans="2:26">
      <c r="B1185" s="1"/>
      <c r="C1185" s="28"/>
      <c r="D1185" s="19"/>
      <c r="G1185" s="29"/>
      <c r="H1185" s="212"/>
      <c r="I1185" s="1"/>
      <c r="K1185" s="30"/>
      <c r="L1185" s="30"/>
      <c r="M1185" s="1"/>
      <c r="N1185" s="211"/>
      <c r="O1185" s="211"/>
      <c r="P1185" s="31"/>
      <c r="Q1185" s="211"/>
      <c r="R1185" s="211"/>
      <c r="S1185" s="31"/>
      <c r="V1185" s="1"/>
      <c r="W1185" s="1"/>
      <c r="X1185" s="1"/>
      <c r="Y1185" s="30"/>
      <c r="Z1185" s="211"/>
    </row>
    <row r="1186" spans="2:26">
      <c r="B1186" s="1"/>
      <c r="C1186" s="28"/>
      <c r="D1186" s="19"/>
      <c r="G1186" s="29"/>
      <c r="H1186" s="212"/>
      <c r="I1186" s="1"/>
      <c r="K1186" s="30"/>
      <c r="L1186" s="30"/>
      <c r="M1186" s="1"/>
      <c r="N1186" s="211"/>
      <c r="O1186" s="211"/>
      <c r="P1186" s="31"/>
      <c r="Q1186" s="211"/>
      <c r="R1186" s="211"/>
      <c r="S1186" s="31"/>
      <c r="V1186" s="1"/>
      <c r="W1186" s="1"/>
      <c r="X1186" s="1"/>
      <c r="Y1186" s="30"/>
      <c r="Z1186" s="211"/>
    </row>
    <row r="1187" spans="2:26">
      <c r="B1187" s="1"/>
      <c r="C1187" s="28"/>
      <c r="D1187" s="19"/>
      <c r="G1187" s="29"/>
      <c r="H1187" s="212"/>
      <c r="I1187" s="1"/>
      <c r="K1187" s="30"/>
      <c r="L1187" s="30"/>
      <c r="M1187" s="1"/>
      <c r="N1187" s="211"/>
      <c r="O1187" s="211"/>
      <c r="P1187" s="31"/>
      <c r="Q1187" s="211"/>
      <c r="R1187" s="211"/>
      <c r="S1187" s="31"/>
      <c r="V1187" s="1"/>
      <c r="W1187" s="1"/>
      <c r="X1187" s="1"/>
      <c r="Y1187" s="30"/>
      <c r="Z1187" s="211"/>
    </row>
    <row r="1188" spans="2:26">
      <c r="B1188" s="1"/>
      <c r="C1188" s="28"/>
      <c r="D1188" s="19"/>
      <c r="G1188" s="29"/>
      <c r="H1188" s="212"/>
      <c r="I1188" s="1"/>
      <c r="K1188" s="30"/>
      <c r="L1188" s="30"/>
      <c r="M1188" s="1"/>
      <c r="N1188" s="211"/>
      <c r="O1188" s="211"/>
      <c r="P1188" s="31"/>
      <c r="Q1188" s="211"/>
      <c r="R1188" s="211"/>
      <c r="S1188" s="31"/>
      <c r="V1188" s="1"/>
      <c r="W1188" s="1"/>
      <c r="X1188" s="1"/>
      <c r="Y1188" s="30"/>
      <c r="Z1188" s="211"/>
    </row>
    <row r="1189" spans="2:26">
      <c r="B1189" s="1"/>
      <c r="C1189" s="28"/>
      <c r="D1189" s="19"/>
      <c r="G1189" s="29"/>
      <c r="H1189" s="212"/>
      <c r="I1189" s="1"/>
      <c r="K1189" s="30"/>
      <c r="L1189" s="30"/>
      <c r="M1189" s="1"/>
      <c r="N1189" s="211"/>
      <c r="O1189" s="211"/>
      <c r="P1189" s="31"/>
      <c r="Q1189" s="211"/>
      <c r="R1189" s="211"/>
      <c r="S1189" s="31"/>
      <c r="V1189" s="1"/>
      <c r="W1189" s="1"/>
      <c r="X1189" s="1"/>
      <c r="Y1189" s="30"/>
      <c r="Z1189" s="211"/>
    </row>
    <row r="1190" spans="2:26">
      <c r="B1190" s="1"/>
      <c r="C1190" s="28"/>
      <c r="D1190" s="19"/>
      <c r="G1190" s="29"/>
      <c r="H1190" s="212"/>
      <c r="I1190" s="1"/>
      <c r="K1190" s="30"/>
      <c r="L1190" s="30"/>
      <c r="M1190" s="1"/>
      <c r="N1190" s="211"/>
      <c r="O1190" s="211"/>
      <c r="P1190" s="31"/>
      <c r="Q1190" s="211"/>
      <c r="R1190" s="211"/>
      <c r="S1190" s="31"/>
      <c r="V1190" s="1"/>
      <c r="W1190" s="1"/>
      <c r="X1190" s="1"/>
      <c r="Y1190" s="30"/>
      <c r="Z1190" s="211"/>
    </row>
    <row r="1191" spans="2:26">
      <c r="B1191" s="1"/>
      <c r="C1191" s="28"/>
      <c r="D1191" s="19"/>
      <c r="G1191" s="29"/>
      <c r="H1191" s="212"/>
      <c r="I1191" s="1"/>
      <c r="K1191" s="30"/>
      <c r="L1191" s="30"/>
      <c r="M1191" s="1"/>
      <c r="N1191" s="211"/>
      <c r="O1191" s="211"/>
      <c r="P1191" s="31"/>
      <c r="Q1191" s="211"/>
      <c r="R1191" s="211"/>
      <c r="S1191" s="31"/>
      <c r="V1191" s="1"/>
      <c r="W1191" s="1"/>
      <c r="X1191" s="1"/>
      <c r="Y1191" s="30"/>
      <c r="Z1191" s="211"/>
    </row>
    <row r="1192" spans="2:26">
      <c r="B1192" s="1"/>
      <c r="C1192" s="28"/>
      <c r="D1192" s="19"/>
      <c r="G1192" s="29"/>
      <c r="H1192" s="212"/>
      <c r="I1192" s="1"/>
      <c r="K1192" s="30"/>
      <c r="L1192" s="30"/>
      <c r="M1192" s="1"/>
      <c r="N1192" s="211"/>
      <c r="O1192" s="211"/>
      <c r="P1192" s="31"/>
      <c r="Q1192" s="211"/>
      <c r="R1192" s="211"/>
      <c r="S1192" s="31"/>
      <c r="V1192" s="1"/>
      <c r="W1192" s="1"/>
      <c r="X1192" s="1"/>
      <c r="Y1192" s="30"/>
      <c r="Z1192" s="211"/>
    </row>
    <row r="1193" spans="2:26">
      <c r="B1193" s="1"/>
      <c r="C1193" s="28"/>
      <c r="D1193" s="19"/>
      <c r="G1193" s="29"/>
      <c r="H1193" s="212"/>
      <c r="I1193" s="1"/>
      <c r="K1193" s="30"/>
      <c r="L1193" s="30"/>
      <c r="M1193" s="1"/>
      <c r="N1193" s="211"/>
      <c r="O1193" s="211"/>
      <c r="P1193" s="31"/>
      <c r="Q1193" s="211"/>
      <c r="R1193" s="211"/>
      <c r="S1193" s="31"/>
      <c r="V1193" s="1"/>
      <c r="W1193" s="1"/>
      <c r="X1193" s="1"/>
      <c r="Y1193" s="30"/>
      <c r="Z1193" s="211"/>
    </row>
    <row r="1194" spans="2:26">
      <c r="B1194" s="1"/>
      <c r="C1194" s="28"/>
      <c r="D1194" s="19"/>
      <c r="G1194" s="29"/>
      <c r="H1194" s="212"/>
      <c r="I1194" s="1"/>
      <c r="K1194" s="30"/>
      <c r="L1194" s="30"/>
      <c r="M1194" s="1"/>
      <c r="N1194" s="211"/>
      <c r="O1194" s="211"/>
      <c r="P1194" s="31"/>
      <c r="Q1194" s="211"/>
      <c r="R1194" s="211"/>
      <c r="S1194" s="31"/>
      <c r="V1194" s="1"/>
      <c r="W1194" s="1"/>
      <c r="X1194" s="1"/>
      <c r="Y1194" s="30"/>
      <c r="Z1194" s="211"/>
    </row>
    <row r="1195" spans="2:26">
      <c r="B1195" s="1"/>
      <c r="C1195" s="28"/>
      <c r="D1195" s="19"/>
      <c r="G1195" s="29"/>
      <c r="H1195" s="212"/>
      <c r="I1195" s="1"/>
      <c r="K1195" s="30"/>
      <c r="L1195" s="30"/>
      <c r="M1195" s="1"/>
      <c r="N1195" s="211"/>
      <c r="O1195" s="211"/>
      <c r="P1195" s="31"/>
      <c r="Q1195" s="211"/>
      <c r="R1195" s="211"/>
      <c r="S1195" s="31"/>
      <c r="V1195" s="1"/>
      <c r="W1195" s="1"/>
      <c r="X1195" s="1"/>
      <c r="Y1195" s="30"/>
      <c r="Z1195" s="211"/>
    </row>
    <row r="1196" spans="2:26">
      <c r="B1196" s="1"/>
      <c r="C1196" s="28"/>
      <c r="D1196" s="19"/>
      <c r="G1196" s="29"/>
      <c r="H1196" s="212"/>
      <c r="I1196" s="1"/>
      <c r="K1196" s="30"/>
      <c r="L1196" s="30"/>
      <c r="M1196" s="1"/>
      <c r="N1196" s="211"/>
      <c r="O1196" s="211"/>
      <c r="P1196" s="31"/>
      <c r="Q1196" s="211"/>
      <c r="R1196" s="211"/>
      <c r="S1196" s="31"/>
      <c r="V1196" s="1"/>
      <c r="W1196" s="1"/>
      <c r="X1196" s="1"/>
      <c r="Y1196" s="30"/>
      <c r="Z1196" s="211"/>
    </row>
    <row r="1197" spans="2:26">
      <c r="B1197" s="1"/>
      <c r="C1197" s="28"/>
      <c r="D1197" s="19"/>
      <c r="G1197" s="29"/>
      <c r="H1197" s="212"/>
      <c r="I1197" s="1"/>
      <c r="K1197" s="30"/>
      <c r="L1197" s="30"/>
      <c r="M1197" s="1"/>
      <c r="N1197" s="211"/>
      <c r="O1197" s="211"/>
      <c r="P1197" s="31"/>
      <c r="Q1197" s="211"/>
      <c r="R1197" s="211"/>
      <c r="S1197" s="31"/>
      <c r="V1197" s="1"/>
      <c r="W1197" s="1"/>
      <c r="X1197" s="1"/>
      <c r="Y1197" s="30"/>
      <c r="Z1197" s="211"/>
    </row>
    <row r="1198" spans="2:26">
      <c r="B1198" s="1"/>
      <c r="C1198" s="28"/>
      <c r="D1198" s="19"/>
      <c r="G1198" s="29"/>
      <c r="H1198" s="212"/>
      <c r="I1198" s="1"/>
      <c r="K1198" s="30"/>
      <c r="L1198" s="30"/>
      <c r="M1198" s="1"/>
      <c r="N1198" s="211"/>
      <c r="O1198" s="211"/>
      <c r="P1198" s="31"/>
      <c r="Q1198" s="211"/>
      <c r="R1198" s="211"/>
      <c r="S1198" s="31"/>
      <c r="V1198" s="1"/>
      <c r="W1198" s="1"/>
      <c r="X1198" s="1"/>
      <c r="Y1198" s="30"/>
      <c r="Z1198" s="211"/>
    </row>
    <row r="1199" spans="2:26">
      <c r="B1199" s="1"/>
      <c r="C1199" s="28"/>
      <c r="D1199" s="19"/>
      <c r="G1199" s="29"/>
      <c r="H1199" s="212"/>
      <c r="I1199" s="1"/>
      <c r="K1199" s="30"/>
      <c r="L1199" s="30"/>
      <c r="M1199" s="1"/>
      <c r="N1199" s="211"/>
      <c r="O1199" s="211"/>
      <c r="P1199" s="31"/>
      <c r="Q1199" s="211"/>
      <c r="R1199" s="211"/>
      <c r="S1199" s="31"/>
      <c r="V1199" s="1"/>
      <c r="W1199" s="1"/>
      <c r="X1199" s="1"/>
      <c r="Y1199" s="30"/>
      <c r="Z1199" s="211"/>
    </row>
    <row r="1200" spans="2:26">
      <c r="B1200" s="1"/>
      <c r="C1200" s="28"/>
      <c r="D1200" s="19"/>
      <c r="G1200" s="29"/>
      <c r="H1200" s="212"/>
      <c r="I1200" s="1"/>
      <c r="K1200" s="30"/>
      <c r="L1200" s="30"/>
      <c r="M1200" s="1"/>
      <c r="N1200" s="211"/>
      <c r="O1200" s="211"/>
      <c r="P1200" s="31"/>
      <c r="Q1200" s="211"/>
      <c r="R1200" s="211"/>
      <c r="S1200" s="31"/>
      <c r="V1200" s="1"/>
      <c r="W1200" s="1"/>
      <c r="X1200" s="1"/>
      <c r="Y1200" s="30"/>
      <c r="Z1200" s="211"/>
    </row>
    <row r="1201" spans="2:26">
      <c r="B1201" s="1"/>
      <c r="C1201" s="28"/>
      <c r="D1201" s="19"/>
      <c r="G1201" s="29"/>
      <c r="H1201" s="212"/>
      <c r="I1201" s="1"/>
      <c r="K1201" s="30"/>
      <c r="L1201" s="30"/>
      <c r="M1201" s="1"/>
      <c r="N1201" s="211"/>
      <c r="O1201" s="211"/>
      <c r="P1201" s="31"/>
      <c r="Q1201" s="211"/>
      <c r="R1201" s="211"/>
      <c r="S1201" s="31"/>
      <c r="V1201" s="1"/>
      <c r="W1201" s="1"/>
      <c r="X1201" s="1"/>
      <c r="Y1201" s="30"/>
      <c r="Z1201" s="211"/>
    </row>
    <row r="1202" spans="2:26">
      <c r="B1202" s="1"/>
      <c r="C1202" s="28"/>
      <c r="D1202" s="19"/>
      <c r="G1202" s="29"/>
      <c r="H1202" s="212"/>
      <c r="I1202" s="1"/>
      <c r="K1202" s="30"/>
      <c r="L1202" s="30"/>
      <c r="M1202" s="1"/>
      <c r="N1202" s="211"/>
      <c r="O1202" s="211"/>
      <c r="P1202" s="31"/>
      <c r="Q1202" s="211"/>
      <c r="R1202" s="211"/>
      <c r="S1202" s="31"/>
      <c r="V1202" s="1"/>
      <c r="W1202" s="1"/>
      <c r="X1202" s="1"/>
      <c r="Y1202" s="30"/>
      <c r="Z1202" s="211"/>
    </row>
    <row r="1203" spans="2:26">
      <c r="B1203" s="1"/>
      <c r="C1203" s="28"/>
      <c r="D1203" s="19"/>
      <c r="G1203" s="29"/>
      <c r="H1203" s="212"/>
      <c r="I1203" s="1"/>
      <c r="K1203" s="30"/>
      <c r="L1203" s="30"/>
      <c r="M1203" s="1"/>
      <c r="N1203" s="211"/>
      <c r="O1203" s="211"/>
      <c r="P1203" s="31"/>
      <c r="Q1203" s="211"/>
      <c r="R1203" s="211"/>
      <c r="S1203" s="31"/>
      <c r="V1203" s="1"/>
      <c r="W1203" s="1"/>
      <c r="X1203" s="1"/>
      <c r="Y1203" s="30"/>
      <c r="Z1203" s="211"/>
    </row>
    <row r="1204" spans="2:26">
      <c r="B1204" s="1"/>
      <c r="C1204" s="28"/>
      <c r="D1204" s="19"/>
      <c r="G1204" s="29"/>
      <c r="H1204" s="212"/>
      <c r="I1204" s="1"/>
      <c r="K1204" s="30"/>
      <c r="L1204" s="30"/>
      <c r="M1204" s="1"/>
      <c r="N1204" s="211"/>
      <c r="O1204" s="211"/>
      <c r="P1204" s="31"/>
      <c r="Q1204" s="211"/>
      <c r="R1204" s="211"/>
      <c r="S1204" s="31"/>
      <c r="V1204" s="1"/>
      <c r="W1204" s="1"/>
      <c r="X1204" s="1"/>
      <c r="Y1204" s="30"/>
      <c r="Z1204" s="211"/>
    </row>
    <row r="1205" spans="2:26">
      <c r="B1205" s="1"/>
      <c r="C1205" s="28"/>
      <c r="D1205" s="19"/>
      <c r="G1205" s="29"/>
      <c r="H1205" s="212"/>
      <c r="I1205" s="1"/>
      <c r="K1205" s="30"/>
      <c r="L1205" s="30"/>
      <c r="M1205" s="1"/>
      <c r="N1205" s="211"/>
      <c r="O1205" s="211"/>
      <c r="P1205" s="31"/>
      <c r="Q1205" s="211"/>
      <c r="R1205" s="211"/>
      <c r="S1205" s="31"/>
      <c r="V1205" s="1"/>
      <c r="W1205" s="1"/>
      <c r="X1205" s="1"/>
      <c r="Y1205" s="30"/>
      <c r="Z1205" s="211"/>
    </row>
    <row r="1206" spans="2:26">
      <c r="B1206" s="1"/>
      <c r="C1206" s="28"/>
      <c r="D1206" s="19"/>
      <c r="G1206" s="29"/>
      <c r="H1206" s="212"/>
      <c r="I1206" s="1"/>
      <c r="K1206" s="30"/>
      <c r="L1206" s="30"/>
      <c r="M1206" s="1"/>
      <c r="N1206" s="211"/>
      <c r="O1206" s="211"/>
      <c r="P1206" s="31"/>
      <c r="Q1206" s="211"/>
      <c r="R1206" s="211"/>
      <c r="S1206" s="31"/>
      <c r="V1206" s="1"/>
      <c r="W1206" s="1"/>
      <c r="X1206" s="1"/>
      <c r="Y1206" s="30"/>
      <c r="Z1206" s="211"/>
    </row>
    <row r="1207" spans="2:26">
      <c r="B1207" s="1"/>
      <c r="C1207" s="28"/>
      <c r="D1207" s="19"/>
      <c r="G1207" s="29"/>
      <c r="H1207" s="212"/>
      <c r="I1207" s="1"/>
      <c r="K1207" s="30"/>
      <c r="L1207" s="30"/>
      <c r="M1207" s="1"/>
      <c r="N1207" s="211"/>
      <c r="O1207" s="211"/>
      <c r="P1207" s="31"/>
      <c r="Q1207" s="211"/>
      <c r="R1207" s="211"/>
      <c r="S1207" s="31"/>
      <c r="V1207" s="1"/>
      <c r="W1207" s="1"/>
      <c r="X1207" s="1"/>
      <c r="Y1207" s="30"/>
      <c r="Z1207" s="211"/>
    </row>
    <row r="1208" spans="2:26">
      <c r="B1208" s="1"/>
      <c r="C1208" s="28"/>
      <c r="D1208" s="19"/>
      <c r="G1208" s="29"/>
      <c r="H1208" s="212"/>
      <c r="I1208" s="1"/>
      <c r="K1208" s="30"/>
      <c r="L1208" s="30"/>
      <c r="M1208" s="1"/>
      <c r="N1208" s="211"/>
      <c r="O1208" s="211"/>
      <c r="P1208" s="31"/>
      <c r="Q1208" s="211"/>
      <c r="R1208" s="211"/>
      <c r="S1208" s="31"/>
      <c r="V1208" s="1"/>
      <c r="W1208" s="1"/>
      <c r="X1208" s="1"/>
      <c r="Y1208" s="30"/>
      <c r="Z1208" s="211"/>
    </row>
    <row r="1209" spans="2:26">
      <c r="B1209" s="1"/>
      <c r="C1209" s="28"/>
      <c r="D1209" s="19"/>
      <c r="G1209" s="29"/>
      <c r="H1209" s="212"/>
      <c r="I1209" s="1"/>
      <c r="K1209" s="30"/>
      <c r="L1209" s="30"/>
      <c r="M1209" s="1"/>
      <c r="N1209" s="211"/>
      <c r="O1209" s="211"/>
      <c r="P1209" s="31"/>
      <c r="Q1209" s="211"/>
      <c r="R1209" s="211"/>
      <c r="S1209" s="31"/>
      <c r="V1209" s="1"/>
      <c r="W1209" s="1"/>
      <c r="X1209" s="1"/>
      <c r="Y1209" s="30"/>
      <c r="Z1209" s="211"/>
    </row>
    <row r="1210" spans="2:26">
      <c r="B1210" s="1"/>
      <c r="C1210" s="28"/>
      <c r="D1210" s="19"/>
      <c r="G1210" s="29"/>
      <c r="H1210" s="212"/>
      <c r="I1210" s="1"/>
      <c r="K1210" s="30"/>
      <c r="L1210" s="30"/>
      <c r="M1210" s="1"/>
      <c r="N1210" s="211"/>
      <c r="O1210" s="211"/>
      <c r="P1210" s="31"/>
      <c r="Q1210" s="211"/>
      <c r="R1210" s="211"/>
      <c r="S1210" s="31"/>
      <c r="V1210" s="1"/>
      <c r="W1210" s="1"/>
      <c r="X1210" s="1"/>
      <c r="Y1210" s="30"/>
      <c r="Z1210" s="211"/>
    </row>
    <row r="1211" spans="2:26">
      <c r="B1211" s="1"/>
      <c r="C1211" s="28"/>
      <c r="D1211" s="19"/>
      <c r="G1211" s="29"/>
      <c r="H1211" s="212"/>
      <c r="I1211" s="1"/>
      <c r="K1211" s="30"/>
      <c r="L1211" s="30"/>
      <c r="M1211" s="1"/>
      <c r="N1211" s="211"/>
      <c r="O1211" s="211"/>
      <c r="P1211" s="31"/>
      <c r="Q1211" s="211"/>
      <c r="R1211" s="211"/>
      <c r="S1211" s="31"/>
      <c r="V1211" s="1"/>
      <c r="W1211" s="1"/>
      <c r="X1211" s="1"/>
      <c r="Y1211" s="30"/>
      <c r="Z1211" s="211"/>
    </row>
    <row r="1212" spans="2:26">
      <c r="B1212" s="1"/>
      <c r="C1212" s="28"/>
      <c r="D1212" s="19"/>
      <c r="G1212" s="29"/>
      <c r="H1212" s="212"/>
      <c r="I1212" s="1"/>
      <c r="K1212" s="30"/>
      <c r="L1212" s="30"/>
      <c r="M1212" s="1"/>
      <c r="N1212" s="211"/>
      <c r="O1212" s="211"/>
      <c r="P1212" s="31"/>
      <c r="Q1212" s="211"/>
      <c r="R1212" s="211"/>
      <c r="S1212" s="31"/>
      <c r="V1212" s="1"/>
      <c r="W1212" s="1"/>
      <c r="X1212" s="1"/>
      <c r="Y1212" s="30"/>
      <c r="Z1212" s="211"/>
    </row>
    <row r="1213" spans="2:26">
      <c r="B1213" s="1"/>
      <c r="C1213" s="28"/>
      <c r="D1213" s="19"/>
      <c r="G1213" s="29"/>
      <c r="H1213" s="212"/>
      <c r="I1213" s="1"/>
      <c r="K1213" s="30"/>
      <c r="L1213" s="30"/>
      <c r="M1213" s="1"/>
      <c r="N1213" s="211"/>
      <c r="O1213" s="211"/>
      <c r="P1213" s="31"/>
      <c r="Q1213" s="211"/>
      <c r="R1213" s="211"/>
      <c r="S1213" s="31"/>
      <c r="V1213" s="1"/>
      <c r="W1213" s="1"/>
      <c r="X1213" s="1"/>
      <c r="Y1213" s="30"/>
      <c r="Z1213" s="211"/>
    </row>
    <row r="1214" spans="2:26">
      <c r="B1214" s="1"/>
      <c r="C1214" s="28"/>
      <c r="D1214" s="19"/>
      <c r="G1214" s="29"/>
      <c r="H1214" s="212"/>
      <c r="I1214" s="1"/>
      <c r="K1214" s="30"/>
      <c r="L1214" s="30"/>
      <c r="M1214" s="1"/>
      <c r="N1214" s="211"/>
      <c r="O1214" s="211"/>
      <c r="P1214" s="31"/>
      <c r="Q1214" s="211"/>
      <c r="R1214" s="211"/>
      <c r="S1214" s="31"/>
      <c r="V1214" s="1"/>
      <c r="W1214" s="1"/>
      <c r="X1214" s="1"/>
      <c r="Y1214" s="30"/>
      <c r="Z1214" s="211"/>
    </row>
    <row r="1215" spans="2:26">
      <c r="B1215" s="1"/>
      <c r="C1215" s="28"/>
      <c r="D1215" s="19"/>
      <c r="G1215" s="29"/>
      <c r="H1215" s="212"/>
      <c r="I1215" s="1"/>
      <c r="K1215" s="30"/>
      <c r="L1215" s="30"/>
      <c r="M1215" s="1"/>
      <c r="N1215" s="211"/>
      <c r="O1215" s="211"/>
      <c r="P1215" s="31"/>
      <c r="Q1215" s="211"/>
      <c r="R1215" s="211"/>
      <c r="S1215" s="31"/>
      <c r="V1215" s="1"/>
      <c r="W1215" s="1"/>
      <c r="X1215" s="1"/>
      <c r="Y1215" s="30"/>
      <c r="Z1215" s="211"/>
    </row>
    <row r="1216" spans="2:26">
      <c r="B1216" s="1"/>
      <c r="C1216" s="28"/>
      <c r="D1216" s="19"/>
      <c r="G1216" s="29"/>
      <c r="H1216" s="212"/>
      <c r="I1216" s="1"/>
      <c r="K1216" s="30"/>
      <c r="L1216" s="30"/>
      <c r="M1216" s="1"/>
      <c r="N1216" s="211"/>
      <c r="O1216" s="211"/>
      <c r="P1216" s="31"/>
      <c r="Q1216" s="211"/>
      <c r="R1216" s="211"/>
      <c r="S1216" s="31"/>
      <c r="V1216" s="1"/>
      <c r="W1216" s="1"/>
      <c r="X1216" s="1"/>
      <c r="Y1216" s="30"/>
      <c r="Z1216" s="211"/>
    </row>
    <row r="1217" spans="2:26">
      <c r="B1217" s="1"/>
      <c r="C1217" s="28"/>
      <c r="D1217" s="19"/>
      <c r="G1217" s="29"/>
      <c r="H1217" s="212"/>
      <c r="I1217" s="1"/>
      <c r="K1217" s="30"/>
      <c r="L1217" s="30"/>
      <c r="M1217" s="1"/>
      <c r="N1217" s="211"/>
      <c r="O1217" s="211"/>
      <c r="P1217" s="31"/>
      <c r="Q1217" s="211"/>
      <c r="R1217" s="211"/>
      <c r="S1217" s="31"/>
      <c r="V1217" s="1"/>
      <c r="W1217" s="1"/>
      <c r="X1217" s="1"/>
      <c r="Y1217" s="30"/>
      <c r="Z1217" s="211"/>
    </row>
    <row r="1218" spans="2:26">
      <c r="B1218" s="1"/>
      <c r="C1218" s="28"/>
      <c r="D1218" s="19"/>
      <c r="G1218" s="29"/>
      <c r="H1218" s="212"/>
      <c r="I1218" s="1"/>
      <c r="K1218" s="30"/>
      <c r="L1218" s="30"/>
      <c r="M1218" s="1"/>
      <c r="N1218" s="211"/>
      <c r="O1218" s="211"/>
      <c r="P1218" s="31"/>
      <c r="Q1218" s="211"/>
      <c r="R1218" s="211"/>
      <c r="S1218" s="31"/>
      <c r="V1218" s="1"/>
      <c r="W1218" s="1"/>
      <c r="X1218" s="1"/>
      <c r="Y1218" s="30"/>
      <c r="Z1218" s="211"/>
    </row>
    <row r="1219" spans="2:26">
      <c r="B1219" s="1"/>
      <c r="C1219" s="28"/>
      <c r="D1219" s="19"/>
      <c r="G1219" s="29"/>
      <c r="H1219" s="212"/>
      <c r="I1219" s="1"/>
      <c r="K1219" s="30"/>
      <c r="L1219" s="30"/>
      <c r="M1219" s="1"/>
      <c r="N1219" s="211"/>
      <c r="O1219" s="211"/>
      <c r="P1219" s="31"/>
      <c r="Q1219" s="211"/>
      <c r="R1219" s="211"/>
      <c r="S1219" s="31"/>
      <c r="V1219" s="1"/>
      <c r="W1219" s="1"/>
      <c r="X1219" s="1"/>
      <c r="Y1219" s="30"/>
      <c r="Z1219" s="211"/>
    </row>
    <row r="1220" spans="2:26">
      <c r="B1220" s="1"/>
      <c r="C1220" s="28"/>
      <c r="D1220" s="19"/>
      <c r="G1220" s="29"/>
      <c r="H1220" s="212"/>
      <c r="I1220" s="1"/>
      <c r="K1220" s="30"/>
      <c r="L1220" s="30"/>
      <c r="M1220" s="1"/>
      <c r="N1220" s="211"/>
      <c r="O1220" s="211"/>
      <c r="P1220" s="31"/>
      <c r="Q1220" s="211"/>
      <c r="R1220" s="211"/>
      <c r="S1220" s="31"/>
      <c r="V1220" s="1"/>
      <c r="W1220" s="1"/>
      <c r="X1220" s="1"/>
      <c r="Y1220" s="30"/>
      <c r="Z1220" s="211"/>
    </row>
    <row r="1221" spans="2:26">
      <c r="B1221" s="1"/>
      <c r="C1221" s="28"/>
      <c r="D1221" s="19"/>
      <c r="G1221" s="29"/>
      <c r="H1221" s="212"/>
      <c r="I1221" s="1"/>
      <c r="K1221" s="30"/>
      <c r="L1221" s="30"/>
      <c r="M1221" s="1"/>
      <c r="N1221" s="211"/>
      <c r="O1221" s="211"/>
      <c r="P1221" s="31"/>
      <c r="Q1221" s="211"/>
      <c r="R1221" s="211"/>
      <c r="S1221" s="31"/>
      <c r="V1221" s="1"/>
      <c r="W1221" s="1"/>
      <c r="X1221" s="1"/>
      <c r="Y1221" s="30"/>
      <c r="Z1221" s="211"/>
    </row>
    <row r="1222" spans="2:26">
      <c r="B1222" s="1"/>
      <c r="C1222" s="28"/>
      <c r="D1222" s="19"/>
      <c r="G1222" s="29"/>
      <c r="H1222" s="212"/>
      <c r="I1222" s="1"/>
      <c r="K1222" s="30"/>
      <c r="L1222" s="30"/>
      <c r="M1222" s="1"/>
      <c r="N1222" s="211"/>
      <c r="O1222" s="211"/>
      <c r="P1222" s="31"/>
      <c r="Q1222" s="211"/>
      <c r="R1222" s="211"/>
      <c r="S1222" s="31"/>
      <c r="V1222" s="1"/>
      <c r="W1222" s="1"/>
      <c r="X1222" s="1"/>
      <c r="Y1222" s="30"/>
      <c r="Z1222" s="211"/>
    </row>
    <row r="1223" spans="2:26">
      <c r="B1223" s="1"/>
      <c r="C1223" s="28"/>
      <c r="D1223" s="19"/>
      <c r="G1223" s="29"/>
      <c r="H1223" s="212"/>
      <c r="I1223" s="1"/>
      <c r="K1223" s="30"/>
      <c r="L1223" s="30"/>
      <c r="M1223" s="1"/>
      <c r="N1223" s="211"/>
      <c r="O1223" s="211"/>
      <c r="P1223" s="31"/>
      <c r="Q1223" s="211"/>
      <c r="R1223" s="211"/>
      <c r="S1223" s="31"/>
      <c r="V1223" s="1"/>
      <c r="W1223" s="1"/>
      <c r="X1223" s="1"/>
      <c r="Y1223" s="30"/>
      <c r="Z1223" s="211"/>
    </row>
    <row r="1224" spans="2:26">
      <c r="B1224" s="1"/>
      <c r="C1224" s="28"/>
      <c r="D1224" s="19"/>
      <c r="G1224" s="29"/>
      <c r="H1224" s="212"/>
      <c r="I1224" s="1"/>
      <c r="K1224" s="30"/>
      <c r="L1224" s="30"/>
      <c r="M1224" s="1"/>
      <c r="N1224" s="211"/>
      <c r="O1224" s="211"/>
      <c r="P1224" s="31"/>
      <c r="Q1224" s="211"/>
      <c r="R1224" s="211"/>
      <c r="S1224" s="31"/>
      <c r="V1224" s="1"/>
      <c r="W1224" s="1"/>
      <c r="X1224" s="1"/>
      <c r="Y1224" s="30"/>
      <c r="Z1224" s="211"/>
    </row>
    <row r="1225" spans="2:26">
      <c r="B1225" s="1"/>
      <c r="C1225" s="28"/>
      <c r="D1225" s="19"/>
      <c r="G1225" s="29"/>
      <c r="H1225" s="212"/>
      <c r="I1225" s="1"/>
      <c r="K1225" s="30"/>
      <c r="L1225" s="30"/>
      <c r="M1225" s="1"/>
      <c r="N1225" s="211"/>
      <c r="O1225" s="211"/>
      <c r="P1225" s="31"/>
      <c r="Q1225" s="211"/>
      <c r="R1225" s="211"/>
      <c r="S1225" s="31"/>
      <c r="V1225" s="1"/>
      <c r="W1225" s="1"/>
      <c r="X1225" s="1"/>
      <c r="Y1225" s="30"/>
      <c r="Z1225" s="211"/>
    </row>
    <row r="1226" spans="2:26">
      <c r="B1226" s="1"/>
      <c r="C1226" s="28"/>
      <c r="D1226" s="19"/>
      <c r="G1226" s="29"/>
      <c r="H1226" s="212"/>
      <c r="I1226" s="1"/>
      <c r="K1226" s="30"/>
      <c r="L1226" s="30"/>
      <c r="M1226" s="1"/>
      <c r="N1226" s="211"/>
      <c r="O1226" s="211"/>
      <c r="P1226" s="31"/>
      <c r="Q1226" s="211"/>
      <c r="R1226" s="211"/>
      <c r="S1226" s="31"/>
      <c r="V1226" s="1"/>
      <c r="W1226" s="1"/>
      <c r="X1226" s="1"/>
      <c r="Y1226" s="30"/>
      <c r="Z1226" s="211"/>
    </row>
    <row r="1227" spans="2:26">
      <c r="B1227" s="1"/>
      <c r="C1227" s="28"/>
      <c r="D1227" s="19"/>
      <c r="G1227" s="29"/>
      <c r="H1227" s="212"/>
      <c r="I1227" s="1"/>
      <c r="K1227" s="30"/>
      <c r="L1227" s="30"/>
      <c r="M1227" s="1"/>
      <c r="N1227" s="211"/>
      <c r="O1227" s="211"/>
      <c r="P1227" s="31"/>
      <c r="Q1227" s="211"/>
      <c r="R1227" s="211"/>
      <c r="S1227" s="31"/>
      <c r="V1227" s="1"/>
      <c r="W1227" s="1"/>
      <c r="X1227" s="1"/>
      <c r="Y1227" s="30"/>
      <c r="Z1227" s="211"/>
    </row>
    <row r="1228" spans="2:26">
      <c r="B1228" s="1"/>
      <c r="C1228" s="28"/>
      <c r="D1228" s="19"/>
      <c r="G1228" s="29"/>
      <c r="H1228" s="212"/>
      <c r="I1228" s="1"/>
      <c r="K1228" s="30"/>
      <c r="L1228" s="30"/>
      <c r="M1228" s="1"/>
      <c r="N1228" s="211"/>
      <c r="O1228" s="211"/>
      <c r="P1228" s="31"/>
      <c r="Q1228" s="211"/>
      <c r="R1228" s="211"/>
      <c r="S1228" s="31"/>
      <c r="V1228" s="1"/>
      <c r="W1228" s="1"/>
      <c r="X1228" s="1"/>
      <c r="Y1228" s="30"/>
      <c r="Z1228" s="211"/>
    </row>
    <row r="1229" spans="2:26">
      <c r="B1229" s="1"/>
      <c r="C1229" s="28"/>
      <c r="D1229" s="19"/>
      <c r="G1229" s="29"/>
      <c r="H1229" s="212"/>
      <c r="I1229" s="1"/>
      <c r="K1229" s="30"/>
      <c r="L1229" s="30"/>
      <c r="M1229" s="1"/>
      <c r="N1229" s="211"/>
      <c r="O1229" s="211"/>
      <c r="P1229" s="31"/>
      <c r="Q1229" s="211"/>
      <c r="R1229" s="211"/>
      <c r="S1229" s="31"/>
      <c r="V1229" s="1"/>
      <c r="W1229" s="1"/>
      <c r="X1229" s="1"/>
      <c r="Y1229" s="30"/>
      <c r="Z1229" s="211"/>
    </row>
    <row r="1230" spans="2:26">
      <c r="B1230" s="1"/>
      <c r="C1230" s="28"/>
      <c r="D1230" s="19"/>
      <c r="G1230" s="29"/>
      <c r="H1230" s="212"/>
      <c r="I1230" s="1"/>
      <c r="K1230" s="30"/>
      <c r="L1230" s="30"/>
      <c r="M1230" s="1"/>
      <c r="N1230" s="211"/>
      <c r="O1230" s="211"/>
      <c r="P1230" s="31"/>
      <c r="Q1230" s="211"/>
      <c r="R1230" s="211"/>
      <c r="S1230" s="31"/>
      <c r="V1230" s="1"/>
      <c r="W1230" s="1"/>
      <c r="X1230" s="1"/>
      <c r="Y1230" s="30"/>
      <c r="Z1230" s="211"/>
    </row>
    <row r="1231" spans="2:26">
      <c r="B1231" s="1"/>
      <c r="C1231" s="28"/>
      <c r="D1231" s="19"/>
      <c r="G1231" s="29"/>
      <c r="H1231" s="212"/>
      <c r="I1231" s="1"/>
      <c r="K1231" s="30"/>
      <c r="L1231" s="30"/>
      <c r="M1231" s="1"/>
      <c r="N1231" s="211"/>
      <c r="O1231" s="211"/>
      <c r="P1231" s="31"/>
      <c r="Q1231" s="211"/>
      <c r="R1231" s="211"/>
      <c r="S1231" s="31"/>
      <c r="V1231" s="1"/>
      <c r="W1231" s="1"/>
      <c r="X1231" s="1"/>
      <c r="Y1231" s="30"/>
      <c r="Z1231" s="211"/>
    </row>
    <row r="1232" spans="2:26">
      <c r="B1232" s="1"/>
      <c r="C1232" s="28"/>
      <c r="D1232" s="19"/>
      <c r="G1232" s="29"/>
      <c r="H1232" s="212"/>
      <c r="I1232" s="1"/>
      <c r="K1232" s="30"/>
      <c r="L1232" s="30"/>
      <c r="M1232" s="1"/>
      <c r="N1232" s="211"/>
      <c r="O1232" s="211"/>
      <c r="P1232" s="31"/>
      <c r="Q1232" s="211"/>
      <c r="R1232" s="211"/>
      <c r="S1232" s="31"/>
      <c r="V1232" s="1"/>
      <c r="W1232" s="1"/>
      <c r="X1232" s="1"/>
      <c r="Y1232" s="30"/>
      <c r="Z1232" s="211"/>
    </row>
    <row r="1233" spans="2:26">
      <c r="B1233" s="1"/>
      <c r="C1233" s="28"/>
      <c r="D1233" s="19"/>
      <c r="G1233" s="29"/>
      <c r="H1233" s="212"/>
      <c r="I1233" s="1"/>
      <c r="K1233" s="30"/>
      <c r="L1233" s="30"/>
      <c r="M1233" s="1"/>
      <c r="N1233" s="211"/>
      <c r="O1233" s="211"/>
      <c r="P1233" s="31"/>
      <c r="Q1233" s="211"/>
      <c r="R1233" s="211"/>
      <c r="S1233" s="31"/>
      <c r="V1233" s="1"/>
      <c r="W1233" s="1"/>
      <c r="X1233" s="1"/>
      <c r="Y1233" s="30"/>
      <c r="Z1233" s="211"/>
    </row>
    <row r="1234" spans="2:26">
      <c r="B1234" s="214"/>
      <c r="C1234" s="28"/>
      <c r="D1234" s="19"/>
      <c r="G1234" s="29"/>
      <c r="H1234" s="212"/>
      <c r="I1234" s="1"/>
      <c r="K1234" s="30"/>
      <c r="L1234" s="30"/>
      <c r="M1234" s="1"/>
      <c r="N1234" s="211"/>
      <c r="O1234" s="211"/>
      <c r="P1234" s="31"/>
      <c r="Q1234" s="211"/>
      <c r="R1234" s="211"/>
      <c r="S1234" s="31"/>
      <c r="V1234" s="1"/>
      <c r="W1234" s="1"/>
      <c r="X1234" s="1"/>
      <c r="Y1234" s="30"/>
      <c r="Z1234" s="211"/>
    </row>
    <row r="1235" spans="2:26">
      <c r="B1235" s="1"/>
      <c r="C1235" s="28"/>
      <c r="D1235" s="19"/>
      <c r="G1235" s="29"/>
      <c r="H1235" s="212"/>
      <c r="I1235" s="1"/>
      <c r="K1235" s="30"/>
      <c r="L1235" s="30"/>
      <c r="M1235" s="1"/>
      <c r="N1235" s="211"/>
      <c r="O1235" s="211"/>
      <c r="P1235" s="31"/>
      <c r="Q1235" s="211"/>
      <c r="R1235" s="211"/>
      <c r="S1235" s="31"/>
      <c r="V1235" s="1"/>
      <c r="W1235" s="1"/>
      <c r="X1235" s="1"/>
      <c r="Y1235" s="30"/>
      <c r="Z1235" s="211"/>
    </row>
    <row r="1236" spans="2:26">
      <c r="B1236" s="1"/>
      <c r="C1236" s="28"/>
      <c r="D1236" s="19"/>
      <c r="G1236" s="29"/>
      <c r="H1236" s="212"/>
      <c r="I1236" s="1"/>
      <c r="K1236" s="30"/>
      <c r="L1236" s="30"/>
      <c r="M1236" s="1"/>
      <c r="N1236" s="211"/>
      <c r="O1236" s="211"/>
      <c r="P1236" s="31"/>
      <c r="Q1236" s="211"/>
      <c r="R1236" s="211"/>
      <c r="S1236" s="31"/>
      <c r="V1236" s="1"/>
      <c r="W1236" s="1"/>
      <c r="X1236" s="1"/>
      <c r="Y1236" s="30"/>
      <c r="Z1236" s="211"/>
    </row>
    <row r="1237" spans="2:26">
      <c r="B1237" s="1"/>
      <c r="C1237" s="28"/>
      <c r="D1237" s="19"/>
      <c r="G1237" s="29"/>
      <c r="H1237" s="212"/>
      <c r="I1237" s="1"/>
      <c r="K1237" s="30"/>
      <c r="L1237" s="30"/>
      <c r="M1237" s="1"/>
      <c r="N1237" s="211"/>
      <c r="O1237" s="211"/>
      <c r="P1237" s="31"/>
      <c r="Q1237" s="211"/>
      <c r="R1237" s="211"/>
      <c r="S1237" s="31"/>
      <c r="V1237" s="1"/>
      <c r="W1237" s="1"/>
      <c r="X1237" s="1"/>
      <c r="Y1237" s="30"/>
      <c r="Z1237" s="211"/>
    </row>
    <row r="1238" spans="2:26">
      <c r="B1238" s="1"/>
      <c r="C1238" s="28"/>
      <c r="D1238" s="19"/>
      <c r="G1238" s="29"/>
      <c r="H1238" s="212"/>
      <c r="I1238" s="1"/>
      <c r="K1238" s="30"/>
      <c r="L1238" s="30"/>
      <c r="M1238" s="1"/>
      <c r="N1238" s="211"/>
      <c r="O1238" s="211"/>
      <c r="P1238" s="31"/>
      <c r="Q1238" s="211"/>
      <c r="R1238" s="211"/>
      <c r="S1238" s="31"/>
      <c r="V1238" s="1"/>
      <c r="W1238" s="1"/>
      <c r="X1238" s="1"/>
      <c r="Y1238" s="30"/>
      <c r="Z1238" s="211"/>
    </row>
    <row r="1239" spans="2:26">
      <c r="B1239" s="1"/>
      <c r="C1239" s="28"/>
      <c r="D1239" s="19"/>
      <c r="G1239" s="29"/>
      <c r="H1239" s="212"/>
      <c r="I1239" s="1"/>
      <c r="K1239" s="30"/>
      <c r="L1239" s="30"/>
      <c r="M1239" s="1"/>
      <c r="N1239" s="211"/>
      <c r="O1239" s="211"/>
      <c r="P1239" s="31"/>
      <c r="Q1239" s="211"/>
      <c r="R1239" s="211"/>
      <c r="S1239" s="31"/>
      <c r="V1239" s="1"/>
      <c r="W1239" s="1"/>
      <c r="X1239" s="1"/>
      <c r="Y1239" s="30"/>
      <c r="Z1239" s="211"/>
    </row>
    <row r="1240" spans="2:26">
      <c r="B1240" s="1"/>
      <c r="C1240" s="28"/>
      <c r="D1240" s="19"/>
      <c r="G1240" s="29"/>
      <c r="H1240" s="212"/>
      <c r="I1240" s="1"/>
      <c r="K1240" s="30"/>
      <c r="L1240" s="30"/>
      <c r="M1240" s="1"/>
      <c r="N1240" s="211"/>
      <c r="O1240" s="211"/>
      <c r="P1240" s="31"/>
      <c r="Q1240" s="211"/>
      <c r="R1240" s="211"/>
      <c r="S1240" s="31"/>
      <c r="V1240" s="1"/>
      <c r="W1240" s="1"/>
      <c r="X1240" s="1"/>
      <c r="Y1240" s="30"/>
      <c r="Z1240" s="211"/>
    </row>
    <row r="1241" spans="2:26">
      <c r="B1241" s="1"/>
      <c r="C1241" s="28"/>
      <c r="D1241" s="19"/>
      <c r="G1241" s="29"/>
      <c r="H1241" s="212"/>
      <c r="I1241" s="1"/>
      <c r="K1241" s="30"/>
      <c r="L1241" s="30"/>
      <c r="M1241" s="1"/>
      <c r="N1241" s="211"/>
      <c r="O1241" s="211"/>
      <c r="P1241" s="31"/>
      <c r="Q1241" s="211"/>
      <c r="R1241" s="211"/>
      <c r="S1241" s="31"/>
      <c r="V1241" s="1"/>
      <c r="W1241" s="1"/>
      <c r="X1241" s="1"/>
      <c r="Y1241" s="30"/>
      <c r="Z1241" s="211"/>
    </row>
    <row r="1242" spans="2:26">
      <c r="B1242" s="1"/>
      <c r="C1242" s="28"/>
      <c r="D1242" s="19"/>
      <c r="G1242" s="29"/>
      <c r="H1242" s="212"/>
      <c r="I1242" s="1"/>
      <c r="K1242" s="30"/>
      <c r="L1242" s="30"/>
      <c r="M1242" s="1"/>
      <c r="N1242" s="211"/>
      <c r="O1242" s="211"/>
      <c r="P1242" s="31"/>
      <c r="Q1242" s="211"/>
      <c r="R1242" s="211"/>
      <c r="S1242" s="31"/>
      <c r="V1242" s="1"/>
      <c r="W1242" s="1"/>
      <c r="X1242" s="1"/>
      <c r="Y1242" s="30"/>
      <c r="Z1242" s="211"/>
    </row>
    <row r="1243" spans="2:26">
      <c r="B1243" s="1"/>
      <c r="C1243" s="28"/>
      <c r="D1243" s="19"/>
      <c r="G1243" s="29"/>
      <c r="H1243" s="212"/>
      <c r="I1243" s="1"/>
      <c r="K1243" s="30"/>
      <c r="L1243" s="30"/>
      <c r="M1243" s="1"/>
      <c r="N1243" s="211"/>
      <c r="O1243" s="211"/>
      <c r="P1243" s="31"/>
      <c r="Q1243" s="211"/>
      <c r="R1243" s="211"/>
      <c r="S1243" s="31"/>
      <c r="V1243" s="1"/>
      <c r="W1243" s="1"/>
      <c r="X1243" s="1"/>
      <c r="Y1243" s="30"/>
      <c r="Z1243" s="211"/>
    </row>
    <row r="1244" spans="2:26">
      <c r="B1244" s="1"/>
      <c r="C1244" s="28"/>
      <c r="D1244" s="19"/>
      <c r="G1244" s="29"/>
      <c r="H1244" s="212"/>
      <c r="I1244" s="1"/>
      <c r="K1244" s="30"/>
      <c r="L1244" s="30"/>
      <c r="M1244" s="1"/>
      <c r="N1244" s="211"/>
      <c r="O1244" s="211"/>
      <c r="P1244" s="31"/>
      <c r="Q1244" s="211"/>
      <c r="R1244" s="211"/>
      <c r="S1244" s="31"/>
      <c r="V1244" s="1"/>
      <c r="W1244" s="1"/>
      <c r="X1244" s="1"/>
      <c r="Y1244" s="30"/>
      <c r="Z1244" s="211"/>
    </row>
    <row r="1245" spans="2:26">
      <c r="B1245" s="1"/>
      <c r="C1245" s="28"/>
      <c r="D1245" s="19"/>
      <c r="G1245" s="29"/>
      <c r="H1245" s="212"/>
      <c r="I1245" s="1"/>
      <c r="K1245" s="30"/>
      <c r="L1245" s="30"/>
      <c r="M1245" s="1"/>
      <c r="N1245" s="211"/>
      <c r="O1245" s="211"/>
      <c r="P1245" s="31"/>
      <c r="Q1245" s="211"/>
      <c r="R1245" s="211"/>
      <c r="S1245" s="31"/>
      <c r="V1245" s="1"/>
      <c r="W1245" s="1"/>
      <c r="X1245" s="1"/>
      <c r="Y1245" s="30"/>
      <c r="Z1245" s="211"/>
    </row>
    <row r="1246" spans="2:26">
      <c r="B1246" s="1"/>
      <c r="C1246" s="28"/>
      <c r="D1246" s="19"/>
      <c r="G1246" s="29"/>
      <c r="H1246" s="212"/>
      <c r="I1246" s="1"/>
      <c r="K1246" s="30"/>
      <c r="L1246" s="30"/>
      <c r="M1246" s="1"/>
      <c r="N1246" s="211"/>
      <c r="O1246" s="211"/>
      <c r="P1246" s="31"/>
      <c r="Q1246" s="211"/>
      <c r="R1246" s="211"/>
      <c r="S1246" s="31"/>
      <c r="V1246" s="1"/>
      <c r="W1246" s="1"/>
      <c r="X1246" s="1"/>
      <c r="Y1246" s="30"/>
      <c r="Z1246" s="211"/>
    </row>
    <row r="1247" spans="2:26">
      <c r="B1247" s="1"/>
      <c r="C1247" s="28"/>
      <c r="D1247" s="19"/>
      <c r="G1247" s="29"/>
      <c r="H1247" s="212"/>
      <c r="I1247" s="1"/>
      <c r="K1247" s="30"/>
      <c r="L1247" s="30"/>
      <c r="M1247" s="1"/>
      <c r="N1247" s="211"/>
      <c r="O1247" s="211"/>
      <c r="P1247" s="31"/>
      <c r="Q1247" s="211"/>
      <c r="R1247" s="211"/>
      <c r="S1247" s="31"/>
      <c r="V1247" s="1"/>
      <c r="W1247" s="1"/>
      <c r="X1247" s="1"/>
      <c r="Y1247" s="30"/>
      <c r="Z1247" s="211"/>
    </row>
    <row r="1248" spans="2:26">
      <c r="B1248" s="1"/>
      <c r="C1248" s="28"/>
      <c r="D1248" s="19"/>
      <c r="G1248" s="29"/>
      <c r="H1248" s="212"/>
      <c r="I1248" s="1"/>
      <c r="K1248" s="30"/>
      <c r="L1248" s="30"/>
      <c r="M1248" s="1"/>
      <c r="N1248" s="211"/>
      <c r="O1248" s="211"/>
      <c r="P1248" s="31"/>
      <c r="Q1248" s="211"/>
      <c r="R1248" s="211"/>
      <c r="S1248" s="31"/>
      <c r="V1248" s="1"/>
      <c r="W1248" s="1"/>
      <c r="X1248" s="1"/>
      <c r="Y1248" s="30"/>
      <c r="Z1248" s="211"/>
    </row>
    <row r="1249" spans="2:26">
      <c r="B1249" s="1"/>
      <c r="C1249" s="28"/>
      <c r="D1249" s="19"/>
      <c r="G1249" s="29"/>
      <c r="H1249" s="212"/>
      <c r="I1249" s="1"/>
      <c r="K1249" s="30"/>
      <c r="L1249" s="30"/>
      <c r="M1249" s="1"/>
      <c r="N1249" s="211"/>
      <c r="O1249" s="211"/>
      <c r="P1249" s="31"/>
      <c r="Q1249" s="211"/>
      <c r="R1249" s="211"/>
      <c r="S1249" s="31"/>
      <c r="V1249" s="1"/>
      <c r="W1249" s="1"/>
      <c r="X1249" s="1"/>
      <c r="Y1249" s="30"/>
      <c r="Z1249" s="211"/>
    </row>
    <row r="1250" spans="2:26">
      <c r="B1250" s="1"/>
      <c r="C1250" s="28"/>
      <c r="D1250" s="19"/>
      <c r="G1250" s="29"/>
      <c r="H1250" s="212"/>
      <c r="I1250" s="1"/>
      <c r="K1250" s="30"/>
      <c r="L1250" s="30"/>
      <c r="M1250" s="1"/>
      <c r="N1250" s="211"/>
      <c r="O1250" s="211"/>
      <c r="P1250" s="31"/>
      <c r="Q1250" s="211"/>
      <c r="R1250" s="211"/>
      <c r="S1250" s="31"/>
      <c r="V1250" s="1"/>
      <c r="W1250" s="1"/>
      <c r="X1250" s="1"/>
      <c r="Y1250" s="30"/>
      <c r="Z1250" s="211"/>
    </row>
    <row r="1251" spans="2:26">
      <c r="B1251" s="1"/>
      <c r="C1251" s="28"/>
      <c r="D1251" s="19"/>
      <c r="G1251" s="29"/>
      <c r="H1251" s="212"/>
      <c r="I1251" s="1"/>
      <c r="K1251" s="30"/>
      <c r="L1251" s="30"/>
      <c r="M1251" s="1"/>
      <c r="N1251" s="211"/>
      <c r="O1251" s="211"/>
      <c r="P1251" s="31"/>
      <c r="Q1251" s="211"/>
      <c r="R1251" s="211"/>
      <c r="S1251" s="31"/>
      <c r="V1251" s="1"/>
      <c r="W1251" s="1"/>
      <c r="X1251" s="1"/>
      <c r="Y1251" s="30"/>
      <c r="Z1251" s="211"/>
    </row>
    <row r="1252" spans="2:26">
      <c r="B1252" s="1"/>
      <c r="C1252" s="28"/>
      <c r="D1252" s="19"/>
      <c r="G1252" s="29"/>
      <c r="H1252" s="212"/>
      <c r="I1252" s="1"/>
      <c r="K1252" s="30"/>
      <c r="L1252" s="30"/>
      <c r="M1252" s="1"/>
      <c r="N1252" s="211"/>
      <c r="O1252" s="211"/>
      <c r="P1252" s="31"/>
      <c r="Q1252" s="211"/>
      <c r="R1252" s="211"/>
      <c r="S1252" s="31"/>
      <c r="V1252" s="1"/>
      <c r="W1252" s="1"/>
      <c r="X1252" s="1"/>
      <c r="Y1252" s="30"/>
      <c r="Z1252" s="211"/>
    </row>
    <row r="1253" spans="2:26">
      <c r="B1253" s="1"/>
      <c r="C1253" s="28"/>
      <c r="D1253" s="19"/>
      <c r="G1253" s="29"/>
      <c r="H1253" s="212"/>
      <c r="I1253" s="1"/>
      <c r="K1253" s="30"/>
      <c r="L1253" s="30"/>
      <c r="M1253" s="1"/>
      <c r="N1253" s="211"/>
      <c r="O1253" s="211"/>
      <c r="P1253" s="31"/>
      <c r="Q1253" s="211"/>
      <c r="R1253" s="211"/>
      <c r="S1253" s="31"/>
      <c r="V1253" s="1"/>
      <c r="W1253" s="1"/>
      <c r="X1253" s="1"/>
      <c r="Y1253" s="30"/>
      <c r="Z1253" s="211"/>
    </row>
    <row r="1254" spans="2:26">
      <c r="B1254" s="1"/>
      <c r="C1254" s="28"/>
      <c r="D1254" s="19"/>
      <c r="G1254" s="29"/>
      <c r="H1254" s="212"/>
      <c r="I1254" s="1"/>
      <c r="K1254" s="30"/>
      <c r="L1254" s="30"/>
      <c r="M1254" s="1"/>
      <c r="N1254" s="211"/>
      <c r="O1254" s="211"/>
      <c r="P1254" s="31"/>
      <c r="Q1254" s="211"/>
      <c r="R1254" s="211"/>
      <c r="S1254" s="31"/>
      <c r="V1254" s="1"/>
      <c r="W1254" s="1"/>
      <c r="X1254" s="1"/>
      <c r="Y1254" s="30"/>
      <c r="Z1254" s="211"/>
    </row>
    <row r="1255" spans="2:26">
      <c r="B1255" s="1"/>
      <c r="C1255" s="28"/>
      <c r="D1255" s="19"/>
      <c r="G1255" s="29"/>
      <c r="H1255" s="212"/>
      <c r="I1255" s="1"/>
      <c r="K1255" s="30"/>
      <c r="L1255" s="30"/>
      <c r="M1255" s="1"/>
      <c r="N1255" s="211"/>
      <c r="O1255" s="211"/>
      <c r="P1255" s="31"/>
      <c r="Q1255" s="211"/>
      <c r="R1255" s="211"/>
      <c r="S1255" s="31"/>
      <c r="V1255" s="1"/>
      <c r="W1255" s="1"/>
      <c r="X1255" s="1"/>
      <c r="Y1255" s="30"/>
      <c r="Z1255" s="211"/>
    </row>
    <row r="1256" spans="2:26">
      <c r="B1256" s="1"/>
      <c r="C1256" s="28"/>
      <c r="D1256" s="19"/>
      <c r="G1256" s="29"/>
      <c r="H1256" s="212"/>
      <c r="I1256" s="1"/>
      <c r="K1256" s="30"/>
      <c r="L1256" s="30"/>
      <c r="M1256" s="1"/>
      <c r="N1256" s="211"/>
      <c r="O1256" s="211"/>
      <c r="P1256" s="31"/>
      <c r="Q1256" s="211"/>
      <c r="R1256" s="211"/>
      <c r="S1256" s="31"/>
      <c r="V1256" s="1"/>
      <c r="W1256" s="1"/>
      <c r="X1256" s="1"/>
      <c r="Y1256" s="30"/>
      <c r="Z1256" s="211"/>
    </row>
    <row r="1257" spans="2:26">
      <c r="B1257" s="1"/>
      <c r="C1257" s="28"/>
      <c r="D1257" s="19"/>
      <c r="G1257" s="29"/>
      <c r="H1257" s="212"/>
      <c r="I1257" s="1"/>
      <c r="K1257" s="30"/>
      <c r="L1257" s="30"/>
      <c r="M1257" s="1"/>
      <c r="N1257" s="211"/>
      <c r="O1257" s="211"/>
      <c r="P1257" s="31"/>
      <c r="Q1257" s="211"/>
      <c r="R1257" s="211"/>
      <c r="S1257" s="31"/>
      <c r="V1257" s="1"/>
      <c r="W1257" s="1"/>
      <c r="X1257" s="1"/>
      <c r="Y1257" s="30"/>
      <c r="Z1257" s="211"/>
    </row>
    <row r="1258" spans="2:26">
      <c r="B1258" s="1"/>
      <c r="C1258" s="28"/>
      <c r="D1258" s="19"/>
      <c r="G1258" s="29"/>
      <c r="H1258" s="212"/>
      <c r="I1258" s="1"/>
      <c r="K1258" s="30"/>
      <c r="L1258" s="30"/>
      <c r="M1258" s="1"/>
      <c r="N1258" s="211"/>
      <c r="O1258" s="211"/>
      <c r="P1258" s="31"/>
      <c r="Q1258" s="211"/>
      <c r="R1258" s="211"/>
      <c r="S1258" s="31"/>
      <c r="V1258" s="1"/>
      <c r="W1258" s="1"/>
      <c r="X1258" s="1"/>
      <c r="Y1258" s="30"/>
      <c r="Z1258" s="211"/>
    </row>
    <row r="1259" spans="2:26">
      <c r="B1259" s="1"/>
      <c r="C1259" s="28"/>
      <c r="D1259" s="19"/>
      <c r="G1259" s="29"/>
      <c r="H1259" s="212"/>
      <c r="I1259" s="1"/>
      <c r="K1259" s="30"/>
      <c r="L1259" s="30"/>
      <c r="M1259" s="1"/>
      <c r="N1259" s="211"/>
      <c r="O1259" s="211"/>
      <c r="P1259" s="31"/>
      <c r="Q1259" s="211"/>
      <c r="R1259" s="211"/>
      <c r="S1259" s="31"/>
      <c r="V1259" s="1"/>
      <c r="W1259" s="1"/>
      <c r="X1259" s="1"/>
      <c r="Y1259" s="30"/>
      <c r="Z1259" s="211"/>
    </row>
    <row r="1260" spans="2:26">
      <c r="B1260" s="1"/>
      <c r="C1260" s="28"/>
      <c r="D1260" s="19"/>
      <c r="G1260" s="29"/>
      <c r="H1260" s="212"/>
      <c r="I1260" s="1"/>
      <c r="K1260" s="30"/>
      <c r="L1260" s="30"/>
      <c r="M1260" s="1"/>
      <c r="N1260" s="211"/>
      <c r="O1260" s="211"/>
      <c r="P1260" s="31"/>
      <c r="Q1260" s="211"/>
      <c r="R1260" s="211"/>
      <c r="S1260" s="31"/>
      <c r="V1260" s="1"/>
      <c r="W1260" s="1"/>
      <c r="X1260" s="1"/>
      <c r="Y1260" s="30"/>
      <c r="Z1260" s="211"/>
    </row>
    <row r="1261" spans="2:26">
      <c r="B1261" s="1"/>
      <c r="C1261" s="28"/>
      <c r="D1261" s="19"/>
      <c r="G1261" s="29"/>
      <c r="H1261" s="212"/>
      <c r="I1261" s="1"/>
      <c r="K1261" s="30"/>
      <c r="L1261" s="30"/>
      <c r="M1261" s="1"/>
      <c r="N1261" s="211"/>
      <c r="O1261" s="211"/>
      <c r="P1261" s="31"/>
      <c r="Q1261" s="211"/>
      <c r="R1261" s="211"/>
      <c r="S1261" s="31"/>
      <c r="V1261" s="1"/>
      <c r="W1261" s="1"/>
      <c r="X1261" s="1"/>
      <c r="Y1261" s="30"/>
      <c r="Z1261" s="211"/>
    </row>
    <row r="1262" spans="2:26">
      <c r="B1262" s="1"/>
      <c r="C1262" s="28"/>
      <c r="D1262" s="19"/>
      <c r="G1262" s="29"/>
      <c r="H1262" s="212"/>
      <c r="I1262" s="1"/>
      <c r="K1262" s="30"/>
      <c r="L1262" s="30"/>
      <c r="M1262" s="1"/>
      <c r="N1262" s="211"/>
      <c r="O1262" s="211"/>
      <c r="P1262" s="31"/>
      <c r="Q1262" s="211"/>
      <c r="R1262" s="211"/>
      <c r="S1262" s="31"/>
      <c r="V1262" s="1"/>
      <c r="W1262" s="1"/>
      <c r="X1262" s="1"/>
      <c r="Y1262" s="30"/>
      <c r="Z1262" s="211"/>
    </row>
    <row r="1263" spans="2:26">
      <c r="B1263" s="1"/>
      <c r="C1263" s="28"/>
      <c r="D1263" s="19"/>
      <c r="G1263" s="29"/>
      <c r="H1263" s="212"/>
      <c r="I1263" s="1"/>
      <c r="K1263" s="30"/>
      <c r="L1263" s="30"/>
      <c r="M1263" s="1"/>
      <c r="N1263" s="211"/>
      <c r="O1263" s="211"/>
      <c r="P1263" s="31"/>
      <c r="Q1263" s="211"/>
      <c r="R1263" s="211"/>
      <c r="S1263" s="31"/>
      <c r="V1263" s="1"/>
      <c r="W1263" s="1"/>
      <c r="X1263" s="1"/>
      <c r="Y1263" s="30"/>
      <c r="Z1263" s="211"/>
    </row>
    <row r="1264" spans="2:26">
      <c r="B1264" s="1"/>
      <c r="C1264" s="28"/>
      <c r="D1264" s="19"/>
      <c r="G1264" s="29"/>
      <c r="H1264" s="212"/>
      <c r="I1264" s="1"/>
      <c r="K1264" s="30"/>
      <c r="L1264" s="30"/>
      <c r="M1264" s="1"/>
      <c r="N1264" s="211"/>
      <c r="O1264" s="211"/>
      <c r="P1264" s="31"/>
      <c r="Q1264" s="211"/>
      <c r="R1264" s="211"/>
      <c r="S1264" s="31"/>
      <c r="V1264" s="1"/>
      <c r="W1264" s="1"/>
      <c r="X1264" s="1"/>
      <c r="Y1264" s="30"/>
      <c r="Z1264" s="211"/>
    </row>
    <row r="1265" spans="2:26">
      <c r="B1265" s="1"/>
      <c r="C1265" s="28"/>
      <c r="D1265" s="19"/>
      <c r="G1265" s="29"/>
      <c r="H1265" s="212"/>
      <c r="I1265" s="1"/>
      <c r="K1265" s="30"/>
      <c r="L1265" s="30"/>
      <c r="M1265" s="1"/>
      <c r="N1265" s="211"/>
      <c r="O1265" s="211"/>
      <c r="P1265" s="31"/>
      <c r="Q1265" s="211"/>
      <c r="R1265" s="211"/>
      <c r="S1265" s="31"/>
      <c r="V1265" s="1"/>
      <c r="W1265" s="1"/>
      <c r="X1265" s="1"/>
      <c r="Y1265" s="30"/>
      <c r="Z1265" s="211"/>
    </row>
    <row r="1266" spans="2:26">
      <c r="B1266" s="1"/>
      <c r="C1266" s="28"/>
      <c r="D1266" s="19"/>
      <c r="G1266" s="29"/>
      <c r="H1266" s="212"/>
      <c r="I1266" s="1"/>
      <c r="K1266" s="30"/>
      <c r="L1266" s="30"/>
      <c r="M1266" s="1"/>
      <c r="N1266" s="211"/>
      <c r="O1266" s="211"/>
      <c r="P1266" s="31"/>
      <c r="Q1266" s="211"/>
      <c r="R1266" s="211"/>
      <c r="S1266" s="31"/>
      <c r="V1266" s="1"/>
      <c r="W1266" s="1"/>
      <c r="X1266" s="1"/>
      <c r="Y1266" s="30"/>
      <c r="Z1266" s="211"/>
    </row>
    <row r="1267" spans="2:26">
      <c r="B1267" s="1"/>
      <c r="C1267" s="28"/>
      <c r="D1267" s="19"/>
      <c r="G1267" s="29"/>
      <c r="H1267" s="212"/>
      <c r="I1267" s="1"/>
      <c r="K1267" s="30"/>
      <c r="L1267" s="30"/>
      <c r="M1267" s="1"/>
      <c r="N1267" s="211"/>
      <c r="O1267" s="211"/>
      <c r="P1267" s="31"/>
      <c r="Q1267" s="211"/>
      <c r="R1267" s="211"/>
      <c r="S1267" s="31"/>
      <c r="V1267" s="1"/>
      <c r="W1267" s="1"/>
      <c r="X1267" s="1"/>
      <c r="Y1267" s="30"/>
      <c r="Z1267" s="211"/>
    </row>
    <row r="1268" spans="2:26">
      <c r="B1268" s="1"/>
      <c r="C1268" s="28"/>
      <c r="D1268" s="19"/>
      <c r="G1268" s="29"/>
      <c r="H1268" s="212"/>
      <c r="I1268" s="1"/>
      <c r="K1268" s="30"/>
      <c r="L1268" s="30"/>
      <c r="M1268" s="1"/>
      <c r="N1268" s="211"/>
      <c r="O1268" s="211"/>
      <c r="P1268" s="31"/>
      <c r="Q1268" s="211"/>
      <c r="R1268" s="211"/>
      <c r="S1268" s="31"/>
      <c r="V1268" s="1"/>
      <c r="W1268" s="1"/>
      <c r="X1268" s="1"/>
      <c r="Y1268" s="30"/>
      <c r="Z1268" s="211"/>
    </row>
    <row r="1269" spans="2:26">
      <c r="B1269" s="1"/>
      <c r="C1269" s="28"/>
      <c r="D1269" s="19"/>
      <c r="G1269" s="29"/>
      <c r="H1269" s="212"/>
      <c r="I1269" s="1"/>
      <c r="K1269" s="30"/>
      <c r="L1269" s="30"/>
      <c r="M1269" s="1"/>
      <c r="N1269" s="211"/>
      <c r="O1269" s="211"/>
      <c r="P1269" s="31"/>
      <c r="Q1269" s="211"/>
      <c r="R1269" s="211"/>
      <c r="S1269" s="31"/>
      <c r="V1269" s="1"/>
      <c r="W1269" s="1"/>
      <c r="X1269" s="1"/>
      <c r="Y1269" s="30"/>
      <c r="Z1269" s="211"/>
    </row>
    <row r="1270" spans="2:26">
      <c r="B1270" s="1"/>
      <c r="C1270" s="28"/>
      <c r="D1270" s="19"/>
      <c r="G1270" s="29"/>
      <c r="H1270" s="212"/>
      <c r="I1270" s="1"/>
      <c r="K1270" s="30"/>
      <c r="L1270" s="30"/>
      <c r="M1270" s="1"/>
      <c r="N1270" s="211"/>
      <c r="O1270" s="211"/>
      <c r="P1270" s="31"/>
      <c r="Q1270" s="211"/>
      <c r="R1270" s="211"/>
      <c r="S1270" s="31"/>
      <c r="V1270" s="1"/>
      <c r="W1270" s="1"/>
      <c r="X1270" s="1"/>
      <c r="Y1270" s="30"/>
      <c r="Z1270" s="211"/>
    </row>
    <row r="1271" spans="2:26">
      <c r="B1271" s="1"/>
      <c r="C1271" s="28"/>
      <c r="D1271" s="19"/>
      <c r="G1271" s="29"/>
      <c r="H1271" s="212"/>
      <c r="I1271" s="1"/>
      <c r="K1271" s="30"/>
      <c r="L1271" s="30"/>
      <c r="M1271" s="1"/>
      <c r="N1271" s="211"/>
      <c r="O1271" s="211"/>
      <c r="P1271" s="31"/>
      <c r="Q1271" s="211"/>
      <c r="R1271" s="211"/>
      <c r="S1271" s="31"/>
      <c r="V1271" s="1"/>
      <c r="W1271" s="1"/>
      <c r="X1271" s="1"/>
      <c r="Y1271" s="30"/>
      <c r="Z1271" s="211"/>
    </row>
    <row r="1272" spans="2:26">
      <c r="B1272" s="1"/>
      <c r="C1272" s="28"/>
      <c r="D1272" s="19"/>
      <c r="G1272" s="29"/>
      <c r="H1272" s="212"/>
      <c r="I1272" s="1"/>
      <c r="K1272" s="30"/>
      <c r="L1272" s="30"/>
      <c r="M1272" s="1"/>
      <c r="N1272" s="211"/>
      <c r="O1272" s="211"/>
      <c r="P1272" s="31"/>
      <c r="Q1272" s="211"/>
      <c r="R1272" s="211"/>
      <c r="S1272" s="31"/>
      <c r="V1272" s="1"/>
      <c r="W1272" s="1"/>
      <c r="X1272" s="1"/>
      <c r="Y1272" s="30"/>
      <c r="Z1272" s="211"/>
    </row>
    <row r="1273" spans="2:26">
      <c r="B1273" s="1"/>
      <c r="C1273" s="28"/>
      <c r="D1273" s="19"/>
      <c r="G1273" s="29"/>
      <c r="H1273" s="212"/>
      <c r="I1273" s="1"/>
      <c r="K1273" s="30"/>
      <c r="L1273" s="30"/>
      <c r="M1273" s="1"/>
      <c r="N1273" s="211"/>
      <c r="O1273" s="211"/>
      <c r="P1273" s="31"/>
      <c r="Q1273" s="211"/>
      <c r="R1273" s="211"/>
      <c r="S1273" s="31"/>
      <c r="V1273" s="1"/>
      <c r="W1273" s="1"/>
      <c r="X1273" s="1"/>
      <c r="Y1273" s="30"/>
      <c r="Z1273" s="211"/>
    </row>
    <row r="1274" spans="2:26">
      <c r="B1274" s="1"/>
      <c r="C1274" s="28"/>
      <c r="D1274" s="19"/>
      <c r="G1274" s="29"/>
      <c r="H1274" s="212"/>
      <c r="I1274" s="1"/>
      <c r="K1274" s="30"/>
      <c r="L1274" s="30"/>
      <c r="M1274" s="1"/>
      <c r="N1274" s="211"/>
      <c r="O1274" s="211"/>
      <c r="P1274" s="31"/>
      <c r="Q1274" s="211"/>
      <c r="R1274" s="211"/>
      <c r="S1274" s="31"/>
      <c r="V1274" s="1"/>
      <c r="W1274" s="1"/>
      <c r="X1274" s="1"/>
      <c r="Y1274" s="30"/>
      <c r="Z1274" s="211"/>
    </row>
    <row r="1275" spans="2:26">
      <c r="B1275" s="1"/>
      <c r="C1275" s="28"/>
      <c r="D1275" s="19"/>
      <c r="G1275" s="29"/>
      <c r="H1275" s="212"/>
      <c r="I1275" s="1"/>
      <c r="K1275" s="30"/>
      <c r="L1275" s="30"/>
      <c r="M1275" s="1"/>
      <c r="N1275" s="211"/>
      <c r="O1275" s="211"/>
      <c r="P1275" s="31"/>
      <c r="Q1275" s="211"/>
      <c r="R1275" s="211"/>
      <c r="S1275" s="31"/>
      <c r="V1275" s="1"/>
      <c r="W1275" s="1"/>
      <c r="X1275" s="1"/>
      <c r="Y1275" s="30"/>
      <c r="Z1275" s="211"/>
    </row>
    <row r="1276" spans="2:26">
      <c r="B1276" s="1"/>
      <c r="C1276" s="28"/>
      <c r="D1276" s="19"/>
      <c r="G1276" s="29"/>
      <c r="H1276" s="212"/>
      <c r="I1276" s="1"/>
      <c r="K1276" s="30"/>
      <c r="L1276" s="30"/>
      <c r="M1276" s="1"/>
      <c r="N1276" s="211"/>
      <c r="O1276" s="211"/>
      <c r="P1276" s="31"/>
      <c r="Q1276" s="211"/>
      <c r="R1276" s="211"/>
      <c r="S1276" s="31"/>
      <c r="V1276" s="1"/>
      <c r="W1276" s="1"/>
      <c r="X1276" s="1"/>
      <c r="Y1276" s="30"/>
      <c r="Z1276" s="211"/>
    </row>
    <row r="1277" spans="2:26">
      <c r="B1277" s="1"/>
      <c r="C1277" s="28"/>
      <c r="D1277" s="19"/>
      <c r="G1277" s="29"/>
      <c r="H1277" s="212"/>
      <c r="I1277" s="1"/>
      <c r="K1277" s="30"/>
      <c r="L1277" s="30"/>
      <c r="M1277" s="1"/>
      <c r="N1277" s="211"/>
      <c r="O1277" s="211"/>
      <c r="P1277" s="31"/>
      <c r="Q1277" s="211"/>
      <c r="R1277" s="211"/>
      <c r="S1277" s="31"/>
      <c r="V1277" s="1"/>
      <c r="W1277" s="1"/>
      <c r="X1277" s="1"/>
      <c r="Y1277" s="30"/>
      <c r="Z1277" s="211"/>
    </row>
    <row r="1278" spans="2:26">
      <c r="B1278" s="1"/>
      <c r="C1278" s="28"/>
      <c r="D1278" s="19"/>
      <c r="G1278" s="29"/>
      <c r="H1278" s="212"/>
      <c r="I1278" s="1"/>
      <c r="K1278" s="30"/>
      <c r="L1278" s="30"/>
      <c r="M1278" s="1"/>
      <c r="N1278" s="211"/>
      <c r="O1278" s="211"/>
      <c r="P1278" s="31"/>
      <c r="Q1278" s="211"/>
      <c r="R1278" s="211"/>
      <c r="S1278" s="31"/>
      <c r="V1278" s="1"/>
      <c r="W1278" s="1"/>
      <c r="X1278" s="1"/>
      <c r="Y1278" s="30"/>
      <c r="Z1278" s="211"/>
    </row>
    <row r="1279" spans="2:26">
      <c r="B1279" s="1"/>
      <c r="C1279" s="28"/>
      <c r="D1279" s="19"/>
      <c r="G1279" s="29"/>
      <c r="H1279" s="212"/>
      <c r="I1279" s="1"/>
      <c r="K1279" s="30"/>
      <c r="L1279" s="30"/>
      <c r="M1279" s="1"/>
      <c r="N1279" s="211"/>
      <c r="O1279" s="211"/>
      <c r="P1279" s="31"/>
      <c r="Q1279" s="211"/>
      <c r="R1279" s="211"/>
      <c r="S1279" s="31"/>
      <c r="V1279" s="1"/>
      <c r="W1279" s="1"/>
      <c r="X1279" s="1"/>
      <c r="Y1279" s="30"/>
      <c r="Z1279" s="211"/>
    </row>
    <row r="1280" spans="2:26">
      <c r="B1280" s="1"/>
      <c r="C1280" s="28"/>
      <c r="D1280" s="19"/>
      <c r="G1280" s="29"/>
      <c r="H1280" s="212"/>
      <c r="I1280" s="1"/>
      <c r="K1280" s="30"/>
      <c r="L1280" s="30"/>
      <c r="M1280" s="1"/>
      <c r="N1280" s="211"/>
      <c r="O1280" s="211"/>
      <c r="P1280" s="31"/>
      <c r="Q1280" s="211"/>
      <c r="R1280" s="211"/>
      <c r="S1280" s="31"/>
      <c r="V1280" s="1"/>
      <c r="W1280" s="1"/>
      <c r="X1280" s="1"/>
      <c r="Y1280" s="30"/>
      <c r="Z1280" s="211"/>
    </row>
    <row r="1281" spans="2:26">
      <c r="B1281" s="1"/>
      <c r="C1281" s="28"/>
      <c r="D1281" s="19"/>
      <c r="G1281" s="29"/>
      <c r="H1281" s="212"/>
      <c r="I1281" s="1"/>
      <c r="K1281" s="30"/>
      <c r="L1281" s="30"/>
      <c r="M1281" s="1"/>
      <c r="N1281" s="211"/>
      <c r="O1281" s="211"/>
      <c r="P1281" s="31"/>
      <c r="Q1281" s="211"/>
      <c r="R1281" s="211"/>
      <c r="S1281" s="31"/>
      <c r="V1281" s="1"/>
      <c r="W1281" s="1"/>
      <c r="X1281" s="1"/>
      <c r="Y1281" s="30"/>
      <c r="Z1281" s="211"/>
    </row>
    <row r="1282" spans="2:26">
      <c r="B1282" s="1"/>
      <c r="C1282" s="28"/>
      <c r="D1282" s="19"/>
      <c r="G1282" s="29"/>
      <c r="H1282" s="212"/>
      <c r="I1282" s="1"/>
      <c r="K1282" s="30"/>
      <c r="L1282" s="30"/>
      <c r="M1282" s="1"/>
      <c r="N1282" s="211"/>
      <c r="O1282" s="211"/>
      <c r="P1282" s="31"/>
      <c r="Q1282" s="211"/>
      <c r="R1282" s="211"/>
      <c r="S1282" s="31"/>
      <c r="V1282" s="1"/>
      <c r="W1282" s="1"/>
      <c r="X1282" s="1"/>
      <c r="Y1282" s="30"/>
      <c r="Z1282" s="211"/>
    </row>
    <row r="1283" spans="2:26">
      <c r="B1283" s="1"/>
      <c r="C1283" s="28"/>
      <c r="D1283" s="19"/>
      <c r="G1283" s="29"/>
      <c r="H1283" s="212"/>
      <c r="I1283" s="1"/>
      <c r="K1283" s="30"/>
      <c r="L1283" s="30"/>
      <c r="M1283" s="1"/>
      <c r="N1283" s="211"/>
      <c r="O1283" s="211"/>
      <c r="P1283" s="31"/>
      <c r="Q1283" s="211"/>
      <c r="R1283" s="211"/>
      <c r="S1283" s="31"/>
      <c r="V1283" s="1"/>
      <c r="W1283" s="1"/>
      <c r="X1283" s="1"/>
      <c r="Y1283" s="30"/>
      <c r="Z1283" s="211"/>
    </row>
    <row r="1284" spans="2:26">
      <c r="B1284" s="1"/>
      <c r="C1284" s="28"/>
      <c r="D1284" s="19"/>
      <c r="G1284" s="29"/>
      <c r="H1284" s="212"/>
      <c r="I1284" s="1"/>
      <c r="K1284" s="30"/>
      <c r="L1284" s="30"/>
      <c r="M1284" s="1"/>
      <c r="N1284" s="211"/>
      <c r="O1284" s="211"/>
      <c r="P1284" s="31"/>
      <c r="Q1284" s="211"/>
      <c r="R1284" s="211"/>
      <c r="S1284" s="31"/>
      <c r="V1284" s="1"/>
      <c r="W1284" s="1"/>
      <c r="X1284" s="1"/>
      <c r="Y1284" s="30"/>
      <c r="Z1284" s="211"/>
    </row>
    <row r="1285" spans="2:26">
      <c r="B1285" s="1"/>
      <c r="C1285" s="28"/>
      <c r="D1285" s="19"/>
      <c r="G1285" s="29"/>
      <c r="H1285" s="212"/>
      <c r="I1285" s="1"/>
      <c r="K1285" s="30"/>
      <c r="L1285" s="30"/>
      <c r="M1285" s="1"/>
      <c r="N1285" s="211"/>
      <c r="O1285" s="211"/>
      <c r="P1285" s="31"/>
      <c r="Q1285" s="211"/>
      <c r="R1285" s="211"/>
      <c r="S1285" s="31"/>
      <c r="V1285" s="1"/>
      <c r="W1285" s="1"/>
      <c r="X1285" s="1"/>
      <c r="Y1285" s="30"/>
      <c r="Z1285" s="211"/>
    </row>
    <row r="1286" spans="2:26">
      <c r="B1286" s="1"/>
      <c r="C1286" s="28"/>
      <c r="D1286" s="19"/>
      <c r="G1286" s="29"/>
      <c r="H1286" s="212"/>
      <c r="I1286" s="1"/>
      <c r="K1286" s="30"/>
      <c r="L1286" s="30"/>
      <c r="M1286" s="1"/>
      <c r="N1286" s="211"/>
      <c r="O1286" s="211"/>
      <c r="P1286" s="31"/>
      <c r="Q1286" s="211"/>
      <c r="R1286" s="211"/>
      <c r="S1286" s="31"/>
      <c r="V1286" s="1"/>
      <c r="W1286" s="1"/>
      <c r="X1286" s="1"/>
      <c r="Y1286" s="30"/>
      <c r="Z1286" s="211"/>
    </row>
    <row r="1287" spans="2:26">
      <c r="B1287" s="1"/>
      <c r="C1287" s="28"/>
      <c r="D1287" s="19"/>
      <c r="G1287" s="29"/>
      <c r="H1287" s="212"/>
      <c r="I1287" s="1"/>
      <c r="K1287" s="30"/>
      <c r="L1287" s="30"/>
      <c r="M1287" s="1"/>
      <c r="N1287" s="211"/>
      <c r="O1287" s="211"/>
      <c r="P1287" s="31"/>
      <c r="Q1287" s="211"/>
      <c r="R1287" s="211"/>
      <c r="S1287" s="31"/>
      <c r="V1287" s="1"/>
      <c r="W1287" s="1"/>
      <c r="X1287" s="1"/>
      <c r="Y1287" s="30"/>
      <c r="Z1287" s="211"/>
    </row>
    <row r="1288" spans="2:26">
      <c r="B1288" s="1"/>
      <c r="C1288" s="28"/>
      <c r="D1288" s="19"/>
      <c r="G1288" s="29"/>
      <c r="H1288" s="212"/>
      <c r="I1288" s="1"/>
      <c r="K1288" s="30"/>
      <c r="L1288" s="30"/>
      <c r="M1288" s="1"/>
      <c r="N1288" s="211"/>
      <c r="O1288" s="211"/>
      <c r="P1288" s="31"/>
      <c r="Q1288" s="211"/>
      <c r="R1288" s="211"/>
      <c r="S1288" s="31"/>
      <c r="V1288" s="1"/>
      <c r="W1288" s="1"/>
      <c r="X1288" s="1"/>
      <c r="Y1288" s="30"/>
      <c r="Z1288" s="211"/>
    </row>
    <row r="1289" spans="2:26">
      <c r="B1289" s="1"/>
      <c r="C1289" s="28"/>
      <c r="D1289" s="19"/>
      <c r="G1289" s="29"/>
      <c r="H1289" s="212"/>
      <c r="I1289" s="1"/>
      <c r="K1289" s="30"/>
      <c r="L1289" s="30"/>
      <c r="M1289" s="1"/>
      <c r="N1289" s="211"/>
      <c r="O1289" s="211"/>
      <c r="P1289" s="31"/>
      <c r="Q1289" s="211"/>
      <c r="R1289" s="211"/>
      <c r="S1289" s="31"/>
      <c r="V1289" s="1"/>
      <c r="W1289" s="1"/>
      <c r="X1289" s="1"/>
      <c r="Y1289" s="30"/>
      <c r="Z1289" s="211"/>
    </row>
    <row r="1290" spans="2:26">
      <c r="B1290" s="1"/>
      <c r="C1290" s="28"/>
      <c r="D1290" s="19"/>
      <c r="G1290" s="29"/>
      <c r="H1290" s="212"/>
      <c r="I1290" s="1"/>
      <c r="K1290" s="30"/>
      <c r="L1290" s="30"/>
      <c r="M1290" s="1"/>
      <c r="N1290" s="211"/>
      <c r="O1290" s="211"/>
      <c r="P1290" s="31"/>
      <c r="Q1290" s="211"/>
      <c r="R1290" s="211"/>
      <c r="S1290" s="31"/>
      <c r="V1290" s="1"/>
      <c r="W1290" s="1"/>
      <c r="X1290" s="1"/>
      <c r="Y1290" s="30"/>
      <c r="Z1290" s="211"/>
    </row>
    <row r="1291" spans="2:26">
      <c r="B1291" s="1"/>
      <c r="C1291" s="28"/>
      <c r="D1291" s="19"/>
      <c r="G1291" s="29"/>
      <c r="H1291" s="212"/>
      <c r="I1291" s="1"/>
      <c r="K1291" s="30"/>
      <c r="L1291" s="30"/>
      <c r="M1291" s="1"/>
      <c r="N1291" s="211"/>
      <c r="O1291" s="211"/>
      <c r="P1291" s="31"/>
      <c r="Q1291" s="211"/>
      <c r="R1291" s="211"/>
      <c r="S1291" s="31"/>
      <c r="V1291" s="1"/>
      <c r="W1291" s="1"/>
      <c r="X1291" s="1"/>
      <c r="Y1291" s="30"/>
      <c r="Z1291" s="211"/>
    </row>
    <row r="1292" spans="2:26">
      <c r="B1292" s="1"/>
      <c r="C1292" s="28"/>
      <c r="D1292" s="19"/>
      <c r="G1292" s="29"/>
      <c r="H1292" s="212"/>
      <c r="I1292" s="1"/>
      <c r="K1292" s="30"/>
      <c r="L1292" s="30"/>
      <c r="M1292" s="1"/>
      <c r="N1292" s="211"/>
      <c r="O1292" s="211"/>
      <c r="P1292" s="31"/>
      <c r="Q1292" s="211"/>
      <c r="R1292" s="211"/>
      <c r="S1292" s="31"/>
      <c r="V1292" s="1"/>
      <c r="W1292" s="1"/>
      <c r="X1292" s="1"/>
      <c r="Y1292" s="30"/>
      <c r="Z1292" s="211"/>
    </row>
    <row r="1293" spans="2:26">
      <c r="B1293" s="1"/>
      <c r="C1293" s="28"/>
      <c r="D1293" s="19"/>
      <c r="G1293" s="29"/>
      <c r="H1293" s="212"/>
      <c r="I1293" s="1"/>
      <c r="K1293" s="30"/>
      <c r="L1293" s="30"/>
      <c r="M1293" s="1"/>
      <c r="N1293" s="211"/>
      <c r="O1293" s="211"/>
      <c r="P1293" s="31"/>
      <c r="Q1293" s="211"/>
      <c r="R1293" s="211"/>
      <c r="S1293" s="31"/>
      <c r="V1293" s="1"/>
      <c r="W1293" s="1"/>
      <c r="X1293" s="1"/>
      <c r="Y1293" s="30"/>
      <c r="Z1293" s="211"/>
    </row>
    <row r="1294" spans="2:26">
      <c r="B1294" s="1"/>
      <c r="C1294" s="28"/>
      <c r="D1294" s="19"/>
      <c r="G1294" s="29"/>
      <c r="H1294" s="212"/>
      <c r="I1294" s="1"/>
      <c r="K1294" s="30"/>
      <c r="L1294" s="30"/>
      <c r="M1294" s="1"/>
      <c r="N1294" s="211"/>
      <c r="O1294" s="211"/>
      <c r="P1294" s="31"/>
      <c r="Q1294" s="211"/>
      <c r="R1294" s="211"/>
      <c r="S1294" s="31"/>
      <c r="V1294" s="1"/>
      <c r="W1294" s="1"/>
      <c r="X1294" s="1"/>
      <c r="Y1294" s="30"/>
      <c r="Z1294" s="211"/>
    </row>
    <row r="1295" spans="2:26">
      <c r="B1295" s="1"/>
      <c r="C1295" s="28"/>
      <c r="D1295" s="19"/>
      <c r="G1295" s="29"/>
      <c r="H1295" s="212"/>
      <c r="I1295" s="1"/>
      <c r="K1295" s="30"/>
      <c r="L1295" s="30"/>
      <c r="M1295" s="1"/>
      <c r="N1295" s="211"/>
      <c r="O1295" s="211"/>
      <c r="P1295" s="31"/>
      <c r="Q1295" s="211"/>
      <c r="R1295" s="211"/>
      <c r="S1295" s="31"/>
      <c r="V1295" s="1"/>
      <c r="W1295" s="1"/>
      <c r="X1295" s="1"/>
      <c r="Y1295" s="30"/>
      <c r="Z1295" s="211"/>
    </row>
    <row r="1296" spans="2:26">
      <c r="B1296" s="1"/>
      <c r="C1296" s="28"/>
      <c r="D1296" s="19"/>
      <c r="G1296" s="29"/>
      <c r="H1296" s="212"/>
      <c r="I1296" s="1"/>
      <c r="K1296" s="30"/>
      <c r="L1296" s="30"/>
      <c r="M1296" s="1"/>
      <c r="N1296" s="211"/>
      <c r="O1296" s="211"/>
      <c r="P1296" s="31"/>
      <c r="Q1296" s="211"/>
      <c r="R1296" s="211"/>
      <c r="S1296" s="31"/>
      <c r="V1296" s="1"/>
      <c r="W1296" s="1"/>
      <c r="X1296" s="1"/>
      <c r="Y1296" s="30"/>
      <c r="Z1296" s="211"/>
    </row>
    <row r="1297" spans="2:26">
      <c r="B1297" s="1"/>
      <c r="C1297" s="28"/>
      <c r="D1297" s="19"/>
      <c r="G1297" s="29"/>
      <c r="H1297" s="212"/>
      <c r="I1297" s="1"/>
      <c r="K1297" s="30"/>
      <c r="L1297" s="30"/>
      <c r="M1297" s="1"/>
      <c r="N1297" s="211"/>
      <c r="O1297" s="211"/>
      <c r="P1297" s="31"/>
      <c r="Q1297" s="211"/>
      <c r="R1297" s="211"/>
      <c r="S1297" s="31"/>
      <c r="V1297" s="1"/>
      <c r="W1297" s="1"/>
      <c r="X1297" s="1"/>
      <c r="Y1297" s="30"/>
      <c r="Z1297" s="211"/>
    </row>
    <row r="1298" spans="2:26">
      <c r="B1298" s="1"/>
      <c r="C1298" s="28"/>
      <c r="D1298" s="19"/>
      <c r="G1298" s="29"/>
      <c r="H1298" s="212"/>
      <c r="I1298" s="1"/>
      <c r="K1298" s="30"/>
      <c r="L1298" s="30"/>
      <c r="M1298" s="1"/>
      <c r="N1298" s="211"/>
      <c r="O1298" s="211"/>
      <c r="P1298" s="31"/>
      <c r="Q1298" s="211"/>
      <c r="R1298" s="211"/>
      <c r="S1298" s="31"/>
      <c r="V1298" s="1"/>
      <c r="W1298" s="1"/>
      <c r="X1298" s="1"/>
      <c r="Y1298" s="30"/>
      <c r="Z1298" s="211"/>
    </row>
    <row r="1299" spans="2:26">
      <c r="B1299" s="1"/>
      <c r="C1299" s="28"/>
      <c r="D1299" s="19"/>
      <c r="G1299" s="29"/>
      <c r="H1299" s="212"/>
      <c r="I1299" s="1"/>
      <c r="K1299" s="30"/>
      <c r="L1299" s="30"/>
      <c r="M1299" s="1"/>
      <c r="N1299" s="211"/>
      <c r="O1299" s="211"/>
      <c r="P1299" s="31"/>
      <c r="Q1299" s="211"/>
      <c r="R1299" s="211"/>
      <c r="S1299" s="31"/>
      <c r="V1299" s="1"/>
      <c r="W1299" s="1"/>
      <c r="X1299" s="1"/>
      <c r="Y1299" s="30"/>
      <c r="Z1299" s="211"/>
    </row>
    <row r="1300" spans="2:26">
      <c r="B1300" s="1"/>
      <c r="C1300" s="28"/>
      <c r="D1300" s="19"/>
      <c r="G1300" s="29"/>
      <c r="H1300" s="212"/>
      <c r="I1300" s="1"/>
      <c r="K1300" s="30"/>
      <c r="L1300" s="30"/>
      <c r="M1300" s="1"/>
      <c r="N1300" s="211"/>
      <c r="O1300" s="211"/>
      <c r="P1300" s="31"/>
      <c r="Q1300" s="211"/>
      <c r="R1300" s="211"/>
      <c r="S1300" s="31"/>
      <c r="V1300" s="1"/>
      <c r="W1300" s="1"/>
      <c r="X1300" s="1"/>
      <c r="Y1300" s="30"/>
      <c r="Z1300" s="211"/>
    </row>
    <row r="1301" spans="2:26">
      <c r="B1301" s="1"/>
      <c r="C1301" s="28"/>
      <c r="D1301" s="19"/>
      <c r="G1301" s="29"/>
      <c r="H1301" s="212"/>
      <c r="I1301" s="1"/>
      <c r="K1301" s="30"/>
      <c r="L1301" s="30"/>
      <c r="M1301" s="1"/>
      <c r="N1301" s="211"/>
      <c r="O1301" s="211"/>
      <c r="P1301" s="31"/>
      <c r="Q1301" s="211"/>
      <c r="R1301" s="211"/>
      <c r="S1301" s="31"/>
      <c r="V1301" s="1"/>
      <c r="W1301" s="1"/>
      <c r="X1301" s="1"/>
      <c r="Y1301" s="30"/>
      <c r="Z1301" s="211"/>
    </row>
    <row r="1302" spans="2:26">
      <c r="B1302" s="1"/>
      <c r="C1302" s="28"/>
      <c r="D1302" s="19"/>
      <c r="G1302" s="29"/>
      <c r="H1302" s="212"/>
      <c r="I1302" s="1"/>
      <c r="K1302" s="30"/>
      <c r="L1302" s="30"/>
      <c r="M1302" s="1"/>
      <c r="N1302" s="211"/>
      <c r="O1302" s="211"/>
      <c r="P1302" s="31"/>
      <c r="Q1302" s="211"/>
      <c r="R1302" s="211"/>
      <c r="S1302" s="31"/>
      <c r="V1302" s="1"/>
      <c r="W1302" s="1"/>
      <c r="X1302" s="1"/>
      <c r="Y1302" s="30"/>
      <c r="Z1302" s="211"/>
    </row>
    <row r="1303" spans="2:26">
      <c r="B1303" s="1"/>
      <c r="C1303" s="28"/>
      <c r="D1303" s="19"/>
      <c r="G1303" s="29"/>
      <c r="H1303" s="212"/>
      <c r="I1303" s="1"/>
      <c r="K1303" s="30"/>
      <c r="L1303" s="30"/>
      <c r="M1303" s="1"/>
      <c r="N1303" s="211"/>
      <c r="O1303" s="211"/>
      <c r="P1303" s="31"/>
      <c r="Q1303" s="211"/>
      <c r="R1303" s="211"/>
      <c r="S1303" s="31"/>
      <c r="V1303" s="1"/>
      <c r="W1303" s="1"/>
      <c r="X1303" s="1"/>
      <c r="Y1303" s="30"/>
      <c r="Z1303" s="211"/>
    </row>
    <row r="1304" spans="2:26">
      <c r="B1304" s="1"/>
      <c r="C1304" s="28"/>
      <c r="D1304" s="19"/>
      <c r="G1304" s="29"/>
      <c r="H1304" s="212"/>
      <c r="I1304" s="1"/>
      <c r="K1304" s="30"/>
      <c r="L1304" s="30"/>
      <c r="M1304" s="1"/>
      <c r="N1304" s="211"/>
      <c r="O1304" s="211"/>
      <c r="P1304" s="31"/>
      <c r="Q1304" s="211"/>
      <c r="R1304" s="211"/>
      <c r="S1304" s="31"/>
      <c r="V1304" s="1"/>
      <c r="W1304" s="1"/>
      <c r="X1304" s="1"/>
      <c r="Y1304" s="30"/>
      <c r="Z1304" s="211"/>
    </row>
    <row r="1305" spans="2:26">
      <c r="B1305" s="1"/>
      <c r="C1305" s="28"/>
      <c r="D1305" s="19"/>
      <c r="G1305" s="29"/>
      <c r="H1305" s="212"/>
      <c r="I1305" s="1"/>
      <c r="K1305" s="30"/>
      <c r="L1305" s="30"/>
      <c r="M1305" s="1"/>
      <c r="N1305" s="211"/>
      <c r="O1305" s="211"/>
      <c r="P1305" s="31"/>
      <c r="Q1305" s="211"/>
      <c r="R1305" s="211"/>
      <c r="S1305" s="31"/>
      <c r="V1305" s="1"/>
      <c r="W1305" s="1"/>
      <c r="X1305" s="1"/>
      <c r="Y1305" s="30"/>
      <c r="Z1305" s="211"/>
    </row>
    <row r="1306" spans="2:26">
      <c r="B1306" s="1"/>
      <c r="C1306" s="28"/>
      <c r="D1306" s="19"/>
      <c r="G1306" s="29"/>
      <c r="H1306" s="212"/>
      <c r="I1306" s="1"/>
      <c r="K1306" s="30"/>
      <c r="L1306" s="30"/>
      <c r="M1306" s="1"/>
      <c r="N1306" s="211"/>
      <c r="O1306" s="211"/>
      <c r="P1306" s="31"/>
      <c r="Q1306" s="211"/>
      <c r="R1306" s="211"/>
      <c r="S1306" s="31"/>
      <c r="V1306" s="1"/>
      <c r="W1306" s="1"/>
      <c r="X1306" s="1"/>
      <c r="Y1306" s="30"/>
      <c r="Z1306" s="211"/>
    </row>
    <row r="1307" spans="2:26">
      <c r="B1307" s="1"/>
      <c r="C1307" s="28"/>
      <c r="D1307" s="19"/>
      <c r="G1307" s="29"/>
      <c r="H1307" s="212"/>
      <c r="I1307" s="1"/>
      <c r="K1307" s="30"/>
      <c r="L1307" s="30"/>
      <c r="M1307" s="1"/>
      <c r="N1307" s="211"/>
      <c r="O1307" s="211"/>
      <c r="P1307" s="31"/>
      <c r="Q1307" s="211"/>
      <c r="R1307" s="211"/>
      <c r="S1307" s="31"/>
      <c r="V1307" s="1"/>
      <c r="W1307" s="1"/>
      <c r="X1307" s="1"/>
      <c r="Y1307" s="30"/>
      <c r="Z1307" s="211"/>
    </row>
    <row r="1308" spans="2:26">
      <c r="B1308" s="1"/>
      <c r="C1308" s="28"/>
      <c r="D1308" s="19"/>
      <c r="G1308" s="29"/>
      <c r="H1308" s="212"/>
      <c r="I1308" s="1"/>
      <c r="K1308" s="30"/>
      <c r="L1308" s="30"/>
      <c r="M1308" s="1"/>
      <c r="N1308" s="211"/>
      <c r="O1308" s="211"/>
      <c r="P1308" s="31"/>
      <c r="Q1308" s="211"/>
      <c r="R1308" s="211"/>
      <c r="S1308" s="31"/>
      <c r="V1308" s="1"/>
      <c r="W1308" s="1"/>
      <c r="X1308" s="1"/>
      <c r="Y1308" s="30"/>
      <c r="Z1308" s="211"/>
    </row>
    <row r="1309" spans="2:26">
      <c r="B1309" s="1"/>
      <c r="C1309" s="28"/>
      <c r="D1309" s="19"/>
      <c r="G1309" s="29"/>
      <c r="H1309" s="212"/>
      <c r="I1309" s="1"/>
      <c r="K1309" s="30"/>
      <c r="L1309" s="30"/>
      <c r="M1309" s="1"/>
      <c r="N1309" s="211"/>
      <c r="O1309" s="211"/>
      <c r="P1309" s="31"/>
      <c r="Q1309" s="211"/>
      <c r="R1309" s="211"/>
      <c r="S1309" s="31"/>
      <c r="V1309" s="1"/>
      <c r="W1309" s="1"/>
      <c r="X1309" s="1"/>
      <c r="Y1309" s="30"/>
      <c r="Z1309" s="211"/>
    </row>
    <row r="1310" spans="2:26">
      <c r="B1310" s="1"/>
      <c r="C1310" s="28"/>
      <c r="D1310" s="19"/>
      <c r="G1310" s="29"/>
      <c r="H1310" s="212"/>
      <c r="I1310" s="1"/>
      <c r="K1310" s="30"/>
      <c r="L1310" s="30"/>
      <c r="M1310" s="1"/>
      <c r="N1310" s="211"/>
      <c r="O1310" s="211"/>
      <c r="P1310" s="31"/>
      <c r="Q1310" s="211"/>
      <c r="R1310" s="211"/>
      <c r="S1310" s="31"/>
      <c r="V1310" s="1"/>
      <c r="W1310" s="1"/>
      <c r="X1310" s="1"/>
      <c r="Y1310" s="30"/>
      <c r="Z1310" s="211"/>
    </row>
    <row r="1311" spans="2:26">
      <c r="B1311" s="1"/>
      <c r="C1311" s="28"/>
      <c r="D1311" s="19"/>
      <c r="G1311" s="29"/>
      <c r="H1311" s="212"/>
      <c r="I1311" s="1"/>
      <c r="L1311" s="30"/>
      <c r="M1311" s="30"/>
      <c r="N1311" s="30"/>
      <c r="O1311" s="28"/>
      <c r="P1311" s="120"/>
      <c r="Q1311" s="211"/>
      <c r="R1311" s="31"/>
      <c r="S1311" s="211"/>
      <c r="T1311" s="165"/>
      <c r="Z1311"/>
    </row>
    <row r="1312" spans="2:26">
      <c r="B1312" s="1"/>
      <c r="C1312" s="28"/>
      <c r="D1312" s="19"/>
      <c r="G1312" s="29"/>
      <c r="H1312" s="212"/>
      <c r="I1312" s="1"/>
      <c r="K1312" s="30"/>
      <c r="L1312" s="30"/>
      <c r="M1312" s="1"/>
      <c r="N1312" s="211"/>
      <c r="O1312" s="211"/>
      <c r="P1312" s="31"/>
      <c r="Q1312" s="211"/>
      <c r="R1312" s="211"/>
      <c r="S1312" s="31"/>
      <c r="V1312" s="1"/>
      <c r="W1312" s="1"/>
      <c r="X1312" s="1"/>
      <c r="Y1312" s="30"/>
      <c r="Z1312" s="211"/>
    </row>
    <row r="1313" spans="2:26">
      <c r="B1313" s="1"/>
      <c r="C1313" s="28"/>
      <c r="D1313" s="19"/>
      <c r="G1313" s="29"/>
      <c r="H1313" s="212"/>
      <c r="I1313" s="1"/>
      <c r="K1313" s="30"/>
      <c r="L1313" s="30"/>
      <c r="M1313" s="1"/>
      <c r="N1313" s="211"/>
      <c r="O1313" s="211"/>
      <c r="P1313" s="31"/>
      <c r="Q1313" s="211"/>
      <c r="R1313" s="211"/>
      <c r="S1313" s="31"/>
      <c r="V1313" s="1"/>
      <c r="W1313" s="1"/>
      <c r="X1313" s="1"/>
      <c r="Y1313" s="30"/>
      <c r="Z1313" s="211"/>
    </row>
    <row r="1314" spans="2:26">
      <c r="B1314" s="1"/>
      <c r="C1314" s="28"/>
      <c r="D1314" s="19"/>
      <c r="G1314" s="29"/>
      <c r="H1314" s="212"/>
      <c r="I1314" s="1"/>
      <c r="K1314" s="30"/>
      <c r="L1314" s="30"/>
      <c r="M1314" s="1"/>
      <c r="N1314" s="211"/>
      <c r="O1314" s="211"/>
      <c r="P1314" s="31"/>
      <c r="Q1314" s="211"/>
      <c r="R1314" s="211"/>
      <c r="S1314" s="31"/>
      <c r="V1314" s="1"/>
      <c r="W1314" s="1"/>
      <c r="X1314" s="1"/>
      <c r="Y1314" s="30"/>
      <c r="Z1314" s="211"/>
    </row>
    <row r="1315" spans="2:26">
      <c r="B1315" s="1"/>
      <c r="C1315" s="28"/>
      <c r="D1315" s="19"/>
      <c r="G1315" s="29"/>
      <c r="H1315" s="212"/>
      <c r="I1315" s="1"/>
      <c r="K1315" s="30"/>
      <c r="L1315" s="30"/>
      <c r="M1315" s="1"/>
      <c r="N1315" s="211"/>
      <c r="O1315" s="211"/>
      <c r="P1315" s="31"/>
      <c r="Q1315" s="211"/>
      <c r="R1315" s="211"/>
      <c r="S1315" s="31"/>
      <c r="V1315" s="1"/>
      <c r="W1315" s="1"/>
      <c r="X1315" s="1"/>
      <c r="Y1315" s="30"/>
      <c r="Z1315" s="211"/>
    </row>
    <row r="1316" spans="2:26">
      <c r="B1316" s="1"/>
      <c r="C1316" s="28"/>
      <c r="D1316" s="19"/>
      <c r="G1316" s="29"/>
      <c r="H1316" s="212"/>
      <c r="I1316" s="1"/>
      <c r="K1316" s="30"/>
      <c r="L1316" s="30"/>
      <c r="M1316" s="1"/>
      <c r="N1316" s="211"/>
      <c r="O1316" s="211"/>
      <c r="P1316" s="31"/>
      <c r="Q1316" s="211"/>
      <c r="R1316" s="211"/>
      <c r="S1316" s="31"/>
      <c r="V1316" s="1"/>
      <c r="W1316" s="1"/>
      <c r="X1316" s="1"/>
      <c r="Y1316" s="30"/>
      <c r="Z1316" s="211"/>
    </row>
    <row r="1317" spans="2:26">
      <c r="B1317" s="1"/>
      <c r="C1317" s="28"/>
      <c r="D1317" s="19"/>
      <c r="G1317" s="29"/>
      <c r="H1317" s="212"/>
      <c r="I1317" s="1"/>
      <c r="K1317" s="30"/>
      <c r="L1317" s="30"/>
      <c r="M1317" s="1"/>
      <c r="N1317" s="211"/>
      <c r="O1317" s="211"/>
      <c r="P1317" s="31"/>
      <c r="Q1317" s="211"/>
      <c r="R1317" s="211"/>
      <c r="S1317" s="31"/>
      <c r="V1317" s="1"/>
      <c r="W1317" s="1"/>
      <c r="X1317" s="1"/>
      <c r="Y1317" s="30"/>
      <c r="Z1317" s="211"/>
    </row>
    <row r="1318" spans="2:26">
      <c r="B1318" s="1"/>
      <c r="C1318" s="28"/>
      <c r="D1318" s="19"/>
      <c r="G1318" s="29"/>
      <c r="H1318" s="212"/>
      <c r="I1318" s="1"/>
      <c r="K1318" s="30"/>
      <c r="L1318" s="30"/>
      <c r="M1318" s="1"/>
      <c r="N1318" s="211"/>
      <c r="O1318" s="211"/>
      <c r="P1318" s="31"/>
      <c r="Q1318" s="211"/>
      <c r="R1318" s="211"/>
      <c r="S1318" s="31"/>
      <c r="V1318" s="1"/>
      <c r="W1318" s="1"/>
      <c r="X1318" s="1"/>
      <c r="Y1318" s="30"/>
      <c r="Z1318" s="211"/>
    </row>
    <row r="1319" spans="2:26">
      <c r="B1319" s="1"/>
      <c r="C1319" s="28"/>
      <c r="D1319" s="19"/>
      <c r="G1319" s="29"/>
      <c r="H1319" s="212"/>
      <c r="I1319" s="1"/>
      <c r="K1319" s="30"/>
      <c r="L1319" s="30"/>
      <c r="M1319" s="1"/>
      <c r="N1319" s="211"/>
      <c r="O1319" s="211"/>
      <c r="P1319" s="31"/>
      <c r="Q1319" s="211"/>
      <c r="R1319" s="211"/>
      <c r="S1319" s="31"/>
      <c r="V1319" s="1"/>
      <c r="W1319" s="1"/>
      <c r="X1319" s="1"/>
      <c r="Y1319" s="30"/>
      <c r="Z1319" s="211"/>
    </row>
    <row r="1320" spans="2:26">
      <c r="B1320" s="1"/>
      <c r="C1320" s="28"/>
      <c r="D1320" s="19"/>
      <c r="G1320" s="29"/>
      <c r="H1320" s="212"/>
      <c r="I1320" s="1"/>
      <c r="K1320" s="30"/>
      <c r="L1320" s="30"/>
      <c r="M1320" s="1"/>
      <c r="N1320" s="211"/>
      <c r="O1320" s="211"/>
      <c r="P1320" s="31"/>
      <c r="Q1320" s="211"/>
      <c r="R1320" s="211"/>
      <c r="S1320" s="31"/>
      <c r="V1320" s="1"/>
      <c r="W1320" s="1"/>
      <c r="X1320" s="1"/>
      <c r="Y1320" s="30"/>
      <c r="Z1320" s="211"/>
    </row>
    <row r="1321" spans="2:26">
      <c r="B1321" s="1"/>
      <c r="C1321" s="28"/>
      <c r="D1321" s="19"/>
      <c r="G1321" s="29"/>
      <c r="H1321" s="212"/>
      <c r="I1321" s="1"/>
      <c r="K1321" s="30"/>
      <c r="L1321" s="30"/>
      <c r="M1321" s="1"/>
      <c r="N1321" s="211"/>
      <c r="O1321" s="211"/>
      <c r="P1321" s="31"/>
      <c r="Q1321" s="211"/>
      <c r="R1321" s="211"/>
      <c r="S1321" s="31"/>
      <c r="V1321" s="1"/>
      <c r="W1321" s="1"/>
      <c r="X1321" s="1"/>
      <c r="Y1321" s="30"/>
      <c r="Z1321" s="211"/>
    </row>
    <row r="1322" spans="2:26">
      <c r="B1322" s="1"/>
      <c r="C1322" s="28"/>
      <c r="D1322" s="19"/>
      <c r="G1322" s="29"/>
      <c r="H1322" s="212"/>
      <c r="I1322" s="1"/>
      <c r="K1322" s="30"/>
      <c r="L1322" s="30"/>
      <c r="M1322" s="1"/>
      <c r="N1322" s="211"/>
      <c r="O1322" s="211"/>
      <c r="P1322" s="31"/>
      <c r="Q1322" s="211"/>
      <c r="R1322" s="211"/>
      <c r="S1322" s="31"/>
      <c r="V1322" s="1"/>
      <c r="W1322" s="1"/>
      <c r="X1322" s="1"/>
      <c r="Y1322" s="30"/>
      <c r="Z1322" s="211"/>
    </row>
    <row r="1323" spans="2:26">
      <c r="B1323" s="1"/>
      <c r="C1323" s="28"/>
      <c r="D1323" s="19"/>
      <c r="G1323" s="29"/>
      <c r="H1323" s="212"/>
      <c r="I1323" s="1"/>
      <c r="K1323" s="30"/>
      <c r="L1323" s="30"/>
      <c r="M1323" s="1"/>
      <c r="N1323" s="211"/>
      <c r="O1323" s="211"/>
      <c r="P1323" s="31"/>
      <c r="Q1323" s="211"/>
      <c r="R1323" s="211"/>
      <c r="S1323" s="31"/>
      <c r="V1323" s="1"/>
      <c r="W1323" s="1"/>
      <c r="X1323" s="1"/>
      <c r="Y1323" s="30"/>
      <c r="Z1323" s="211"/>
    </row>
    <row r="1324" spans="2:26">
      <c r="B1324" s="1"/>
      <c r="C1324" s="28"/>
      <c r="D1324" s="19"/>
      <c r="G1324" s="29"/>
      <c r="H1324" s="212"/>
      <c r="I1324" s="1"/>
      <c r="K1324" s="30"/>
      <c r="L1324" s="30"/>
      <c r="M1324" s="1"/>
      <c r="N1324" s="211"/>
      <c r="O1324" s="211"/>
      <c r="P1324" s="31"/>
      <c r="Q1324" s="211"/>
      <c r="R1324" s="211"/>
      <c r="S1324" s="31"/>
      <c r="V1324" s="1"/>
      <c r="W1324" s="1"/>
      <c r="X1324" s="1"/>
      <c r="Y1324" s="30"/>
      <c r="Z1324" s="211"/>
    </row>
    <row r="1325" spans="2:26">
      <c r="B1325" s="1"/>
      <c r="C1325" s="28"/>
      <c r="D1325" s="19"/>
      <c r="G1325" s="29"/>
      <c r="H1325" s="212"/>
      <c r="I1325" s="1"/>
      <c r="K1325" s="30"/>
      <c r="L1325" s="30"/>
      <c r="M1325" s="1"/>
      <c r="N1325" s="211"/>
      <c r="O1325" s="211"/>
      <c r="P1325" s="31"/>
      <c r="Q1325" s="211"/>
      <c r="R1325" s="211"/>
      <c r="S1325" s="31"/>
      <c r="V1325" s="1"/>
      <c r="W1325" s="1"/>
      <c r="X1325" s="1"/>
      <c r="Y1325" s="30"/>
      <c r="Z1325" s="211"/>
    </row>
    <row r="1326" spans="2:26">
      <c r="B1326" s="1"/>
      <c r="C1326" s="28"/>
      <c r="D1326" s="19"/>
      <c r="G1326" s="29"/>
      <c r="H1326" s="212"/>
      <c r="I1326" s="1"/>
      <c r="K1326" s="30"/>
      <c r="L1326" s="30"/>
      <c r="M1326" s="1"/>
      <c r="N1326" s="211"/>
      <c r="O1326" s="211"/>
      <c r="P1326" s="31"/>
      <c r="Q1326" s="211"/>
      <c r="R1326" s="211"/>
      <c r="S1326" s="31"/>
      <c r="V1326" s="1"/>
      <c r="W1326" s="1"/>
      <c r="X1326" s="1"/>
      <c r="Y1326" s="30"/>
      <c r="Z1326" s="211"/>
    </row>
    <row r="1327" spans="2:26">
      <c r="B1327" s="1"/>
      <c r="C1327" s="28"/>
      <c r="D1327" s="19"/>
      <c r="G1327" s="29"/>
      <c r="H1327" s="212"/>
      <c r="I1327" s="1"/>
      <c r="K1327" s="30"/>
      <c r="L1327" s="30"/>
      <c r="M1327" s="1"/>
      <c r="N1327" s="211"/>
      <c r="O1327" s="211"/>
      <c r="P1327" s="31"/>
      <c r="Q1327" s="211"/>
      <c r="R1327" s="211"/>
      <c r="S1327" s="31"/>
      <c r="V1327" s="1"/>
      <c r="W1327" s="1"/>
      <c r="X1327" s="1"/>
      <c r="Y1327" s="30"/>
      <c r="Z1327" s="211"/>
    </row>
    <row r="1328" spans="2:26">
      <c r="B1328" s="1"/>
      <c r="C1328" s="28"/>
      <c r="D1328" s="19"/>
      <c r="G1328" s="29"/>
      <c r="H1328" s="212"/>
      <c r="I1328" s="1"/>
      <c r="K1328" s="30"/>
      <c r="L1328" s="30"/>
      <c r="M1328" s="1"/>
      <c r="N1328" s="211"/>
      <c r="O1328" s="211"/>
      <c r="P1328" s="31"/>
      <c r="Q1328" s="211"/>
      <c r="R1328" s="211"/>
      <c r="S1328" s="31"/>
      <c r="V1328" s="1"/>
      <c r="W1328" s="1"/>
      <c r="X1328" s="1"/>
      <c r="Y1328" s="30"/>
      <c r="Z1328" s="211"/>
    </row>
    <row r="1329" spans="2:26">
      <c r="B1329" s="1"/>
      <c r="C1329" s="28"/>
      <c r="D1329" s="19"/>
      <c r="G1329" s="29"/>
      <c r="H1329" s="212"/>
      <c r="I1329" s="1"/>
      <c r="K1329" s="30"/>
      <c r="L1329" s="30"/>
      <c r="M1329" s="1"/>
      <c r="N1329" s="211"/>
      <c r="O1329" s="211"/>
      <c r="P1329" s="31"/>
      <c r="Q1329" s="211"/>
      <c r="R1329" s="211"/>
      <c r="S1329" s="31"/>
      <c r="V1329" s="1"/>
      <c r="W1329" s="1"/>
      <c r="X1329" s="1"/>
      <c r="Y1329" s="30"/>
      <c r="Z1329" s="211"/>
    </row>
    <row r="1330" spans="2:26">
      <c r="B1330" s="1"/>
      <c r="C1330" s="28"/>
      <c r="D1330" s="19"/>
      <c r="G1330" s="29"/>
      <c r="H1330" s="212"/>
      <c r="I1330" s="1"/>
      <c r="K1330" s="30"/>
      <c r="L1330" s="30"/>
      <c r="M1330" s="1"/>
      <c r="N1330" s="211"/>
      <c r="O1330" s="211"/>
      <c r="P1330" s="31"/>
      <c r="Q1330" s="211"/>
      <c r="R1330" s="211"/>
      <c r="S1330" s="31"/>
      <c r="V1330" s="1"/>
      <c r="W1330" s="1"/>
      <c r="X1330" s="1"/>
      <c r="Y1330" s="30"/>
      <c r="Z1330" s="211"/>
    </row>
    <row r="1331" spans="2:26">
      <c r="B1331" s="1"/>
      <c r="C1331" s="28"/>
      <c r="D1331" s="19"/>
      <c r="G1331" s="29"/>
      <c r="H1331" s="212"/>
      <c r="I1331" s="1"/>
      <c r="K1331" s="30"/>
      <c r="L1331" s="30"/>
      <c r="M1331" s="1"/>
      <c r="N1331" s="211"/>
      <c r="O1331" s="211"/>
      <c r="P1331" s="31"/>
      <c r="Q1331" s="211"/>
      <c r="R1331" s="211"/>
      <c r="S1331" s="31"/>
      <c r="V1331" s="1"/>
      <c r="W1331" s="1"/>
      <c r="X1331" s="1"/>
      <c r="Y1331" s="30"/>
      <c r="Z1331" s="211"/>
    </row>
    <row r="1332" spans="2:26">
      <c r="B1332" s="1"/>
      <c r="C1332" s="28"/>
      <c r="D1332" s="19"/>
      <c r="G1332" s="29"/>
      <c r="H1332" s="212"/>
      <c r="I1332" s="1"/>
      <c r="K1332" s="30"/>
      <c r="L1332" s="30"/>
      <c r="M1332" s="1"/>
      <c r="N1332" s="211"/>
      <c r="O1332" s="211"/>
      <c r="P1332" s="31"/>
      <c r="Q1332" s="211"/>
      <c r="R1332" s="211"/>
      <c r="S1332" s="31"/>
      <c r="V1332" s="1"/>
      <c r="W1332" s="1"/>
      <c r="X1332" s="1"/>
      <c r="Y1332" s="30"/>
      <c r="Z1332" s="211"/>
    </row>
    <row r="1333" spans="2:26">
      <c r="B1333" s="1"/>
      <c r="C1333" s="28"/>
      <c r="D1333" s="19"/>
      <c r="G1333" s="29"/>
      <c r="H1333" s="212"/>
      <c r="I1333" s="1"/>
      <c r="K1333" s="30"/>
      <c r="L1333" s="30"/>
      <c r="M1333" s="1"/>
      <c r="N1333" s="211"/>
      <c r="O1333" s="211"/>
      <c r="P1333" s="31"/>
      <c r="Q1333" s="211"/>
      <c r="R1333" s="211"/>
      <c r="S1333" s="31"/>
      <c r="V1333" s="1"/>
      <c r="W1333" s="1"/>
      <c r="X1333" s="1"/>
      <c r="Y1333" s="30"/>
      <c r="Z1333" s="211"/>
    </row>
    <row r="1334" spans="2:26">
      <c r="B1334" s="1"/>
      <c r="C1334" s="28"/>
      <c r="D1334" s="19"/>
      <c r="G1334" s="29"/>
      <c r="H1334" s="212"/>
      <c r="I1334" s="1"/>
      <c r="K1334" s="30"/>
      <c r="L1334" s="30"/>
      <c r="M1334" s="1"/>
      <c r="N1334" s="211"/>
      <c r="O1334" s="211"/>
      <c r="P1334" s="31"/>
      <c r="Q1334" s="211"/>
      <c r="R1334" s="211"/>
      <c r="S1334" s="31"/>
      <c r="V1334" s="1"/>
      <c r="W1334" s="1"/>
      <c r="X1334" s="1"/>
      <c r="Y1334" s="30"/>
      <c r="Z1334" s="211"/>
    </row>
    <row r="1335" spans="2:26">
      <c r="B1335" s="1"/>
      <c r="C1335" s="28"/>
      <c r="D1335" s="19"/>
      <c r="G1335" s="29"/>
      <c r="H1335" s="212"/>
      <c r="I1335" s="1"/>
      <c r="K1335" s="30"/>
      <c r="L1335" s="30"/>
      <c r="M1335" s="1"/>
      <c r="N1335" s="211"/>
      <c r="O1335" s="211"/>
      <c r="P1335" s="31"/>
      <c r="Q1335" s="211"/>
      <c r="R1335" s="211"/>
      <c r="S1335" s="31"/>
      <c r="V1335" s="1"/>
      <c r="W1335" s="1"/>
      <c r="X1335" s="1"/>
      <c r="Y1335" s="30"/>
      <c r="Z1335" s="211"/>
    </row>
    <row r="1336" spans="2:26">
      <c r="B1336" s="1"/>
      <c r="C1336" s="28"/>
      <c r="D1336" s="19"/>
      <c r="G1336" s="29"/>
      <c r="H1336" s="212"/>
      <c r="I1336" s="1"/>
      <c r="K1336" s="30"/>
      <c r="L1336" s="30"/>
      <c r="M1336" s="1"/>
      <c r="N1336" s="211"/>
      <c r="O1336" s="211"/>
      <c r="P1336" s="31"/>
      <c r="Q1336" s="211"/>
      <c r="R1336" s="211"/>
      <c r="S1336" s="31"/>
      <c r="V1336" s="1"/>
      <c r="W1336" s="1"/>
      <c r="X1336" s="1"/>
      <c r="Y1336" s="30"/>
      <c r="Z1336" s="211"/>
    </row>
    <row r="1337" spans="2:26">
      <c r="B1337" s="1"/>
      <c r="C1337" s="28"/>
      <c r="D1337" s="19"/>
      <c r="G1337" s="29"/>
      <c r="H1337" s="212"/>
      <c r="I1337" s="1"/>
      <c r="K1337" s="30"/>
      <c r="L1337" s="30"/>
      <c r="M1337" s="1"/>
      <c r="N1337" s="211"/>
      <c r="O1337" s="211"/>
      <c r="P1337" s="31"/>
      <c r="Q1337" s="211"/>
      <c r="R1337" s="211"/>
      <c r="S1337" s="31"/>
      <c r="V1337" s="1"/>
      <c r="W1337" s="1"/>
      <c r="X1337" s="1"/>
      <c r="Y1337" s="30"/>
      <c r="Z1337" s="211"/>
    </row>
    <row r="1338" spans="2:26">
      <c r="B1338" s="1"/>
      <c r="C1338" s="28"/>
      <c r="D1338" s="19"/>
      <c r="G1338" s="29"/>
      <c r="H1338" s="212"/>
      <c r="I1338" s="1"/>
      <c r="K1338" s="30"/>
      <c r="L1338" s="30"/>
      <c r="M1338" s="1"/>
      <c r="N1338" s="211"/>
      <c r="O1338" s="211"/>
      <c r="P1338" s="31"/>
      <c r="Q1338" s="211"/>
      <c r="R1338" s="211"/>
      <c r="S1338" s="31"/>
      <c r="V1338" s="1"/>
      <c r="W1338" s="1"/>
      <c r="X1338" s="1"/>
      <c r="Y1338" s="30"/>
      <c r="Z1338" s="211"/>
    </row>
    <row r="1339" spans="2:26">
      <c r="B1339" s="1"/>
      <c r="C1339" s="28"/>
      <c r="D1339" s="19"/>
      <c r="G1339" s="29"/>
      <c r="H1339" s="212"/>
      <c r="I1339" s="1"/>
      <c r="K1339" s="30"/>
      <c r="L1339" s="30"/>
      <c r="M1339" s="1"/>
      <c r="N1339" s="211"/>
      <c r="O1339" s="211"/>
      <c r="P1339" s="31"/>
      <c r="Q1339" s="211"/>
      <c r="R1339" s="211"/>
      <c r="S1339" s="31"/>
      <c r="V1339" s="1"/>
      <c r="W1339" s="1"/>
      <c r="X1339" s="1"/>
      <c r="Y1339" s="30"/>
      <c r="Z1339" s="211"/>
    </row>
    <row r="1340" spans="2:26">
      <c r="B1340" s="1"/>
      <c r="C1340" s="28"/>
      <c r="D1340" s="19"/>
      <c r="G1340" s="29"/>
      <c r="H1340" s="212"/>
      <c r="I1340" s="1"/>
      <c r="K1340" s="30"/>
      <c r="L1340" s="30"/>
      <c r="M1340" s="1"/>
      <c r="N1340" s="211"/>
      <c r="O1340" s="211"/>
      <c r="P1340" s="31"/>
      <c r="Q1340" s="211"/>
      <c r="R1340" s="211"/>
      <c r="S1340" s="31"/>
      <c r="V1340" s="1"/>
      <c r="W1340" s="1"/>
      <c r="X1340" s="1"/>
      <c r="Y1340" s="30"/>
      <c r="Z1340" s="211"/>
    </row>
    <row r="1341" spans="2:26">
      <c r="B1341" s="1"/>
      <c r="C1341" s="28"/>
      <c r="D1341" s="19"/>
      <c r="G1341" s="29"/>
      <c r="H1341" s="212"/>
      <c r="I1341" s="1"/>
      <c r="K1341" s="30"/>
      <c r="L1341" s="30"/>
      <c r="M1341" s="1"/>
      <c r="N1341" s="211"/>
      <c r="O1341" s="211"/>
      <c r="P1341" s="31"/>
      <c r="Q1341" s="211"/>
      <c r="R1341" s="211"/>
      <c r="S1341" s="31"/>
      <c r="V1341" s="1"/>
      <c r="W1341" s="1"/>
      <c r="X1341" s="1"/>
      <c r="Y1341" s="30"/>
      <c r="Z1341" s="211"/>
    </row>
    <row r="1342" spans="2:26">
      <c r="B1342" s="1"/>
      <c r="C1342" s="28"/>
      <c r="D1342" s="19"/>
      <c r="G1342" s="29"/>
      <c r="H1342" s="212"/>
      <c r="I1342" s="1"/>
      <c r="K1342" s="30"/>
      <c r="L1342" s="30"/>
      <c r="M1342" s="1"/>
      <c r="N1342" s="211"/>
      <c r="O1342" s="211"/>
      <c r="P1342" s="31"/>
      <c r="Q1342" s="211"/>
      <c r="R1342" s="211"/>
      <c r="S1342" s="31"/>
      <c r="V1342" s="1"/>
      <c r="W1342" s="1"/>
      <c r="X1342" s="1"/>
      <c r="Y1342" s="30"/>
      <c r="Z1342" s="211"/>
    </row>
    <row r="1343" spans="2:26">
      <c r="B1343" s="1"/>
      <c r="C1343" s="28"/>
      <c r="D1343" s="19"/>
      <c r="G1343" s="29"/>
      <c r="H1343" s="212"/>
      <c r="I1343" s="1"/>
      <c r="K1343" s="30"/>
      <c r="L1343" s="30"/>
      <c r="M1343" s="1"/>
      <c r="N1343" s="211"/>
      <c r="O1343" s="211"/>
      <c r="P1343" s="31"/>
      <c r="Q1343" s="211"/>
      <c r="R1343" s="211"/>
      <c r="S1343" s="31"/>
      <c r="V1343" s="1"/>
      <c r="W1343" s="1"/>
      <c r="X1343" s="1"/>
      <c r="Y1343" s="30"/>
      <c r="Z1343" s="211"/>
    </row>
    <row r="1344" spans="2:26">
      <c r="B1344" s="1"/>
      <c r="C1344" s="28"/>
      <c r="D1344" s="19"/>
      <c r="G1344" s="29"/>
      <c r="H1344" s="212"/>
      <c r="I1344" s="1"/>
      <c r="K1344" s="30"/>
      <c r="L1344" s="30"/>
      <c r="M1344" s="1"/>
      <c r="N1344" s="211"/>
      <c r="O1344" s="211"/>
      <c r="P1344" s="31"/>
      <c r="Q1344" s="211"/>
      <c r="R1344" s="211"/>
      <c r="S1344" s="31"/>
      <c r="V1344" s="1"/>
      <c r="W1344" s="1"/>
      <c r="X1344" s="1"/>
      <c r="Y1344" s="30"/>
      <c r="Z1344" s="211"/>
    </row>
    <row r="1345" spans="2:26">
      <c r="B1345" s="1"/>
      <c r="C1345" s="28"/>
      <c r="D1345" s="19"/>
      <c r="G1345" s="29"/>
      <c r="H1345" s="212"/>
      <c r="I1345" s="1"/>
      <c r="K1345" s="30"/>
      <c r="L1345" s="30"/>
      <c r="M1345" s="1"/>
      <c r="N1345" s="211"/>
      <c r="O1345" s="211"/>
      <c r="P1345" s="31"/>
      <c r="Q1345" s="211"/>
      <c r="R1345" s="211"/>
      <c r="S1345" s="31"/>
      <c r="V1345" s="1"/>
      <c r="W1345" s="1"/>
      <c r="X1345" s="1"/>
      <c r="Y1345" s="30"/>
      <c r="Z1345" s="211"/>
    </row>
    <row r="1346" spans="2:26">
      <c r="B1346" s="1"/>
      <c r="C1346" s="28"/>
      <c r="D1346" s="19"/>
      <c r="G1346" s="29"/>
      <c r="H1346" s="212"/>
      <c r="I1346" s="1"/>
      <c r="K1346" s="30"/>
      <c r="L1346" s="30"/>
      <c r="M1346" s="1"/>
      <c r="N1346" s="211"/>
      <c r="O1346" s="211"/>
      <c r="P1346" s="31"/>
      <c r="Q1346" s="211"/>
      <c r="R1346" s="211"/>
      <c r="S1346" s="31"/>
      <c r="V1346" s="1"/>
      <c r="W1346" s="1"/>
      <c r="X1346" s="1"/>
      <c r="Y1346" s="30"/>
      <c r="Z1346" s="211"/>
    </row>
    <row r="1347" spans="2:26">
      <c r="B1347" s="1"/>
      <c r="C1347" s="28"/>
      <c r="D1347" s="19"/>
      <c r="G1347" s="29"/>
      <c r="H1347" s="212"/>
      <c r="I1347" s="1"/>
      <c r="K1347" s="30"/>
      <c r="L1347" s="30"/>
      <c r="M1347" s="1"/>
      <c r="N1347" s="211"/>
      <c r="O1347" s="211"/>
      <c r="P1347" s="31"/>
      <c r="Q1347" s="211"/>
      <c r="R1347" s="211"/>
      <c r="S1347" s="31"/>
      <c r="V1347" s="1"/>
      <c r="W1347" s="1"/>
      <c r="X1347" s="1"/>
      <c r="Y1347" s="30"/>
      <c r="Z1347" s="211"/>
    </row>
    <row r="1348" spans="2:26">
      <c r="B1348" s="1"/>
      <c r="C1348" s="28"/>
      <c r="D1348" s="19"/>
      <c r="G1348" s="29"/>
      <c r="H1348" s="212"/>
      <c r="I1348" s="1"/>
      <c r="K1348" s="30"/>
      <c r="L1348" s="30"/>
      <c r="M1348" s="1"/>
      <c r="N1348" s="211"/>
      <c r="O1348" s="211"/>
      <c r="P1348" s="31"/>
      <c r="Q1348" s="211"/>
      <c r="R1348" s="211"/>
      <c r="S1348" s="31"/>
      <c r="V1348" s="1"/>
      <c r="W1348" s="1"/>
      <c r="X1348" s="1"/>
      <c r="Y1348" s="30"/>
      <c r="Z1348" s="211"/>
    </row>
    <row r="1349" spans="2:26">
      <c r="B1349" s="1"/>
      <c r="C1349" s="28"/>
      <c r="D1349" s="19"/>
      <c r="G1349" s="29"/>
      <c r="H1349" s="212"/>
      <c r="I1349" s="1"/>
      <c r="K1349" s="30"/>
      <c r="L1349" s="30"/>
      <c r="M1349" s="1"/>
      <c r="N1349" s="211"/>
      <c r="O1349" s="211"/>
      <c r="P1349" s="31"/>
      <c r="Q1349" s="211"/>
      <c r="R1349" s="211"/>
      <c r="S1349" s="31"/>
      <c r="V1349" s="1"/>
      <c r="W1349" s="1"/>
      <c r="X1349" s="1"/>
      <c r="Y1349" s="30"/>
      <c r="Z1349" s="211"/>
    </row>
    <row r="1350" spans="2:26">
      <c r="B1350" s="1"/>
      <c r="C1350" s="28"/>
      <c r="D1350" s="19"/>
      <c r="G1350" s="29"/>
      <c r="H1350" s="212"/>
      <c r="I1350" s="1"/>
      <c r="K1350" s="30"/>
      <c r="L1350" s="30"/>
      <c r="M1350" s="1"/>
      <c r="N1350" s="211"/>
      <c r="O1350" s="211"/>
      <c r="P1350" s="31"/>
      <c r="Q1350" s="211"/>
      <c r="R1350" s="211"/>
      <c r="S1350" s="31"/>
      <c r="V1350" s="1"/>
      <c r="W1350" s="1"/>
      <c r="X1350" s="1"/>
      <c r="Y1350" s="30"/>
      <c r="Z1350" s="211"/>
    </row>
    <row r="1351" spans="2:26">
      <c r="B1351" s="1"/>
      <c r="C1351" s="28"/>
      <c r="D1351" s="19"/>
      <c r="G1351" s="29"/>
      <c r="H1351" s="212"/>
      <c r="I1351" s="1"/>
      <c r="K1351" s="30"/>
      <c r="L1351" s="30"/>
      <c r="M1351" s="1"/>
      <c r="N1351" s="211"/>
      <c r="O1351" s="211"/>
      <c r="P1351" s="31"/>
      <c r="Q1351" s="211"/>
      <c r="R1351" s="211"/>
      <c r="S1351" s="31"/>
      <c r="V1351" s="1"/>
      <c r="W1351" s="1"/>
      <c r="X1351" s="1"/>
      <c r="Y1351" s="30"/>
      <c r="Z1351" s="211"/>
    </row>
    <row r="1352" spans="2:26">
      <c r="B1352" s="1"/>
      <c r="C1352" s="28"/>
      <c r="D1352" s="19"/>
      <c r="G1352" s="29"/>
      <c r="H1352" s="212"/>
      <c r="I1352" s="1"/>
      <c r="K1352" s="30"/>
      <c r="L1352" s="30"/>
      <c r="M1352" s="1"/>
      <c r="N1352" s="211"/>
      <c r="O1352" s="211"/>
      <c r="P1352" s="31"/>
      <c r="Q1352" s="211"/>
      <c r="R1352" s="211"/>
      <c r="S1352" s="31"/>
      <c r="V1352" s="1"/>
      <c r="W1352" s="1"/>
      <c r="X1352" s="1"/>
      <c r="Y1352" s="30"/>
      <c r="Z1352" s="211"/>
    </row>
    <row r="1353" spans="2:26">
      <c r="B1353" s="1"/>
      <c r="C1353" s="28"/>
      <c r="D1353" s="19"/>
      <c r="G1353" s="29"/>
      <c r="H1353" s="212"/>
      <c r="I1353" s="1"/>
      <c r="K1353" s="30"/>
      <c r="L1353" s="30"/>
      <c r="M1353" s="1"/>
      <c r="N1353" s="211"/>
      <c r="O1353" s="211"/>
      <c r="P1353" s="31"/>
      <c r="Q1353" s="211"/>
      <c r="R1353" s="211"/>
      <c r="S1353" s="31"/>
      <c r="V1353" s="1"/>
      <c r="W1353" s="1"/>
      <c r="X1353" s="1"/>
      <c r="Y1353" s="30"/>
      <c r="Z1353" s="211"/>
    </row>
    <row r="1354" spans="2:26">
      <c r="B1354" s="1"/>
      <c r="C1354" s="28"/>
      <c r="D1354" s="19"/>
      <c r="G1354" s="29"/>
      <c r="H1354" s="212"/>
      <c r="I1354" s="1"/>
      <c r="K1354" s="30"/>
      <c r="L1354" s="30"/>
      <c r="M1354" s="1"/>
      <c r="N1354" s="211"/>
      <c r="O1354" s="211"/>
      <c r="P1354" s="31"/>
      <c r="Q1354" s="211"/>
      <c r="R1354" s="211"/>
      <c r="S1354" s="31"/>
      <c r="V1354" s="1"/>
      <c r="W1354" s="1"/>
      <c r="X1354" s="1"/>
      <c r="Y1354" s="30"/>
      <c r="Z1354" s="211"/>
    </row>
    <row r="1355" spans="2:26">
      <c r="B1355" s="1"/>
      <c r="C1355" s="28"/>
      <c r="D1355" s="19"/>
      <c r="G1355" s="29"/>
      <c r="H1355" s="212"/>
      <c r="I1355" s="1"/>
      <c r="K1355" s="30"/>
      <c r="L1355" s="30"/>
      <c r="M1355" s="1"/>
      <c r="N1355" s="211"/>
      <c r="O1355" s="211"/>
      <c r="P1355" s="31"/>
      <c r="Q1355" s="211"/>
      <c r="R1355" s="211"/>
      <c r="S1355" s="31"/>
      <c r="V1355" s="1"/>
      <c r="W1355" s="1"/>
      <c r="X1355" s="1"/>
      <c r="Y1355" s="30"/>
      <c r="Z1355" s="211"/>
    </row>
    <row r="1356" spans="2:26">
      <c r="B1356" s="1"/>
      <c r="C1356" s="28"/>
      <c r="D1356" s="19"/>
      <c r="G1356" s="29"/>
      <c r="H1356" s="212"/>
      <c r="I1356" s="1"/>
      <c r="K1356" s="30"/>
      <c r="L1356" s="30"/>
      <c r="M1356" s="1"/>
      <c r="N1356" s="211"/>
      <c r="O1356" s="211"/>
      <c r="P1356" s="31"/>
      <c r="Q1356" s="211"/>
      <c r="R1356" s="211"/>
      <c r="S1356" s="31"/>
      <c r="V1356" s="1"/>
      <c r="W1356" s="1"/>
      <c r="X1356" s="1"/>
      <c r="Y1356" s="30"/>
      <c r="Z1356" s="211"/>
    </row>
    <row r="1357" spans="2:26">
      <c r="B1357" s="1"/>
      <c r="C1357" s="28"/>
      <c r="D1357" s="19"/>
      <c r="G1357" s="29"/>
      <c r="H1357" s="212"/>
      <c r="I1357" s="1"/>
      <c r="K1357" s="30"/>
      <c r="L1357" s="30"/>
      <c r="M1357" s="1"/>
      <c r="N1357" s="211"/>
      <c r="O1357" s="211"/>
      <c r="P1357" s="31"/>
      <c r="Q1357" s="211"/>
      <c r="R1357" s="211"/>
      <c r="S1357" s="31"/>
      <c r="V1357" s="1"/>
      <c r="W1357" s="1"/>
      <c r="X1357" s="1"/>
      <c r="Y1357" s="30"/>
      <c r="Z1357" s="211"/>
    </row>
    <row r="1358" spans="2:26">
      <c r="B1358" s="1"/>
      <c r="C1358" s="28"/>
      <c r="D1358" s="19"/>
      <c r="G1358" s="29"/>
      <c r="H1358" s="212"/>
      <c r="I1358" s="1"/>
      <c r="K1358" s="30"/>
      <c r="L1358" s="30"/>
      <c r="M1358" s="1"/>
      <c r="N1358" s="211"/>
      <c r="O1358" s="211"/>
      <c r="P1358" s="31"/>
      <c r="Q1358" s="211"/>
      <c r="R1358" s="211"/>
      <c r="S1358" s="31"/>
      <c r="V1358" s="1"/>
      <c r="W1358" s="1"/>
      <c r="X1358" s="1"/>
      <c r="Y1358" s="30"/>
      <c r="Z1358" s="211"/>
    </row>
    <row r="1359" spans="2:26">
      <c r="B1359" s="1"/>
      <c r="C1359" s="28"/>
      <c r="D1359" s="19"/>
      <c r="G1359" s="29"/>
      <c r="H1359" s="212"/>
      <c r="I1359" s="1"/>
      <c r="K1359" s="30"/>
      <c r="L1359" s="30"/>
      <c r="M1359" s="1"/>
      <c r="N1359" s="211"/>
      <c r="O1359" s="211"/>
      <c r="P1359" s="31"/>
      <c r="Q1359" s="211"/>
      <c r="R1359" s="211"/>
      <c r="S1359" s="31"/>
      <c r="V1359" s="1"/>
      <c r="W1359" s="1"/>
      <c r="X1359" s="1"/>
      <c r="Y1359" s="30"/>
      <c r="Z1359" s="211"/>
    </row>
    <row r="1360" spans="2:26">
      <c r="B1360" s="1"/>
      <c r="C1360" s="28"/>
      <c r="D1360" s="19"/>
      <c r="G1360" s="29"/>
      <c r="H1360" s="212"/>
      <c r="I1360" s="1"/>
      <c r="K1360" s="30"/>
      <c r="L1360" s="30"/>
      <c r="M1360" s="1"/>
      <c r="N1360" s="211"/>
      <c r="O1360" s="211"/>
      <c r="P1360" s="31"/>
      <c r="Q1360" s="211"/>
      <c r="R1360" s="211"/>
      <c r="S1360" s="31"/>
      <c r="V1360" s="1"/>
      <c r="W1360" s="1"/>
      <c r="X1360" s="1"/>
      <c r="Y1360" s="30"/>
      <c r="Z1360" s="211"/>
    </row>
    <row r="1361" spans="2:26">
      <c r="B1361" s="1"/>
      <c r="C1361" s="28"/>
      <c r="D1361" s="19"/>
      <c r="G1361" s="29"/>
      <c r="H1361" s="212"/>
      <c r="I1361" s="1"/>
      <c r="K1361" s="30"/>
      <c r="L1361" s="30"/>
      <c r="M1361" s="1"/>
      <c r="N1361" s="211"/>
      <c r="O1361" s="211"/>
      <c r="P1361" s="31"/>
      <c r="Q1361" s="211"/>
      <c r="R1361" s="211"/>
      <c r="S1361" s="31"/>
      <c r="V1361" s="1"/>
      <c r="W1361" s="1"/>
      <c r="X1361" s="1"/>
      <c r="Y1361" s="30"/>
      <c r="Z1361" s="211"/>
    </row>
    <row r="1362" spans="2:26">
      <c r="B1362" s="1"/>
      <c r="C1362" s="28"/>
      <c r="D1362" s="19"/>
      <c r="G1362" s="29"/>
      <c r="H1362" s="212"/>
      <c r="I1362" s="1"/>
      <c r="K1362" s="30"/>
      <c r="L1362" s="30"/>
      <c r="M1362" s="1"/>
      <c r="N1362" s="211"/>
      <c r="O1362" s="211"/>
      <c r="P1362" s="31"/>
      <c r="Q1362" s="211"/>
      <c r="R1362" s="211"/>
      <c r="S1362" s="31"/>
      <c r="V1362" s="1"/>
      <c r="W1362" s="1"/>
      <c r="X1362" s="1"/>
      <c r="Y1362" s="30"/>
      <c r="Z1362" s="211"/>
    </row>
    <row r="1363" spans="2:26">
      <c r="B1363" s="1"/>
      <c r="C1363" s="28"/>
      <c r="D1363" s="19"/>
      <c r="G1363" s="29"/>
      <c r="H1363" s="212"/>
      <c r="I1363" s="1"/>
      <c r="K1363" s="30"/>
      <c r="L1363" s="30"/>
      <c r="M1363" s="1"/>
      <c r="N1363" s="211"/>
      <c r="O1363" s="211"/>
      <c r="P1363" s="31"/>
      <c r="Q1363" s="211"/>
      <c r="R1363" s="211"/>
      <c r="S1363" s="31"/>
      <c r="V1363" s="1"/>
      <c r="W1363" s="1"/>
      <c r="X1363" s="1"/>
      <c r="Y1363" s="30"/>
      <c r="Z1363" s="211"/>
    </row>
    <row r="1364" spans="2:26">
      <c r="B1364" s="1"/>
      <c r="C1364" s="28"/>
      <c r="D1364" s="19"/>
      <c r="G1364" s="29"/>
      <c r="H1364" s="212"/>
      <c r="I1364" s="1"/>
      <c r="K1364" s="30"/>
      <c r="L1364" s="30"/>
      <c r="M1364" s="1"/>
      <c r="N1364" s="211"/>
      <c r="O1364" s="211"/>
      <c r="P1364" s="31"/>
      <c r="Q1364" s="211"/>
      <c r="R1364" s="211"/>
      <c r="S1364" s="31"/>
      <c r="V1364" s="1"/>
      <c r="W1364" s="1"/>
      <c r="X1364" s="1"/>
      <c r="Y1364" s="30"/>
      <c r="Z1364" s="211"/>
    </row>
    <row r="1365" spans="2:26">
      <c r="B1365" s="1"/>
      <c r="C1365" s="28"/>
      <c r="D1365" s="19"/>
      <c r="G1365" s="29"/>
      <c r="H1365" s="212"/>
      <c r="I1365" s="1"/>
      <c r="K1365" s="30"/>
      <c r="L1365" s="30"/>
      <c r="M1365" s="1"/>
      <c r="N1365" s="211"/>
      <c r="O1365" s="211"/>
      <c r="P1365" s="31"/>
      <c r="Q1365" s="211"/>
      <c r="R1365" s="211"/>
      <c r="S1365" s="31"/>
      <c r="V1365" s="1"/>
      <c r="W1365" s="1"/>
      <c r="X1365" s="1"/>
      <c r="Y1365" s="30"/>
      <c r="Z1365" s="211"/>
    </row>
    <row r="1366" spans="2:26">
      <c r="B1366" s="1"/>
      <c r="C1366" s="28"/>
      <c r="D1366" s="19"/>
      <c r="G1366" s="29"/>
      <c r="H1366" s="212"/>
      <c r="I1366" s="1"/>
      <c r="K1366" s="30"/>
      <c r="L1366" s="30"/>
      <c r="M1366" s="1"/>
      <c r="N1366" s="211"/>
      <c r="O1366" s="211"/>
      <c r="P1366" s="31"/>
      <c r="Q1366" s="211"/>
      <c r="R1366" s="211"/>
      <c r="S1366" s="31"/>
      <c r="V1366" s="1"/>
      <c r="W1366" s="1"/>
      <c r="X1366" s="1"/>
      <c r="Y1366" s="30"/>
      <c r="Z1366" s="211"/>
    </row>
    <row r="1367" spans="2:26">
      <c r="B1367" s="1"/>
      <c r="C1367" s="28"/>
      <c r="D1367" s="19"/>
      <c r="G1367" s="29"/>
      <c r="H1367" s="212"/>
      <c r="I1367" s="1"/>
      <c r="K1367" s="30"/>
      <c r="L1367" s="30"/>
      <c r="M1367" s="1"/>
      <c r="N1367" s="211"/>
      <c r="O1367" s="211"/>
      <c r="P1367" s="31"/>
      <c r="Q1367" s="211"/>
      <c r="R1367" s="211"/>
      <c r="S1367" s="31"/>
      <c r="V1367" s="1"/>
      <c r="W1367" s="1"/>
      <c r="X1367" s="1"/>
      <c r="Y1367" s="30"/>
      <c r="Z1367" s="211"/>
    </row>
    <row r="1368" spans="2:26">
      <c r="B1368" s="1"/>
      <c r="C1368" s="28"/>
      <c r="D1368" s="19"/>
      <c r="G1368" s="29"/>
      <c r="H1368" s="212"/>
      <c r="I1368" s="1"/>
      <c r="K1368" s="30"/>
      <c r="L1368" s="30"/>
      <c r="M1368" s="1"/>
      <c r="N1368" s="211"/>
      <c r="O1368" s="211"/>
      <c r="P1368" s="31"/>
      <c r="Q1368" s="211"/>
      <c r="R1368" s="211"/>
      <c r="S1368" s="31"/>
      <c r="V1368" s="1"/>
      <c r="W1368" s="1"/>
      <c r="X1368" s="1"/>
      <c r="Y1368" s="30"/>
      <c r="Z1368" s="211"/>
    </row>
    <row r="1369" spans="2:26">
      <c r="B1369" s="1"/>
      <c r="C1369" s="28"/>
      <c r="D1369" s="19"/>
      <c r="G1369" s="29"/>
      <c r="H1369" s="212"/>
      <c r="I1369" s="1"/>
      <c r="K1369" s="30"/>
      <c r="L1369" s="30"/>
      <c r="M1369" s="1"/>
      <c r="N1369" s="211"/>
      <c r="O1369" s="211"/>
      <c r="P1369" s="31"/>
      <c r="Q1369" s="211"/>
      <c r="R1369" s="211"/>
      <c r="S1369" s="31"/>
      <c r="V1369" s="1"/>
      <c r="W1369" s="1"/>
      <c r="X1369" s="1"/>
      <c r="Y1369" s="30"/>
      <c r="Z1369" s="211"/>
    </row>
    <row r="1370" spans="2:26">
      <c r="B1370" s="1"/>
      <c r="C1370" s="28"/>
      <c r="D1370" s="19"/>
      <c r="G1370" s="29"/>
      <c r="H1370" s="212"/>
      <c r="I1370" s="1"/>
      <c r="K1370" s="30"/>
      <c r="L1370" s="30"/>
      <c r="M1370" s="1"/>
      <c r="N1370" s="211"/>
      <c r="O1370" s="211"/>
      <c r="P1370" s="31"/>
      <c r="Q1370" s="211"/>
      <c r="R1370" s="211"/>
      <c r="S1370" s="31"/>
      <c r="V1370" s="1"/>
      <c r="W1370" s="1"/>
      <c r="X1370" s="1"/>
      <c r="Y1370" s="30"/>
      <c r="Z1370" s="211"/>
    </row>
    <row r="1371" spans="2:26">
      <c r="B1371" s="1"/>
      <c r="C1371" s="28"/>
      <c r="D1371" s="19"/>
      <c r="G1371" s="29"/>
      <c r="H1371" s="212"/>
      <c r="I1371" s="1"/>
      <c r="K1371" s="30"/>
      <c r="L1371" s="30"/>
      <c r="M1371" s="1"/>
      <c r="N1371" s="211"/>
      <c r="O1371" s="211"/>
      <c r="P1371" s="31"/>
      <c r="Q1371" s="211"/>
      <c r="R1371" s="211"/>
      <c r="S1371" s="31"/>
      <c r="V1371" s="1"/>
      <c r="W1371" s="1"/>
      <c r="X1371" s="1"/>
      <c r="Y1371" s="30"/>
      <c r="Z1371" s="211"/>
    </row>
    <row r="1372" spans="2:26">
      <c r="B1372" s="1"/>
      <c r="C1372" s="28"/>
      <c r="D1372" s="19"/>
      <c r="G1372" s="29"/>
      <c r="H1372" s="212"/>
      <c r="I1372" s="1"/>
      <c r="K1372" s="30"/>
      <c r="L1372" s="30"/>
      <c r="M1372" s="1"/>
      <c r="N1372" s="211"/>
      <c r="O1372" s="211"/>
      <c r="P1372" s="31"/>
      <c r="Q1372" s="211"/>
      <c r="R1372" s="211"/>
      <c r="S1372" s="31"/>
      <c r="V1372" s="1"/>
      <c r="W1372" s="1"/>
      <c r="X1372" s="1"/>
      <c r="Y1372" s="30"/>
      <c r="Z1372" s="211"/>
    </row>
    <row r="1373" spans="2:26">
      <c r="B1373" s="1"/>
      <c r="C1373" s="28"/>
      <c r="D1373" s="19"/>
      <c r="G1373" s="29"/>
      <c r="H1373" s="212"/>
      <c r="I1373" s="1"/>
      <c r="K1373" s="30"/>
      <c r="L1373" s="30"/>
      <c r="M1373" s="1"/>
      <c r="N1373" s="211"/>
      <c r="O1373" s="211"/>
      <c r="P1373" s="31"/>
      <c r="Q1373" s="211"/>
      <c r="R1373" s="211"/>
      <c r="S1373" s="31"/>
      <c r="V1373" s="1"/>
      <c r="W1373" s="1"/>
      <c r="X1373" s="1"/>
      <c r="Y1373" s="30"/>
      <c r="Z1373" s="211"/>
    </row>
    <row r="1374" spans="2:26">
      <c r="B1374" s="1"/>
      <c r="C1374" s="28"/>
      <c r="D1374" s="19"/>
      <c r="G1374" s="29"/>
      <c r="H1374" s="212"/>
      <c r="I1374" s="1"/>
      <c r="K1374" s="30"/>
      <c r="L1374" s="30"/>
      <c r="M1374" s="1"/>
      <c r="N1374" s="211"/>
      <c r="O1374" s="211"/>
      <c r="P1374" s="31"/>
      <c r="Q1374" s="211"/>
      <c r="R1374" s="211"/>
      <c r="S1374" s="31"/>
      <c r="V1374" s="1"/>
      <c r="W1374" s="1"/>
      <c r="X1374" s="1"/>
      <c r="Y1374" s="30"/>
      <c r="Z1374" s="211"/>
    </row>
    <row r="1375" spans="2:26">
      <c r="B1375" s="1"/>
      <c r="C1375" s="28"/>
      <c r="D1375" s="19"/>
      <c r="G1375" s="29"/>
      <c r="H1375" s="212"/>
      <c r="I1375" s="1"/>
      <c r="K1375" s="30"/>
      <c r="L1375" s="30"/>
      <c r="M1375" s="1"/>
      <c r="N1375" s="211"/>
      <c r="O1375" s="211"/>
      <c r="P1375" s="31"/>
      <c r="Q1375" s="211"/>
      <c r="R1375" s="211"/>
      <c r="S1375" s="31"/>
      <c r="V1375" s="1"/>
      <c r="W1375" s="1"/>
      <c r="X1375" s="1"/>
      <c r="Y1375" s="30"/>
      <c r="Z1375" s="211"/>
    </row>
    <row r="1376" spans="2:26">
      <c r="B1376" s="1"/>
      <c r="C1376" s="28"/>
      <c r="D1376" s="19"/>
      <c r="G1376" s="29"/>
      <c r="H1376" s="212"/>
      <c r="I1376" s="1"/>
      <c r="K1376" s="30"/>
      <c r="L1376" s="30"/>
      <c r="M1376" s="1"/>
      <c r="N1376" s="211"/>
      <c r="O1376" s="211"/>
      <c r="P1376" s="31"/>
      <c r="Q1376" s="211"/>
      <c r="R1376" s="211"/>
      <c r="S1376" s="31"/>
      <c r="V1376" s="1"/>
      <c r="W1376" s="1"/>
      <c r="X1376" s="1"/>
      <c r="Y1376" s="30"/>
      <c r="Z1376" s="211"/>
    </row>
    <row r="1377" spans="2:26">
      <c r="B1377" s="1"/>
      <c r="C1377" s="28"/>
      <c r="D1377" s="19"/>
      <c r="G1377" s="29"/>
      <c r="H1377" s="212"/>
      <c r="I1377" s="1"/>
      <c r="K1377" s="30"/>
      <c r="L1377" s="30"/>
      <c r="M1377" s="1"/>
      <c r="N1377" s="211"/>
      <c r="O1377" s="211"/>
      <c r="P1377" s="31"/>
      <c r="Q1377" s="211"/>
      <c r="R1377" s="211"/>
      <c r="S1377" s="31"/>
      <c r="V1377" s="1"/>
      <c r="W1377" s="1"/>
      <c r="X1377" s="1"/>
      <c r="Y1377" s="30"/>
      <c r="Z1377" s="211"/>
    </row>
    <row r="1378" spans="2:26">
      <c r="B1378" s="1"/>
      <c r="C1378" s="28"/>
      <c r="D1378" s="19"/>
      <c r="G1378" s="29"/>
      <c r="H1378" s="212"/>
      <c r="I1378" s="1"/>
      <c r="K1378" s="30"/>
      <c r="L1378" s="30"/>
      <c r="M1378" s="1"/>
      <c r="N1378" s="211"/>
      <c r="O1378" s="211"/>
      <c r="P1378" s="31"/>
      <c r="Q1378" s="211"/>
      <c r="R1378" s="211"/>
      <c r="S1378" s="31"/>
      <c r="V1378" s="1"/>
      <c r="W1378" s="1"/>
      <c r="X1378" s="1"/>
      <c r="Y1378" s="30"/>
      <c r="Z1378" s="211"/>
    </row>
    <row r="1379" spans="2:26">
      <c r="B1379" s="1"/>
      <c r="C1379" s="28"/>
      <c r="D1379" s="19"/>
      <c r="G1379" s="29"/>
      <c r="H1379" s="212"/>
      <c r="I1379" s="1"/>
      <c r="K1379" s="30"/>
      <c r="L1379" s="30"/>
      <c r="M1379" s="1"/>
      <c r="N1379" s="211"/>
      <c r="O1379" s="211"/>
      <c r="P1379" s="31"/>
      <c r="Q1379" s="211"/>
      <c r="R1379" s="211"/>
      <c r="S1379" s="31"/>
      <c r="V1379" s="1"/>
      <c r="W1379" s="1"/>
      <c r="X1379" s="1"/>
      <c r="Y1379" s="30"/>
      <c r="Z1379" s="211"/>
    </row>
    <row r="1380" spans="2:26">
      <c r="B1380" s="1"/>
      <c r="C1380" s="28"/>
      <c r="D1380" s="19"/>
      <c r="G1380" s="29"/>
      <c r="H1380" s="212"/>
      <c r="I1380" s="1"/>
      <c r="K1380" s="30"/>
      <c r="L1380" s="30"/>
      <c r="M1380" s="1"/>
      <c r="N1380" s="211"/>
      <c r="O1380" s="211"/>
      <c r="P1380" s="31"/>
      <c r="Q1380" s="211"/>
      <c r="R1380" s="211"/>
      <c r="S1380" s="31"/>
      <c r="V1380" s="1"/>
      <c r="W1380" s="1"/>
      <c r="X1380" s="1"/>
      <c r="Y1380" s="30"/>
      <c r="Z1380" s="211"/>
    </row>
    <row r="1381" spans="2:26">
      <c r="B1381" s="1"/>
      <c r="C1381" s="28"/>
      <c r="D1381" s="19"/>
      <c r="G1381" s="29"/>
      <c r="H1381" s="212"/>
      <c r="I1381" s="1"/>
      <c r="K1381" s="30"/>
      <c r="L1381" s="30"/>
      <c r="M1381" s="1"/>
      <c r="N1381" s="211"/>
      <c r="O1381" s="211"/>
      <c r="P1381" s="31"/>
      <c r="Q1381" s="211"/>
      <c r="R1381" s="211"/>
      <c r="S1381" s="31"/>
      <c r="V1381" s="1"/>
      <c r="W1381" s="1"/>
      <c r="X1381" s="1"/>
      <c r="Y1381" s="30"/>
      <c r="Z1381" s="211"/>
    </row>
    <row r="1382" spans="2:26">
      <c r="B1382" s="1"/>
      <c r="C1382" s="28"/>
      <c r="D1382" s="19"/>
      <c r="G1382" s="29"/>
      <c r="H1382" s="212"/>
      <c r="I1382" s="1"/>
      <c r="K1382" s="30"/>
      <c r="L1382" s="30"/>
      <c r="M1382" s="1"/>
      <c r="N1382" s="211"/>
      <c r="O1382" s="211"/>
      <c r="P1382" s="31"/>
      <c r="Q1382" s="211"/>
      <c r="R1382" s="211"/>
      <c r="S1382" s="31"/>
      <c r="V1382" s="1"/>
      <c r="W1382" s="1"/>
      <c r="X1382" s="1"/>
      <c r="Y1382" s="30"/>
      <c r="Z1382" s="211"/>
    </row>
    <row r="1383" spans="2:26">
      <c r="B1383" s="1"/>
      <c r="C1383" s="28"/>
      <c r="D1383" s="19"/>
      <c r="G1383" s="29"/>
      <c r="H1383" s="212"/>
      <c r="I1383" s="1"/>
      <c r="K1383" s="30"/>
      <c r="L1383" s="30"/>
      <c r="M1383" s="1"/>
      <c r="N1383" s="211"/>
      <c r="O1383" s="211"/>
      <c r="P1383" s="31"/>
      <c r="Q1383" s="211"/>
      <c r="R1383" s="211"/>
      <c r="S1383" s="31"/>
      <c r="V1383" s="1"/>
      <c r="W1383" s="1"/>
      <c r="X1383" s="1"/>
      <c r="Y1383" s="30"/>
      <c r="Z1383" s="211"/>
    </row>
    <row r="1384" spans="2:26">
      <c r="B1384" s="1"/>
      <c r="C1384" s="28"/>
      <c r="D1384" s="19"/>
      <c r="G1384" s="29"/>
      <c r="H1384" s="212"/>
      <c r="I1384" s="1"/>
      <c r="K1384" s="30"/>
      <c r="L1384" s="30"/>
      <c r="M1384" s="1"/>
      <c r="N1384" s="211"/>
      <c r="O1384" s="211"/>
      <c r="P1384" s="31"/>
      <c r="Q1384" s="211"/>
      <c r="R1384" s="211"/>
      <c r="S1384" s="31"/>
      <c r="V1384" s="1"/>
      <c r="W1384" s="1"/>
      <c r="X1384" s="1"/>
      <c r="Y1384" s="30"/>
      <c r="Z1384" s="211"/>
    </row>
    <row r="1385" spans="2:26">
      <c r="B1385" s="1"/>
      <c r="C1385" s="28"/>
      <c r="D1385" s="19"/>
      <c r="G1385" s="29"/>
      <c r="H1385" s="212"/>
      <c r="I1385" s="1"/>
      <c r="K1385" s="30"/>
      <c r="L1385" s="30"/>
      <c r="M1385" s="1"/>
      <c r="N1385" s="211"/>
      <c r="O1385" s="211"/>
      <c r="P1385" s="31"/>
      <c r="Q1385" s="211"/>
      <c r="R1385" s="211"/>
      <c r="S1385" s="31"/>
      <c r="V1385" s="1"/>
      <c r="W1385" s="1"/>
      <c r="X1385" s="1"/>
      <c r="Y1385" s="30"/>
      <c r="Z1385" s="211"/>
    </row>
    <row r="1386" spans="2:26">
      <c r="B1386" s="1"/>
      <c r="C1386" s="28"/>
      <c r="D1386" s="19"/>
      <c r="G1386" s="29"/>
      <c r="H1386" s="212"/>
      <c r="I1386" s="1"/>
      <c r="K1386" s="30"/>
      <c r="L1386" s="30"/>
      <c r="M1386" s="1"/>
      <c r="N1386" s="211"/>
      <c r="O1386" s="211"/>
      <c r="P1386" s="31"/>
      <c r="Q1386" s="211"/>
      <c r="R1386" s="211"/>
      <c r="S1386" s="31"/>
      <c r="V1386" s="1"/>
      <c r="W1386" s="1"/>
      <c r="X1386" s="1"/>
      <c r="Y1386" s="30"/>
      <c r="Z1386" s="211"/>
    </row>
    <row r="1387" spans="2:26">
      <c r="B1387" s="1"/>
      <c r="C1387" s="28"/>
      <c r="D1387" s="19"/>
      <c r="G1387" s="29"/>
      <c r="H1387" s="212"/>
      <c r="I1387" s="1"/>
      <c r="K1387" s="30"/>
      <c r="L1387" s="30"/>
      <c r="M1387" s="1"/>
      <c r="N1387" s="211"/>
      <c r="O1387" s="211"/>
      <c r="P1387" s="31"/>
      <c r="Q1387" s="211"/>
      <c r="R1387" s="211"/>
      <c r="S1387" s="31"/>
      <c r="V1387" s="1"/>
      <c r="W1387" s="1"/>
      <c r="X1387" s="1"/>
      <c r="Y1387" s="30"/>
      <c r="Z1387" s="211"/>
    </row>
    <row r="1388" spans="2:26">
      <c r="B1388" s="1"/>
      <c r="C1388" s="28"/>
      <c r="D1388" s="19"/>
      <c r="G1388" s="29"/>
      <c r="H1388" s="212"/>
      <c r="I1388" s="1"/>
      <c r="K1388" s="30"/>
      <c r="L1388" s="30"/>
      <c r="M1388" s="1"/>
      <c r="N1388" s="211"/>
      <c r="O1388" s="211"/>
      <c r="P1388" s="31"/>
      <c r="Q1388" s="211"/>
      <c r="R1388" s="211"/>
      <c r="S1388" s="31"/>
      <c r="V1388" s="1"/>
      <c r="W1388" s="1"/>
      <c r="X1388" s="1"/>
      <c r="Y1388" s="30"/>
      <c r="Z1388" s="211"/>
    </row>
    <row r="1389" spans="2:26">
      <c r="B1389" s="1"/>
      <c r="C1389" s="28"/>
      <c r="D1389" s="19"/>
      <c r="G1389" s="29"/>
      <c r="H1389" s="212"/>
      <c r="I1389" s="1"/>
      <c r="K1389" s="30"/>
      <c r="L1389" s="30"/>
      <c r="M1389" s="1"/>
      <c r="N1389" s="211"/>
      <c r="O1389" s="211"/>
      <c r="P1389" s="31"/>
      <c r="Q1389" s="211"/>
      <c r="R1389" s="211"/>
      <c r="S1389" s="31"/>
      <c r="V1389" s="1"/>
      <c r="W1389" s="1"/>
      <c r="X1389" s="1"/>
      <c r="Y1389" s="30"/>
      <c r="Z1389" s="211"/>
    </row>
    <row r="1390" spans="2:26">
      <c r="B1390" s="1"/>
      <c r="C1390" s="28"/>
      <c r="D1390" s="19"/>
      <c r="G1390" s="29"/>
      <c r="H1390" s="212"/>
      <c r="I1390" s="1"/>
      <c r="K1390" s="30"/>
      <c r="L1390" s="30"/>
      <c r="M1390" s="1"/>
      <c r="N1390" s="211"/>
      <c r="O1390" s="211"/>
      <c r="P1390" s="31"/>
      <c r="Q1390" s="211"/>
      <c r="R1390" s="211"/>
      <c r="S1390" s="31"/>
      <c r="V1390" s="1"/>
      <c r="W1390" s="1"/>
      <c r="X1390" s="1"/>
      <c r="Y1390" s="30"/>
      <c r="Z1390" s="211"/>
    </row>
    <row r="1391" spans="2:26">
      <c r="B1391" s="1"/>
      <c r="C1391" s="28"/>
      <c r="D1391" s="19"/>
      <c r="G1391" s="29"/>
      <c r="H1391" s="212"/>
      <c r="I1391" s="1"/>
      <c r="K1391" s="30"/>
      <c r="L1391" s="30"/>
      <c r="M1391" s="1"/>
      <c r="N1391" s="211"/>
      <c r="O1391" s="211"/>
      <c r="P1391" s="31"/>
      <c r="Q1391" s="211"/>
      <c r="R1391" s="211"/>
      <c r="S1391" s="31"/>
      <c r="V1391" s="1"/>
      <c r="W1391" s="1"/>
      <c r="X1391" s="1"/>
      <c r="Y1391" s="30"/>
      <c r="Z1391" s="211"/>
    </row>
    <row r="1392" spans="2:26">
      <c r="B1392" s="1"/>
      <c r="C1392" s="28"/>
      <c r="D1392" s="19"/>
      <c r="G1392" s="29"/>
      <c r="H1392" s="212"/>
      <c r="I1392" s="1"/>
      <c r="K1392" s="30"/>
      <c r="L1392" s="30"/>
      <c r="M1392" s="1"/>
      <c r="N1392" s="211"/>
      <c r="O1392" s="211"/>
      <c r="P1392" s="31"/>
      <c r="Q1392" s="211"/>
      <c r="R1392" s="211"/>
      <c r="S1392" s="31"/>
      <c r="V1392" s="1"/>
      <c r="W1392" s="1"/>
      <c r="X1392" s="1"/>
      <c r="Y1392" s="30"/>
      <c r="Z1392" s="211"/>
    </row>
    <row r="1393" spans="2:26">
      <c r="B1393" s="1"/>
      <c r="C1393" s="28"/>
      <c r="D1393" s="19"/>
      <c r="G1393" s="29"/>
      <c r="H1393" s="212"/>
      <c r="I1393" s="1"/>
      <c r="K1393" s="30"/>
      <c r="L1393" s="30"/>
      <c r="M1393" s="1"/>
      <c r="N1393" s="211"/>
      <c r="O1393" s="211"/>
      <c r="P1393" s="31"/>
      <c r="Q1393" s="211"/>
      <c r="R1393" s="211"/>
      <c r="S1393" s="31"/>
      <c r="V1393" s="1"/>
      <c r="W1393" s="1"/>
      <c r="X1393" s="1"/>
      <c r="Y1393" s="30"/>
      <c r="Z1393" s="211"/>
    </row>
    <row r="1394" spans="2:26">
      <c r="B1394" s="1"/>
      <c r="C1394" s="28"/>
      <c r="D1394" s="19"/>
      <c r="G1394" s="29"/>
      <c r="H1394" s="212"/>
      <c r="I1394" s="1"/>
      <c r="K1394" s="30"/>
      <c r="L1394" s="30"/>
      <c r="M1394" s="1"/>
      <c r="N1394" s="211"/>
      <c r="O1394" s="211"/>
      <c r="P1394" s="31"/>
      <c r="Q1394" s="211"/>
      <c r="R1394" s="211"/>
      <c r="S1394" s="31"/>
      <c r="V1394" s="1"/>
      <c r="W1394" s="1"/>
      <c r="X1394" s="1"/>
      <c r="Y1394" s="30"/>
      <c r="Z1394" s="211"/>
    </row>
    <row r="1395" spans="2:26">
      <c r="B1395" s="1"/>
      <c r="C1395" s="28"/>
      <c r="D1395" s="19"/>
      <c r="G1395" s="29"/>
      <c r="H1395" s="212"/>
      <c r="I1395" s="1"/>
      <c r="K1395" s="30"/>
      <c r="L1395" s="30"/>
      <c r="M1395" s="1"/>
      <c r="N1395" s="211"/>
      <c r="O1395" s="211"/>
      <c r="P1395" s="31"/>
      <c r="Q1395" s="211"/>
      <c r="R1395" s="211"/>
      <c r="S1395" s="31"/>
      <c r="V1395" s="1"/>
      <c r="W1395" s="1"/>
      <c r="X1395" s="1"/>
      <c r="Y1395" s="30"/>
      <c r="Z1395" s="211"/>
    </row>
    <row r="1396" spans="2:26">
      <c r="B1396" s="1"/>
      <c r="C1396" s="28"/>
      <c r="D1396" s="19"/>
      <c r="G1396" s="29"/>
      <c r="H1396" s="212"/>
      <c r="I1396" s="1"/>
      <c r="K1396" s="30"/>
      <c r="L1396" s="30"/>
      <c r="M1396" s="1"/>
      <c r="N1396" s="211"/>
      <c r="O1396" s="211"/>
      <c r="P1396" s="31"/>
      <c r="Q1396" s="211"/>
      <c r="R1396" s="211"/>
      <c r="S1396" s="31"/>
      <c r="V1396" s="1"/>
      <c r="W1396" s="1"/>
      <c r="X1396" s="1"/>
      <c r="Y1396" s="30"/>
      <c r="Z1396" s="211"/>
    </row>
    <row r="1397" spans="2:26">
      <c r="B1397" s="1"/>
      <c r="C1397" s="28"/>
      <c r="D1397" s="19"/>
      <c r="G1397" s="29"/>
      <c r="H1397" s="212"/>
      <c r="I1397" s="1"/>
      <c r="K1397" s="30"/>
      <c r="L1397" s="30"/>
      <c r="M1397" s="1"/>
      <c r="N1397" s="211"/>
      <c r="O1397" s="211"/>
      <c r="P1397" s="31"/>
      <c r="Q1397" s="211"/>
      <c r="R1397" s="211"/>
      <c r="S1397" s="31"/>
      <c r="V1397" s="1"/>
      <c r="W1397" s="1"/>
      <c r="X1397" s="1"/>
      <c r="Y1397" s="30"/>
      <c r="Z1397" s="211"/>
    </row>
    <row r="1398" spans="2:26">
      <c r="B1398" s="1"/>
      <c r="C1398" s="28"/>
      <c r="D1398" s="19"/>
      <c r="G1398" s="29"/>
      <c r="H1398" s="212"/>
      <c r="I1398" s="1"/>
      <c r="K1398" s="30"/>
      <c r="L1398" s="30"/>
      <c r="M1398" s="1"/>
      <c r="N1398" s="211"/>
      <c r="O1398" s="211"/>
      <c r="P1398" s="31"/>
      <c r="Q1398" s="211"/>
      <c r="R1398" s="211"/>
      <c r="S1398" s="31"/>
      <c r="V1398" s="1"/>
      <c r="W1398" s="1"/>
      <c r="X1398" s="1"/>
      <c r="Y1398" s="30"/>
      <c r="Z1398" s="211"/>
    </row>
    <row r="1399" spans="2:26">
      <c r="B1399" s="1"/>
      <c r="C1399" s="28"/>
      <c r="D1399" s="19"/>
      <c r="G1399" s="29"/>
      <c r="H1399" s="212"/>
      <c r="I1399" s="1"/>
      <c r="K1399" s="30"/>
      <c r="L1399" s="30"/>
      <c r="M1399" s="1"/>
      <c r="N1399" s="211"/>
      <c r="O1399" s="211"/>
      <c r="P1399" s="31"/>
      <c r="Q1399" s="211"/>
      <c r="R1399" s="211"/>
      <c r="S1399" s="31"/>
      <c r="V1399" s="1"/>
      <c r="W1399" s="1"/>
      <c r="X1399" s="1"/>
      <c r="Y1399" s="30"/>
      <c r="Z1399" s="211"/>
    </row>
    <row r="1400" spans="2:26">
      <c r="B1400" s="1"/>
      <c r="C1400" s="28"/>
      <c r="D1400" s="19"/>
      <c r="G1400" s="29"/>
      <c r="H1400" s="212"/>
      <c r="I1400" s="1"/>
      <c r="K1400" s="30"/>
      <c r="L1400" s="30"/>
      <c r="M1400" s="1"/>
      <c r="N1400" s="211"/>
      <c r="O1400" s="211"/>
      <c r="P1400" s="31"/>
      <c r="Q1400" s="211"/>
      <c r="R1400" s="211"/>
      <c r="S1400" s="31"/>
      <c r="V1400" s="1"/>
      <c r="W1400" s="1"/>
      <c r="X1400" s="1"/>
      <c r="Y1400" s="30"/>
      <c r="Z1400" s="211"/>
    </row>
    <row r="1401" spans="2:26">
      <c r="B1401" s="1"/>
      <c r="C1401" s="28"/>
      <c r="D1401" s="19"/>
      <c r="G1401" s="29"/>
      <c r="H1401" s="212"/>
      <c r="I1401" s="1"/>
      <c r="K1401" s="30"/>
      <c r="L1401" s="30"/>
      <c r="M1401" s="1"/>
      <c r="N1401" s="211"/>
      <c r="O1401" s="211"/>
      <c r="P1401" s="31"/>
      <c r="Q1401" s="211"/>
      <c r="R1401" s="211"/>
      <c r="S1401" s="31"/>
      <c r="V1401" s="1"/>
      <c r="W1401" s="1"/>
      <c r="X1401" s="1"/>
      <c r="Y1401" s="30"/>
      <c r="Z1401" s="211"/>
    </row>
    <row r="1402" spans="2:26">
      <c r="B1402" s="1"/>
      <c r="C1402" s="28"/>
      <c r="D1402" s="19"/>
      <c r="G1402" s="29"/>
      <c r="H1402" s="212"/>
      <c r="I1402" s="1"/>
      <c r="K1402" s="30"/>
      <c r="L1402" s="30"/>
      <c r="M1402" s="1"/>
      <c r="N1402" s="211"/>
      <c r="O1402" s="211"/>
      <c r="P1402" s="31"/>
      <c r="Q1402" s="211"/>
      <c r="R1402" s="211"/>
      <c r="S1402" s="31"/>
      <c r="V1402" s="1"/>
      <c r="W1402" s="1"/>
      <c r="X1402" s="1"/>
      <c r="Y1402" s="30"/>
      <c r="Z1402" s="211"/>
    </row>
    <row r="1403" spans="2:26">
      <c r="B1403" s="1"/>
      <c r="C1403" s="28"/>
      <c r="D1403" s="19"/>
      <c r="G1403" s="29"/>
      <c r="H1403" s="212"/>
      <c r="I1403" s="1"/>
      <c r="K1403" s="30"/>
      <c r="L1403" s="30"/>
      <c r="M1403" s="1"/>
      <c r="N1403" s="211"/>
      <c r="O1403" s="211"/>
      <c r="P1403" s="31"/>
      <c r="Q1403" s="211"/>
      <c r="R1403" s="211"/>
      <c r="S1403" s="31"/>
      <c r="V1403" s="1"/>
      <c r="W1403" s="1"/>
      <c r="X1403" s="1"/>
      <c r="Y1403" s="30"/>
      <c r="Z1403" s="211"/>
    </row>
    <row r="1404" spans="2:26">
      <c r="B1404" s="1"/>
      <c r="C1404" s="28"/>
      <c r="D1404" s="19"/>
      <c r="G1404" s="29"/>
      <c r="H1404" s="212"/>
      <c r="I1404" s="1"/>
      <c r="K1404" s="30"/>
      <c r="L1404" s="30"/>
      <c r="M1404" s="1"/>
      <c r="N1404" s="211"/>
      <c r="O1404" s="211"/>
      <c r="P1404" s="31"/>
      <c r="Q1404" s="211"/>
      <c r="R1404" s="211"/>
      <c r="S1404" s="31"/>
      <c r="V1404" s="1"/>
      <c r="W1404" s="1"/>
      <c r="X1404" s="1"/>
      <c r="Y1404" s="30"/>
      <c r="Z1404" s="211"/>
    </row>
    <row r="1405" spans="2:26">
      <c r="B1405" s="1"/>
      <c r="C1405" s="28"/>
      <c r="D1405" s="19"/>
      <c r="G1405" s="29"/>
      <c r="H1405" s="212"/>
      <c r="I1405" s="1"/>
      <c r="K1405" s="30"/>
      <c r="L1405" s="30"/>
      <c r="M1405" s="1"/>
      <c r="N1405" s="211"/>
      <c r="O1405" s="211"/>
      <c r="P1405" s="31"/>
      <c r="Q1405" s="211"/>
      <c r="R1405" s="211"/>
      <c r="S1405" s="31"/>
      <c r="V1405" s="1"/>
      <c r="W1405" s="1"/>
      <c r="X1405" s="1"/>
      <c r="Y1405" s="30"/>
      <c r="Z1405" s="211"/>
    </row>
    <row r="1406" spans="2:26">
      <c r="B1406" s="1"/>
      <c r="C1406" s="28"/>
      <c r="D1406" s="19"/>
      <c r="G1406" s="29"/>
      <c r="H1406" s="212"/>
      <c r="I1406" s="1"/>
      <c r="K1406" s="30"/>
      <c r="L1406" s="30"/>
      <c r="M1406" s="1"/>
      <c r="N1406" s="211"/>
      <c r="O1406" s="211"/>
      <c r="P1406" s="31"/>
      <c r="Q1406" s="211"/>
      <c r="R1406" s="211"/>
      <c r="S1406" s="31"/>
      <c r="V1406" s="1"/>
      <c r="W1406" s="1"/>
      <c r="X1406" s="1"/>
      <c r="Y1406" s="30"/>
      <c r="Z1406" s="211"/>
    </row>
    <row r="1407" spans="2:26">
      <c r="B1407" s="1"/>
      <c r="C1407" s="28"/>
      <c r="D1407" s="19"/>
      <c r="G1407" s="29"/>
      <c r="H1407" s="212"/>
      <c r="I1407" s="1"/>
      <c r="K1407" s="30"/>
      <c r="L1407" s="30"/>
      <c r="M1407" s="1"/>
      <c r="N1407" s="211"/>
      <c r="O1407" s="211"/>
      <c r="P1407" s="31"/>
      <c r="Q1407" s="211"/>
      <c r="R1407" s="211"/>
      <c r="S1407" s="31"/>
      <c r="V1407" s="1"/>
      <c r="W1407" s="1"/>
      <c r="X1407" s="1"/>
      <c r="Y1407" s="30"/>
      <c r="Z1407" s="211"/>
    </row>
    <row r="1408" spans="2:26">
      <c r="B1408" s="1"/>
      <c r="C1408" s="28"/>
      <c r="D1408" s="19"/>
      <c r="G1408" s="29"/>
      <c r="H1408" s="212"/>
      <c r="I1408" s="1"/>
      <c r="K1408" s="30"/>
      <c r="L1408" s="30"/>
      <c r="M1408" s="1"/>
      <c r="N1408" s="211"/>
      <c r="O1408" s="211"/>
      <c r="P1408" s="31"/>
      <c r="Q1408" s="211"/>
      <c r="R1408" s="211"/>
      <c r="S1408" s="31"/>
      <c r="V1408" s="1"/>
      <c r="W1408" s="1"/>
      <c r="X1408" s="1"/>
      <c r="Y1408" s="30"/>
      <c r="Z1408" s="211"/>
    </row>
    <row r="1409" spans="2:26">
      <c r="B1409" s="1"/>
      <c r="C1409" s="28"/>
      <c r="D1409" s="19"/>
      <c r="G1409" s="29"/>
      <c r="H1409" s="212"/>
      <c r="I1409" s="1"/>
      <c r="K1409" s="30"/>
      <c r="L1409" s="30"/>
      <c r="M1409" s="1"/>
      <c r="N1409" s="211"/>
      <c r="O1409" s="211"/>
      <c r="P1409" s="31"/>
      <c r="Q1409" s="211"/>
      <c r="R1409" s="211"/>
      <c r="S1409" s="31"/>
      <c r="V1409" s="1"/>
      <c r="W1409" s="1"/>
      <c r="X1409" s="1"/>
      <c r="Y1409" s="30"/>
      <c r="Z1409" s="211"/>
    </row>
    <row r="1428" spans="8:8">
      <c r="H1428" s="212"/>
    </row>
    <row r="1440" spans="8:8">
      <c r="H1440" s="212"/>
    </row>
  </sheetData>
  <autoFilter ref="A5:Z1449" xr:uid="{00000000-0009-0000-0000-000000000000}">
    <sortState xmlns:xlrd2="http://schemas.microsoft.com/office/spreadsheetml/2017/richdata2" ref="A6:Z1435">
      <sortCondition ref="C5:C1430"/>
    </sortState>
  </autoFilter>
  <mergeCells count="2">
    <mergeCell ref="A1:Z1"/>
    <mergeCell ref="A4:Z4"/>
  </mergeCells>
  <phoneticPr fontId="47" type="noConversion"/>
  <conditionalFormatting sqref="A1410:A2994 A3:A5">
    <cfRule type="containsText" dxfId="4451" priority="1469" operator="containsText" text="Quote Sent">
      <formula>NOT(ISERROR(SEARCH("Quote Sent",A3)))</formula>
    </cfRule>
    <cfRule type="containsText" dxfId="4450" priority="1470" operator="containsText" text="Quote Sent">
      <formula>NOT(ISERROR(SEARCH("Quote Sent",A3)))</formula>
    </cfRule>
    <cfRule type="containsText" dxfId="4449" priority="2453" operator="containsText" text="E-Mail Sent">
      <formula>NOT(ISERROR(SEARCH("E-Mail Sent",A3)))</formula>
    </cfRule>
    <cfRule type="containsText" dxfId="4448" priority="2454" operator="containsText" text="E Mail">
      <formula>NOT(ISERROR(SEARCH("E Mail",A3)))</formula>
    </cfRule>
  </conditionalFormatting>
  <conditionalFormatting sqref="B1410:Z2994">
    <cfRule type="expression" dxfId="4447" priority="1465">
      <formula>$D1410="Cancel-Decline"</formula>
    </cfRule>
    <cfRule type="expression" dxfId="4446" priority="1466">
      <formula>$D1410="Funded"</formula>
    </cfRule>
    <cfRule type="expression" dxfId="4445" priority="1467">
      <formula>$D1410="Conditionally Approved"</formula>
    </cfRule>
    <cfRule type="expression" dxfId="4444" priority="1468">
      <formula>$D1410="Quote Sent"</formula>
    </cfRule>
    <cfRule type="expression" dxfId="4443" priority="1538">
      <formula>$D1410="Potential Cancel"</formula>
    </cfRule>
    <cfRule type="expression" dxfId="4442" priority="1539">
      <formula>$D1410="Suspended-Restructure"</formula>
    </cfRule>
    <cfRule type="expression" dxfId="4441" priority="1540">
      <formula>$D1410="Clear to Close"</formula>
    </cfRule>
    <cfRule type="expression" dxfId="4440" priority="1541">
      <formula>$D1410="Submitted to Underwriting"</formula>
    </cfRule>
    <cfRule type="expression" dxfId="4439" priority="2539">
      <formula>$D1410="Responded"</formula>
    </cfRule>
    <cfRule type="expression" dxfId="4438" priority="2540">
      <formula>$D1410="Locked!"</formula>
    </cfRule>
    <cfRule type="expression" dxfId="4437" priority="2541">
      <formula>$D1410="E-signed!"</formula>
    </cfRule>
    <cfRule type="expression" dxfId="4436" priority="2542">
      <formula>$D1410="Docs Received!"</formula>
    </cfRule>
    <cfRule type="expression" dxfId="4435" priority="2543">
      <formula>$D1410="Disclosures Going Out..."</formula>
    </cfRule>
    <cfRule type="expression" dxfId="4434" priority="2544">
      <formula>$D1410="Disclosures Sent!"</formula>
    </cfRule>
    <cfRule type="expression" dxfId="4433" priority="2545">
      <formula>$D1410="FIGURE - Link Sent!"</formula>
    </cfRule>
    <cfRule type="expression" dxfId="4432" priority="2546">
      <formula>$D1410="Hard Money Opportunity"</formula>
    </cfRule>
    <cfRule type="expression" dxfId="4431" priority="2547">
      <formula>$D1410="Communicating..."</formula>
    </cfRule>
    <cfRule type="expression" dxfId="4430" priority="2548">
      <formula>$D1410="Not Interested"</formula>
    </cfRule>
    <cfRule type="expression" dxfId="4429" priority="2549">
      <formula>$D1410="APP - Pitched &gt; Follow up"</formula>
    </cfRule>
    <cfRule type="expression" dxfId="4428" priority="2550">
      <formula>$D1410="Appt Scheduled"</formula>
    </cfRule>
    <cfRule type="expression" dxfId="4427" priority="2551">
      <formula>$D1410="Reverse Mortgage Opportunity"</formula>
    </cfRule>
    <cfRule type="expression" dxfId="4426" priority="2552">
      <formula>$D1410="Purchase"</formula>
    </cfRule>
    <cfRule type="expression" dxfId="4425" priority="2553">
      <formula>$D1410="Verified Approval Letter"</formula>
    </cfRule>
    <cfRule type="expression" dxfId="4424" priority="2554">
      <formula>$D1410="*Thinking about it*"</formula>
    </cfRule>
    <cfRule type="expression" dxfId="4423" priority="2555">
      <formula>$D1410="DNQ"</formula>
    </cfRule>
    <cfRule type="expression" dxfId="4422" priority="2556">
      <formula>$D1410="Commercial/Business Loan"</formula>
    </cfRule>
    <cfRule type="expression" dxfId="4421" priority="2557">
      <formula>$D1410="Credit - Wayfinder"</formula>
    </cfRule>
    <cfRule type="expression" dxfId="4420" priority="2558">
      <formula>$D1410="Match or Beat"</formula>
    </cfRule>
    <cfRule type="expression" dxfId="4419" priority="2559">
      <formula>$D1410="Future Deal"</formula>
    </cfRule>
    <cfRule type="expression" dxfId="4418" priority="2560">
      <formula>$D1410="Prospect -Email Sent"</formula>
    </cfRule>
    <cfRule type="expression" dxfId="4417" priority="2561">
      <formula>$D1410="STOP!"</formula>
    </cfRule>
    <cfRule type="expression" dxfId="4416" priority="2562">
      <formula>$D1410="No Benefit"</formula>
    </cfRule>
    <cfRule type="expression" dxfId="4415" priority="2563">
      <formula>$D1410="Went With Another Lender"</formula>
    </cfRule>
    <cfRule type="expression" dxfId="4414" priority="2582">
      <formula>$D1410="LOCKED!"</formula>
    </cfRule>
    <cfRule type="expression" dxfId="4413" priority="2583">
      <formula>$D1410="APP - Pitched &gt; Follow Up!"</formula>
    </cfRule>
    <cfRule type="expression" dxfId="4412" priority="2588">
      <formula>$D1410="Prospect - Appt Scheduled"</formula>
    </cfRule>
    <cfRule type="expression" dxfId="4411" priority="2589">
      <formula>$D1410="Appt Scheduled"</formula>
    </cfRule>
  </conditionalFormatting>
  <conditionalFormatting sqref="Y421:Y615 Y643:Y757 Y759:Y788 Y790:Y935 Y1152:Y1217 Y1222:Y1295 Y1298:Y1347 Y1349:Y1409 Y6:Y322">
    <cfRule type="containsText" dxfId="4410" priority="1330" operator="containsText" text="Green">
      <formula>NOT(ISERROR(SEARCH("Green",Y6)))</formula>
    </cfRule>
    <cfRule type="containsText" dxfId="4409" priority="1331" operator="containsText" text="Tandem">
      <formula>NOT(ISERROR(SEARCH("Tandem",Y6)))</formula>
    </cfRule>
    <cfRule type="containsText" dxfId="4408" priority="1332" operator="containsText" text="FRU">
      <formula>NOT(ISERROR(SEARCH("FRU",Y6)))</formula>
    </cfRule>
    <cfRule type="containsText" dxfId="4407" priority="1333" operator="containsText" text="LP">
      <formula>NOT(ISERROR(SEARCH("LP",Y6)))</formula>
    </cfRule>
    <cfRule type="containsText" dxfId="4406" priority="1334" operator="containsText" text="LT">
      <formula>NOT(ISERROR(SEARCH("LT",Y6)))</formula>
    </cfRule>
  </conditionalFormatting>
  <conditionalFormatting sqref="D72 B73:Z159 B160:E161 G160:Z161 B162:Z322 B421:Z548 C549:Z549 B550:Z599 B602:Z615 B600:F601 H600:Z601 B643:Z757 B759:Z788 B790:Z935 B1152:Z1173 B1174:N1174 Q1174:Z1174 B1175:Z1217 B1222:Z1295 B1298:Z1347 B1349:Z1409 B6:Z71">
    <cfRule type="expression" dxfId="4405" priority="1198">
      <formula>$D6="Cancel-Decline"</formula>
    </cfRule>
    <cfRule type="expression" dxfId="4404" priority="1199">
      <formula>$D6="Funded"</formula>
    </cfRule>
    <cfRule type="expression" dxfId="4403" priority="1335">
      <formula>$D6="0 - MessageError!"</formula>
    </cfRule>
    <cfRule type="expression" dxfId="4402" priority="1336">
      <formula>$D6="9- Changed Mind"</formula>
    </cfRule>
    <cfRule type="expression" dxfId="4401" priority="1337">
      <formula>$D6="8- Home Values"</formula>
    </cfRule>
    <cfRule type="expression" dxfId="4400" priority="1338">
      <formula>$D6="7- Market Drop"</formula>
    </cfRule>
    <cfRule type="expression" dxfId="4399" priority="1339">
      <formula>$D6="6- Another Lender"</formula>
    </cfRule>
    <cfRule type="expression" dxfId="4398" priority="1340">
      <formula>$D6="5- ChangedMind?"</formula>
    </cfRule>
    <cfRule type="expression" dxfId="4397" priority="1341">
      <formula>$D6="4- Don'tQualify"</formula>
    </cfRule>
    <cfRule type="expression" dxfId="4396" priority="1342">
      <formula>$D6="3- CashOut"</formula>
    </cfRule>
    <cfRule type="expression" dxfId="4395" priority="1343">
      <formula>$D6="2- RevisedQuote"</formula>
    </cfRule>
    <cfRule type="expression" dxfId="4394" priority="1344">
      <formula>$D6="1- FollowUp"</formula>
    </cfRule>
    <cfRule type="expression" dxfId="4393" priority="1345" stopIfTrue="1">
      <formula>$D6="Responded"</formula>
    </cfRule>
    <cfRule type="expression" dxfId="4392" priority="1346">
      <formula>$D6="Locked!"</formula>
    </cfRule>
    <cfRule type="expression" dxfId="4391" priority="1347">
      <formula>$D6="E-signed!"</formula>
    </cfRule>
    <cfRule type="expression" dxfId="4390" priority="1348">
      <formula>$D6="Docs Received!"</formula>
    </cfRule>
    <cfRule type="expression" dxfId="4389" priority="1349">
      <formula>$D6="Disclosures Going Out..."</formula>
    </cfRule>
    <cfRule type="expression" dxfId="4388" priority="1350">
      <formula>$D6="Disclosures Sent!"</formula>
    </cfRule>
    <cfRule type="expression" dxfId="4387" priority="1351">
      <formula>$D6="FIGURE - Link Sent!"</formula>
    </cfRule>
    <cfRule type="expression" dxfId="4386" priority="1352">
      <formula>$D6="Hard Money Opportunity"</formula>
    </cfRule>
    <cfRule type="expression" dxfId="4385" priority="1353">
      <formula>$D6="Communicating..."</formula>
    </cfRule>
    <cfRule type="expression" dxfId="4384" priority="1354">
      <formula>$D6="Not Interested"</formula>
    </cfRule>
    <cfRule type="expression" dxfId="4383" priority="1355">
      <formula>$D6="APP - Pitched &gt; Follow up"</formula>
    </cfRule>
    <cfRule type="expression" dxfId="4382" priority="1356">
      <formula>$D6="Appt Scheduled"</formula>
    </cfRule>
    <cfRule type="expression" dxfId="4381" priority="1357">
      <formula>$D6="Reverse Mortgage Opportunity"</formula>
    </cfRule>
    <cfRule type="expression" dxfId="4380" priority="1358">
      <formula>$D6="Purchase"</formula>
    </cfRule>
    <cfRule type="expression" dxfId="4379" priority="1359">
      <formula>$D6="Verified Approval Letter"</formula>
    </cfRule>
    <cfRule type="expression" dxfId="4378" priority="1360">
      <formula>$D6="*Thinking about it*"</formula>
    </cfRule>
    <cfRule type="expression" dxfId="4377" priority="1361">
      <formula>$D6="DNQ"</formula>
    </cfRule>
    <cfRule type="expression" dxfId="4376" priority="1362">
      <formula>$D6="Commercial/Business Loan"</formula>
    </cfRule>
    <cfRule type="expression" dxfId="4375" priority="1363">
      <formula>$D6="Credit - Wayfinder"</formula>
    </cfRule>
    <cfRule type="expression" dxfId="4374" priority="1364">
      <formula>$D6="Match or Beat"</formula>
    </cfRule>
    <cfRule type="expression" dxfId="4373" priority="1365">
      <formula>$D6="Future Deal"</formula>
    </cfRule>
    <cfRule type="expression" dxfId="4372" priority="1366">
      <formula>$D6="Prospect -Email Sent"</formula>
    </cfRule>
    <cfRule type="expression" dxfId="4371" priority="1367">
      <formula>$D6="STOP!"</formula>
    </cfRule>
    <cfRule type="expression" dxfId="4370" priority="1368">
      <formula>$D6="No Benefit"</formula>
    </cfRule>
    <cfRule type="expression" dxfId="4369" priority="1369">
      <formula>$D6="Went With Another Lender"</formula>
    </cfRule>
    <cfRule type="expression" dxfId="4368" priority="1370">
      <formula>$D6="Called 3x"</formula>
    </cfRule>
    <cfRule type="expression" dxfId="4367" priority="1371">
      <formula>$D6="Called 2x"</formula>
    </cfRule>
    <cfRule type="expression" dxfId="4366" priority="1372">
      <formula>$D6="T15 - MessageError!"</formula>
    </cfRule>
    <cfRule type="expression" dxfId="4365" priority="1373">
      <formula>$D6="T14 - Right Person?"</formula>
    </cfRule>
    <cfRule type="expression" dxfId="4364" priority="1374">
      <formula>$D6="T13 - Email"</formula>
    </cfRule>
    <cfRule type="expression" dxfId="4363" priority="1375">
      <formula>$D6="T12 - Blown Up"</formula>
    </cfRule>
    <cfRule type="expression" dxfId="4362" priority="1376">
      <formula>$D6="T11 - More Time?"</formula>
    </cfRule>
    <cfRule type="expression" dxfId="4361" priority="1377">
      <formula>$D6="T10 - Really Busy"</formula>
    </cfRule>
    <cfRule type="expression" dxfId="4360" priority="1378">
      <formula>$D6="T9 - Majority of Clients"</formula>
    </cfRule>
    <cfRule type="expression" dxfId="4359" priority="1379">
      <formula>$D6="T8 - STOP Contact"</formula>
    </cfRule>
    <cfRule type="expression" dxfId="4358" priority="1380">
      <formula>$D6="T7 - Another Lender"</formula>
    </cfRule>
    <cfRule type="expression" dxfId="4357" priority="1381">
      <formula>$D6="T6 - Don’t Qualify?"</formula>
    </cfRule>
    <cfRule type="expression" dxfId="4356" priority="1382">
      <formula>$D6="T5 - Debt Consolidation"</formula>
    </cfRule>
    <cfRule type="expression" dxfId="4355" priority="1383">
      <formula>$D6="T4 - Debt / Home"</formula>
    </cfRule>
    <cfRule type="expression" dxfId="4354" priority="1384">
      <formula>$D6="T3 - Correct Cash"</formula>
    </cfRule>
    <cfRule type="expression" dxfId="4353" priority="1385">
      <formula>$D6="T2 - Revised"</formula>
    </cfRule>
    <cfRule type="expression" dxfId="4352" priority="1386">
      <formula>$D6="T1 - Follow Up"</formula>
    </cfRule>
    <cfRule type="expression" dxfId="4351" priority="1387">
      <formula>$D6="APP - LOCKED!"</formula>
    </cfRule>
    <cfRule type="expression" dxfId="4350" priority="1388">
      <formula>$D6="LOCKED!"</formula>
    </cfRule>
    <cfRule type="expression" dxfId="4349" priority="1389">
      <formula>$D6="APP - Pitched &gt; Follow Up!"</formula>
    </cfRule>
    <cfRule type="expression" dxfId="4348" priority="1390">
      <formula>$D6="Pitched &gt; FOLLOW UP!"</formula>
    </cfRule>
    <cfRule type="expression" dxfId="4347" priority="1391">
      <formula>$D6="APP - Application Taken"</formula>
    </cfRule>
    <cfRule type="expression" dxfId="4346" priority="1392">
      <formula>$D6="AL - HOT!"</formula>
    </cfRule>
    <cfRule type="expression" dxfId="4345" priority="1393">
      <formula>$D6="AL - Responded"</formula>
    </cfRule>
    <cfRule type="expression" dxfId="4344" priority="1394">
      <formula>$D6="Prospect - Appt Scheduled"</formula>
    </cfRule>
    <cfRule type="expression" dxfId="4343" priority="1395">
      <formula>$D6="Appt Scheduled"</formula>
    </cfRule>
    <cfRule type="expression" dxfId="4342" priority="1396">
      <formula>$D6="Prospect - Follow Up"</formula>
    </cfRule>
    <cfRule type="expression" dxfId="4341" priority="1397">
      <formula>$D6="Prospect - HOT!"</formula>
    </cfRule>
    <cfRule type="expression" dxfId="4340" priority="1398">
      <formula>$D6="Prospect - Warm"</formula>
    </cfRule>
  </conditionalFormatting>
  <conditionalFormatting sqref="A421:A615 A643:A757 A759:A788 A790:A935 A1152:A1217 A1222:A1295 A1298:A1347 A1349:A1409 A6:A322">
    <cfRule type="containsText" dxfId="4339" priority="1328" operator="containsText" text="E-Mail Sent">
      <formula>NOT(ISERROR(SEARCH("E-Mail Sent",A6)))</formula>
    </cfRule>
    <cfRule type="containsText" dxfId="4338" priority="1329" operator="containsText" text="E Mail">
      <formula>NOT(ISERROR(SEARCH("E Mail",A6)))</formula>
    </cfRule>
  </conditionalFormatting>
  <conditionalFormatting sqref="B72:C72 E72:Z72">
    <cfRule type="expression" dxfId="4337" priority="1264">
      <formula>$D72="0 - MessageError!"</formula>
    </cfRule>
    <cfRule type="expression" dxfId="4336" priority="1265">
      <formula>$D72="9- Changed Mind"</formula>
    </cfRule>
    <cfRule type="expression" dxfId="4335" priority="1266">
      <formula>$D72="8- Home Values"</formula>
    </cfRule>
    <cfRule type="expression" dxfId="4334" priority="1267">
      <formula>$D72="7- Market Drop"</formula>
    </cfRule>
    <cfRule type="expression" dxfId="4333" priority="1268">
      <formula>$D72="6- Another Lender"</formula>
    </cfRule>
    <cfRule type="expression" dxfId="4332" priority="1269">
      <formula>$D72="5- ChangedMind?"</formula>
    </cfRule>
    <cfRule type="expression" dxfId="4331" priority="1270">
      <formula>$D72="4- Don'tQualify"</formula>
    </cfRule>
    <cfRule type="expression" dxfId="4330" priority="1271">
      <formula>$D72="3- CashOut"</formula>
    </cfRule>
    <cfRule type="expression" dxfId="4329" priority="1272">
      <formula>$D72="2- RevisedQuote"</formula>
    </cfRule>
    <cfRule type="expression" dxfId="4328" priority="1273">
      <formula>$D72="1- FollowUp"</formula>
    </cfRule>
    <cfRule type="expression" dxfId="4327" priority="1274" stopIfTrue="1">
      <formula>$D72="Responded"</formula>
    </cfRule>
    <cfRule type="expression" dxfId="4326" priority="1275">
      <formula>$D72="Locked!"</formula>
    </cfRule>
    <cfRule type="expression" dxfId="4325" priority="1276">
      <formula>$D72="E-signed!"</formula>
    </cfRule>
    <cfRule type="expression" dxfId="4324" priority="1277">
      <formula>$D72="Docs Received!"</formula>
    </cfRule>
    <cfRule type="expression" dxfId="4323" priority="1278">
      <formula>$D72="Disclosures Going Out..."</formula>
    </cfRule>
    <cfRule type="expression" dxfId="4322" priority="1279">
      <formula>$D72="Disclosures Sent!"</formula>
    </cfRule>
    <cfRule type="expression" dxfId="4321" priority="1280">
      <formula>$D72="FIGURE - Link Sent!"</formula>
    </cfRule>
    <cfRule type="expression" dxfId="4320" priority="1281">
      <formula>$D72="Hard Money Opportunity"</formula>
    </cfRule>
    <cfRule type="expression" dxfId="4319" priority="1282">
      <formula>$D72="Communicating..."</formula>
    </cfRule>
    <cfRule type="expression" dxfId="4318" priority="1283">
      <formula>$D72="Not Interested"</formula>
    </cfRule>
    <cfRule type="expression" dxfId="4317" priority="1284">
      <formula>$D72="APP - Pitched &gt; Follow up"</formula>
    </cfRule>
    <cfRule type="expression" dxfId="4316" priority="1285">
      <formula>$D72="Appt Scheduled"</formula>
    </cfRule>
    <cfRule type="expression" dxfId="4315" priority="1286">
      <formula>$D72="Reverse Mortgage Opportunity"</formula>
    </cfRule>
    <cfRule type="expression" dxfId="4314" priority="1287">
      <formula>$D72="Purchase"</formula>
    </cfRule>
    <cfRule type="expression" dxfId="4313" priority="1288">
      <formula>$D72="Verified Approval Letter"</formula>
    </cfRule>
    <cfRule type="expression" dxfId="4312" priority="1289">
      <formula>$D72="*Thinking about it*"</formula>
    </cfRule>
    <cfRule type="expression" dxfId="4311" priority="1290">
      <formula>$D72="DNQ"</formula>
    </cfRule>
    <cfRule type="expression" dxfId="4310" priority="1291">
      <formula>$D72="Commercial/Business Loan"</formula>
    </cfRule>
    <cfRule type="expression" dxfId="4309" priority="1292">
      <formula>$D72="Credit - Wayfinder"</formula>
    </cfRule>
    <cfRule type="expression" dxfId="4308" priority="1293">
      <formula>$D72="Match or Beat"</formula>
    </cfRule>
    <cfRule type="expression" dxfId="4307" priority="1294">
      <formula>$D72="Future Deal"</formula>
    </cfRule>
    <cfRule type="expression" dxfId="4306" priority="1295">
      <formula>$D72="Prospect -Email Sent"</formula>
    </cfRule>
    <cfRule type="expression" dxfId="4305" priority="1296">
      <formula>$D72="Cold - Rate Watch"</formula>
    </cfRule>
    <cfRule type="expression" dxfId="4304" priority="1297">
      <formula>$D72="Cold - Unresponsive"</formula>
    </cfRule>
    <cfRule type="expression" dxfId="4303" priority="1298">
      <formula>$D72="Cold - Wrong Number"</formula>
    </cfRule>
    <cfRule type="expression" dxfId="4302" priority="1299">
      <formula>$D72="Called 3x"</formula>
    </cfRule>
    <cfRule type="expression" dxfId="4301" priority="1300">
      <formula>$D72="Called 2x"</formula>
    </cfRule>
    <cfRule type="expression" dxfId="4300" priority="1301">
      <formula>$D72="T15 - MessageError!"</formula>
    </cfRule>
    <cfRule type="expression" dxfId="4299" priority="1302">
      <formula>$D72="T14 - Right Person?"</formula>
    </cfRule>
    <cfRule type="expression" dxfId="4298" priority="1303">
      <formula>$D72="T13 - Email"</formula>
    </cfRule>
    <cfRule type="expression" dxfId="4297" priority="1304">
      <formula>$D72="T12 - Blown Up"</formula>
    </cfRule>
    <cfRule type="expression" dxfId="4296" priority="1305">
      <formula>$D72="T11 - More Time?"</formula>
    </cfRule>
    <cfRule type="expression" dxfId="4295" priority="1306">
      <formula>$D72="T10 - Really Busy"</formula>
    </cfRule>
    <cfRule type="expression" dxfId="4294" priority="1307">
      <formula>$D72="T9 - Majority of Clients"</formula>
    </cfRule>
    <cfRule type="expression" dxfId="4293" priority="1308">
      <formula>$D72="T8 - STOP Contact"</formula>
    </cfRule>
    <cfRule type="expression" dxfId="4292" priority="1309">
      <formula>$D72="T7 - Another Lender"</formula>
    </cfRule>
    <cfRule type="expression" dxfId="4291" priority="1310">
      <formula>$D72="T6 - Don’t Qualify?"</formula>
    </cfRule>
    <cfRule type="expression" dxfId="4290" priority="1311">
      <formula>$D72="T5 - Debt Consolidation"</formula>
    </cfRule>
    <cfRule type="expression" dxfId="4289" priority="1312">
      <formula>$D72="T4 - Debt / Home"</formula>
    </cfRule>
    <cfRule type="expression" dxfId="4288" priority="1313">
      <formula>$D72="T3 - Correct Cash"</formula>
    </cfRule>
    <cfRule type="expression" dxfId="4287" priority="1314">
      <formula>$D72="T2 - Revised"</formula>
    </cfRule>
    <cfRule type="expression" dxfId="4286" priority="1315">
      <formula>$D72="T1 - Follow Up"</formula>
    </cfRule>
    <cfRule type="expression" dxfId="4285" priority="1316">
      <formula>$D72="APP - LOCKED!"</formula>
    </cfRule>
    <cfRule type="expression" dxfId="4284" priority="1317">
      <formula>$D72="LOCKED!"</formula>
    </cfRule>
    <cfRule type="expression" dxfId="4283" priority="1318">
      <formula>$D72="APP - Pitched &gt; Follow Up!"</formula>
    </cfRule>
    <cfRule type="expression" dxfId="4282" priority="1319">
      <formula>$D72="Pitched &gt; FOLLOW UP!"</formula>
    </cfRule>
    <cfRule type="expression" dxfId="4281" priority="1320">
      <formula>$D72="APP - Application Taken"</formula>
    </cfRule>
    <cfRule type="expression" dxfId="4280" priority="1321">
      <formula>$D72="AL - HOT!"</formula>
    </cfRule>
    <cfRule type="expression" dxfId="4279" priority="1322">
      <formula>$D72="AL - Responded"</formula>
    </cfRule>
    <cfRule type="expression" dxfId="4278" priority="1323">
      <formula>$D72="Prospect - Appt Scheduled"</formula>
    </cfRule>
    <cfRule type="expression" dxfId="4277" priority="1324">
      <formula>$D72="Appt Scheduled"</formula>
    </cfRule>
    <cfRule type="expression" dxfId="4276" priority="1325">
      <formula>$D72="Prospect - Follow Up"</formula>
    </cfRule>
    <cfRule type="expression" dxfId="4275" priority="1326">
      <formula>$D72="Prospect - HOT!"</formula>
    </cfRule>
    <cfRule type="expression" dxfId="4274" priority="1327">
      <formula>$D72="Prospect - Warm"</formula>
    </cfRule>
  </conditionalFormatting>
  <conditionalFormatting sqref="F160">
    <cfRule type="expression" dxfId="4273" priority="1200">
      <formula>$D160="0 - MessageError!"</formula>
    </cfRule>
    <cfRule type="expression" dxfId="4272" priority="1201">
      <formula>$D160="9- Changed Mind"</formula>
    </cfRule>
    <cfRule type="expression" dxfId="4271" priority="1202">
      <formula>$D160="8- Home Values"</formula>
    </cfRule>
    <cfRule type="expression" dxfId="4270" priority="1203">
      <formula>$D160="7- Market Drop"</formula>
    </cfRule>
    <cfRule type="expression" dxfId="4269" priority="1204">
      <formula>$D160="6- Another Lender"</formula>
    </cfRule>
    <cfRule type="expression" dxfId="4268" priority="1205">
      <formula>$D160="5- ChangedMind?"</formula>
    </cfRule>
    <cfRule type="expression" dxfId="4267" priority="1206">
      <formula>$D160="4- Don'tQualify"</formula>
    </cfRule>
    <cfRule type="expression" dxfId="4266" priority="1207">
      <formula>$D160="3- CashOut"</formula>
    </cfRule>
    <cfRule type="expression" dxfId="4265" priority="1208">
      <formula>$D160="2- RevisedQuote"</formula>
    </cfRule>
    <cfRule type="expression" dxfId="4264" priority="1209">
      <formula>$D160="1- FollowUp"</formula>
    </cfRule>
    <cfRule type="expression" dxfId="4263" priority="1210" stopIfTrue="1">
      <formula>$D160="Responded"</formula>
    </cfRule>
    <cfRule type="expression" dxfId="4262" priority="1211">
      <formula>$D160="Locked!"</formula>
    </cfRule>
    <cfRule type="expression" dxfId="4261" priority="1212">
      <formula>$D160="E-signed!"</formula>
    </cfRule>
    <cfRule type="expression" dxfId="4260" priority="1213">
      <formula>$D160="Docs Received!"</formula>
    </cfRule>
    <cfRule type="expression" dxfId="4259" priority="1214">
      <formula>$D160="Disclosures Going Out..."</formula>
    </cfRule>
    <cfRule type="expression" dxfId="4258" priority="1215">
      <formula>$D160="Disclosures Sent!"</formula>
    </cfRule>
    <cfRule type="expression" dxfId="4257" priority="1216">
      <formula>$D160="FIGURE - Link Sent!"</formula>
    </cfRule>
    <cfRule type="expression" dxfId="4256" priority="1217">
      <formula>$D160="Hard Money Opportunity"</formula>
    </cfRule>
    <cfRule type="expression" dxfId="4255" priority="1218">
      <formula>$D160="Communicating..."</formula>
    </cfRule>
    <cfRule type="expression" dxfId="4254" priority="1219">
      <formula>$D160="Not Interested"</formula>
    </cfRule>
    <cfRule type="expression" dxfId="4253" priority="1220">
      <formula>$D160="APP - Pitched &gt; Follow up"</formula>
    </cfRule>
    <cfRule type="expression" dxfId="4252" priority="1221">
      <formula>$D160="Appt Scheduled"</formula>
    </cfRule>
    <cfRule type="expression" dxfId="4251" priority="1222">
      <formula>$D160="Reverse Mortgage Opportunity"</formula>
    </cfRule>
    <cfRule type="expression" dxfId="4250" priority="1223">
      <formula>$D160="Purchase"</formula>
    </cfRule>
    <cfRule type="expression" dxfId="4249" priority="1224">
      <formula>$D160="Verified Approval Letter"</formula>
    </cfRule>
    <cfRule type="expression" dxfId="4248" priority="1225">
      <formula>$D160="*Thinking about it*"</formula>
    </cfRule>
    <cfRule type="expression" dxfId="4247" priority="1226">
      <formula>$D160="DNQ"</formula>
    </cfRule>
    <cfRule type="expression" dxfId="4246" priority="1227">
      <formula>$D160="Commercial/Business Loan"</formula>
    </cfRule>
    <cfRule type="expression" dxfId="4245" priority="1228">
      <formula>$D160="Credit - Wayfinder"</formula>
    </cfRule>
    <cfRule type="expression" dxfId="4244" priority="1229">
      <formula>$D160="Match or Beat"</formula>
    </cfRule>
    <cfRule type="expression" dxfId="4243" priority="1230">
      <formula>$D160="Future Deal"</formula>
    </cfRule>
    <cfRule type="expression" dxfId="4242" priority="1231">
      <formula>$D160="Prospect -Email Sent"</formula>
    </cfRule>
    <cfRule type="expression" dxfId="4241" priority="1232">
      <formula>$D160="STOP!"</formula>
    </cfRule>
    <cfRule type="expression" dxfId="4240" priority="1233">
      <formula>$D160="Cold - Unresponsive"</formula>
    </cfRule>
    <cfRule type="expression" dxfId="4239" priority="1234">
      <formula>$D160="Cold - Wrong Number"</formula>
    </cfRule>
    <cfRule type="expression" dxfId="4238" priority="1235">
      <formula>$D160="Called 3x"</formula>
    </cfRule>
    <cfRule type="expression" dxfId="4237" priority="1236">
      <formula>$D160="Called 2x"</formula>
    </cfRule>
    <cfRule type="expression" dxfId="4236" priority="1237">
      <formula>$D160="T15 - MessageError!"</formula>
    </cfRule>
    <cfRule type="expression" dxfId="4235" priority="1238">
      <formula>$D160="T14 - Right Person?"</formula>
    </cfRule>
    <cfRule type="expression" dxfId="4234" priority="1239">
      <formula>$D160="T13 - Email"</formula>
    </cfRule>
    <cfRule type="expression" dxfId="4233" priority="1240">
      <formula>$D160="T12 - Blown Up"</formula>
    </cfRule>
    <cfRule type="expression" dxfId="4232" priority="1241">
      <formula>$D160="T11 - More Time?"</formula>
    </cfRule>
    <cfRule type="expression" dxfId="4231" priority="1242">
      <formula>$D160="T10 - Really Busy"</formula>
    </cfRule>
    <cfRule type="expression" dxfId="4230" priority="1243">
      <formula>$D160="T9 - Majority of Clients"</formula>
    </cfRule>
    <cfRule type="expression" dxfId="4229" priority="1244">
      <formula>$D160="T8 - STOP Contact"</formula>
    </cfRule>
    <cfRule type="expression" dxfId="4228" priority="1245">
      <formula>$D160="T7 - Another Lender"</formula>
    </cfRule>
    <cfRule type="expression" dxfId="4227" priority="1246">
      <formula>$D160="T6 - Don’t Qualify?"</formula>
    </cfRule>
    <cfRule type="expression" dxfId="4226" priority="1247">
      <formula>$D160="T5 - Debt Consolidation"</formula>
    </cfRule>
    <cfRule type="expression" dxfId="4225" priority="1248">
      <formula>$D160="T4 - Debt / Home"</formula>
    </cfRule>
    <cfRule type="expression" dxfId="4224" priority="1249">
      <formula>$D160="T3 - Correct Cash"</formula>
    </cfRule>
    <cfRule type="expression" dxfId="4223" priority="1250">
      <formula>$D160="T2 - Revised"</formula>
    </cfRule>
    <cfRule type="expression" dxfId="4222" priority="1251">
      <formula>$D160="T1 - Follow Up"</formula>
    </cfRule>
    <cfRule type="expression" dxfId="4221" priority="1252">
      <formula>$D160="APP - LOCKED!"</formula>
    </cfRule>
    <cfRule type="expression" dxfId="4220" priority="1253">
      <formula>$D160="LOCKED!"</formula>
    </cfRule>
    <cfRule type="expression" dxfId="4219" priority="1254">
      <formula>$D160="APP - Pitched &gt; Follow Up!"</formula>
    </cfRule>
    <cfRule type="expression" dxfId="4218" priority="1255">
      <formula>$D160="Pitched &gt; FOLLOW UP!"</formula>
    </cfRule>
    <cfRule type="expression" dxfId="4217" priority="1256">
      <formula>$D160="APP - Application Taken"</formula>
    </cfRule>
    <cfRule type="expression" dxfId="4216" priority="1257">
      <formula>$D160="AL - HOT!"</formula>
    </cfRule>
    <cfRule type="expression" dxfId="4215" priority="1258">
      <formula>$D160="AL - Responded"</formula>
    </cfRule>
    <cfRule type="expression" dxfId="4214" priority="1259">
      <formula>$D160="Prospect - Appt Scheduled"</formula>
    </cfRule>
    <cfRule type="expression" dxfId="4213" priority="1260">
      <formula>$D160="Appt Scheduled"</formula>
    </cfRule>
    <cfRule type="expression" dxfId="4212" priority="1261">
      <formula>$D160="Prospect - Follow Up"</formula>
    </cfRule>
    <cfRule type="expression" dxfId="4211" priority="1262">
      <formula>$D160="Prospect - HOT!"</formula>
    </cfRule>
    <cfRule type="expression" dxfId="4210" priority="1263">
      <formula>$D160="Prospect - Warm"</formula>
    </cfRule>
  </conditionalFormatting>
  <conditionalFormatting sqref="Y323:Y420">
    <cfRule type="containsText" dxfId="4209" priority="1129" operator="containsText" text="Green">
      <formula>NOT(ISERROR(SEARCH("Green",Y323)))</formula>
    </cfRule>
    <cfRule type="containsText" dxfId="4208" priority="1130" operator="containsText" text="Tandem">
      <formula>NOT(ISERROR(SEARCH("Tandem",Y323)))</formula>
    </cfRule>
    <cfRule type="containsText" dxfId="4207" priority="1131" operator="containsText" text="FRU">
      <formula>NOT(ISERROR(SEARCH("FRU",Y323)))</formula>
    </cfRule>
    <cfRule type="containsText" dxfId="4206" priority="1132" operator="containsText" text="LP">
      <formula>NOT(ISERROR(SEARCH("LP",Y323)))</formula>
    </cfRule>
    <cfRule type="containsText" dxfId="4205" priority="1133" operator="containsText" text="LT">
      <formula>NOT(ISERROR(SEARCH("LT",Y323)))</formula>
    </cfRule>
  </conditionalFormatting>
  <conditionalFormatting sqref="B420:C420 E420:Z420 B323:Z419">
    <cfRule type="expression" dxfId="4204" priority="1134">
      <formula>$D323="0 - MessageError!"</formula>
    </cfRule>
    <cfRule type="expression" dxfId="4203" priority="1135">
      <formula>$D323="9- Changed Mind"</formula>
    </cfRule>
    <cfRule type="expression" dxfId="4202" priority="1136">
      <formula>$D323="8- Home Values"</formula>
    </cfRule>
    <cfRule type="expression" dxfId="4201" priority="1137">
      <formula>$D323="7- Market Drop"</formula>
    </cfRule>
    <cfRule type="expression" dxfId="4200" priority="1138">
      <formula>$D323="6- Another Lender"</formula>
    </cfRule>
    <cfRule type="expression" dxfId="4199" priority="1139">
      <formula>$D323="5- ChangedMind?"</formula>
    </cfRule>
    <cfRule type="expression" dxfId="4198" priority="1140">
      <formula>$D323="4- Don'tQualify"</formula>
    </cfRule>
    <cfRule type="expression" dxfId="4197" priority="1141">
      <formula>$D323="3- CashOut"</formula>
    </cfRule>
    <cfRule type="expression" dxfId="4196" priority="1142">
      <formula>$D323="2- RevisedQuote"</formula>
    </cfRule>
    <cfRule type="expression" dxfId="4195" priority="1143">
      <formula>$D323="1- FollowUp"</formula>
    </cfRule>
    <cfRule type="expression" dxfId="4194" priority="1144" stopIfTrue="1">
      <formula>$D323="Responded"</formula>
    </cfRule>
    <cfRule type="expression" dxfId="4193" priority="1145">
      <formula>$D323="Locked!"</formula>
    </cfRule>
    <cfRule type="expression" dxfId="4192" priority="1146">
      <formula>$D323="E-signed!"</formula>
    </cfRule>
    <cfRule type="expression" dxfId="4191" priority="1147">
      <formula>$D323="Docs Received!"</formula>
    </cfRule>
    <cfRule type="expression" dxfId="4190" priority="1148">
      <formula>$D323="Disclosures Going Out..."</formula>
    </cfRule>
    <cfRule type="expression" dxfId="4189" priority="1149">
      <formula>$D323="Disclosures Sent!"</formula>
    </cfRule>
    <cfRule type="expression" dxfId="4188" priority="1150">
      <formula>$D323="FIGURE - Link Sent!"</formula>
    </cfRule>
    <cfRule type="expression" dxfId="4187" priority="1151">
      <formula>$D323="Hard Money Opportunity"</formula>
    </cfRule>
    <cfRule type="expression" dxfId="4186" priority="1152">
      <formula>$D323="Communicating..."</formula>
    </cfRule>
    <cfRule type="expression" dxfId="4185" priority="1153">
      <formula>$D323="Not Interested"</formula>
    </cfRule>
    <cfRule type="expression" dxfId="4184" priority="1154">
      <formula>$D323="APP - Pitched &gt; Follow up"</formula>
    </cfRule>
    <cfRule type="expression" dxfId="4183" priority="1155">
      <formula>$D323="Appt Scheduled"</formula>
    </cfRule>
    <cfRule type="expression" dxfId="4182" priority="1156">
      <formula>$D323="Reverse Mortgage Opportunity"</formula>
    </cfRule>
    <cfRule type="expression" dxfId="4181" priority="1157">
      <formula>$D323="Purchase"</formula>
    </cfRule>
    <cfRule type="expression" dxfId="4180" priority="1158">
      <formula>$D323="Verified Approval Letter"</formula>
    </cfRule>
    <cfRule type="expression" dxfId="4179" priority="1159">
      <formula>$D323="*Thinking about it*"</formula>
    </cfRule>
    <cfRule type="expression" dxfId="4178" priority="1160">
      <formula>$D323="DNQ"</formula>
    </cfRule>
    <cfRule type="expression" dxfId="4177" priority="1161">
      <formula>$D323="Commercial/Business Loan"</formula>
    </cfRule>
    <cfRule type="expression" dxfId="4176" priority="1162">
      <formula>$D323="Credit - Wayfinder"</formula>
    </cfRule>
    <cfRule type="expression" dxfId="4175" priority="1163">
      <formula>$D323="Match or Beat"</formula>
    </cfRule>
    <cfRule type="expression" dxfId="4174" priority="1164">
      <formula>$D323="Future Deal"</formula>
    </cfRule>
    <cfRule type="expression" dxfId="4173" priority="1165">
      <formula>$D323="Prospect -Email Sent"</formula>
    </cfRule>
    <cfRule type="expression" dxfId="4172" priority="1166">
      <formula>$D323="STOP!"</formula>
    </cfRule>
    <cfRule type="expression" dxfId="4171" priority="1167">
      <formula>$D323="Cold - Unresponsive"</formula>
    </cfRule>
    <cfRule type="expression" dxfId="4170" priority="1168">
      <formula>$D323="Cold - Wrong Number"</formula>
    </cfRule>
    <cfRule type="expression" dxfId="4169" priority="1169">
      <formula>$D323="Called 3x"</formula>
    </cfRule>
    <cfRule type="expression" dxfId="4168" priority="1170">
      <formula>$D323="Called 2x"</formula>
    </cfRule>
    <cfRule type="expression" dxfId="4167" priority="1171">
      <formula>$D323="T15 - MessageError!"</formula>
    </cfRule>
    <cfRule type="expression" dxfId="4166" priority="1172">
      <formula>$D323="T14 - Right Person?"</formula>
    </cfRule>
    <cfRule type="expression" dxfId="4165" priority="1173">
      <formula>$D323="T13 - Email"</formula>
    </cfRule>
    <cfRule type="expression" dxfId="4164" priority="1174">
      <formula>$D323="T12 - Blown Up"</formula>
    </cfRule>
    <cfRule type="expression" dxfId="4163" priority="1175">
      <formula>$D323="T11 - More Time?"</formula>
    </cfRule>
    <cfRule type="expression" dxfId="4162" priority="1176">
      <formula>$D323="T10 - Really Busy"</formula>
    </cfRule>
    <cfRule type="expression" dxfId="4161" priority="1177">
      <formula>$D323="T9 - Majority of Clients"</formula>
    </cfRule>
    <cfRule type="expression" dxfId="4160" priority="1178">
      <formula>$D323="T8 - STOP Contact"</formula>
    </cfRule>
    <cfRule type="expression" dxfId="4159" priority="1179">
      <formula>$D323="T7 - Another Lender"</formula>
    </cfRule>
    <cfRule type="expression" dxfId="4158" priority="1180">
      <formula>$D323="T6 - Don’t Qualify?"</formula>
    </cfRule>
    <cfRule type="expression" dxfId="4157" priority="1181">
      <formula>$D323="T5 - Debt Consolidation"</formula>
    </cfRule>
    <cfRule type="expression" dxfId="4156" priority="1182">
      <formula>$D323="T4 - Debt / Home"</formula>
    </cfRule>
    <cfRule type="expression" dxfId="4155" priority="1183">
      <formula>$D323="T3 - Correct Cash"</formula>
    </cfRule>
    <cfRule type="expression" dxfId="4154" priority="1184">
      <formula>$D323="T2 - Revised"</formula>
    </cfRule>
    <cfRule type="expression" dxfId="4153" priority="1185">
      <formula>$D323="T1 - Follow Up"</formula>
    </cfRule>
    <cfRule type="expression" dxfId="4152" priority="1186">
      <formula>$D323="APP - LOCKED!"</formula>
    </cfRule>
    <cfRule type="expression" dxfId="4151" priority="1187">
      <formula>$D323="LOCKED!"</formula>
    </cfRule>
    <cfRule type="expression" dxfId="4150" priority="1188">
      <formula>$D323="APP - Pitched &gt; Follow Up!"</formula>
    </cfRule>
    <cfRule type="expression" dxfId="4149" priority="1189">
      <formula>$D323="Pitched &gt; FOLLOW UP!"</formula>
    </cfRule>
    <cfRule type="expression" dxfId="4148" priority="1190">
      <formula>$D323="APP - Application Taken"</formula>
    </cfRule>
    <cfRule type="expression" dxfId="4147" priority="1191">
      <formula>$D323="AL - HOT!"</formula>
    </cfRule>
    <cfRule type="expression" dxfId="4146" priority="1192">
      <formula>$D323="AL - Responded"</formula>
    </cfRule>
    <cfRule type="expression" dxfId="4145" priority="1193">
      <formula>$D323="Prospect - Appt Scheduled"</formula>
    </cfRule>
    <cfRule type="expression" dxfId="4144" priority="1194">
      <formula>$D323="Appt Scheduled"</formula>
    </cfRule>
    <cfRule type="expression" dxfId="4143" priority="1195">
      <formula>$D323="Prospect - Follow Up"</formula>
    </cfRule>
    <cfRule type="expression" dxfId="4142" priority="1196">
      <formula>$D323="Prospect - HOT!"</formula>
    </cfRule>
    <cfRule type="expression" dxfId="4141" priority="1197">
      <formula>$D323="Prospect - Warm"</formula>
    </cfRule>
  </conditionalFormatting>
  <conditionalFormatting sqref="A323:A420">
    <cfRule type="containsText" dxfId="4140" priority="1127" operator="containsText" text="E-Mail Sent">
      <formula>NOT(ISERROR(SEARCH("E-Mail Sent",A323)))</formula>
    </cfRule>
    <cfRule type="containsText" dxfId="4139" priority="1128" operator="containsText" text="E Mail">
      <formula>NOT(ISERROR(SEARCH("E Mail",A323)))</formula>
    </cfRule>
  </conditionalFormatting>
  <conditionalFormatting sqref="D420">
    <cfRule type="expression" dxfId="4138" priority="1061">
      <formula>$D420="Cancel-Decline"</formula>
    </cfRule>
    <cfRule type="expression" dxfId="4137" priority="1062">
      <formula>$D420="Funded"</formula>
    </cfRule>
    <cfRule type="expression" dxfId="4136" priority="1063">
      <formula>$D420="0 - MessageError!"</formula>
    </cfRule>
    <cfRule type="expression" dxfId="4135" priority="1064">
      <formula>$D420="9- Changed Mind"</formula>
    </cfRule>
    <cfRule type="expression" dxfId="4134" priority="1065">
      <formula>$D420="8- Home Values"</formula>
    </cfRule>
    <cfRule type="expression" dxfId="4133" priority="1066">
      <formula>$D420="7- Market Drop"</formula>
    </cfRule>
    <cfRule type="expression" dxfId="4132" priority="1067">
      <formula>$D420="6- Another Lender"</formula>
    </cfRule>
    <cfRule type="expression" dxfId="4131" priority="1068">
      <formula>$D420="5- ChangedMind?"</formula>
    </cfRule>
    <cfRule type="expression" dxfId="4130" priority="1069">
      <formula>$D420="4- Don'tQualify"</formula>
    </cfRule>
    <cfRule type="expression" dxfId="4129" priority="1070">
      <formula>$D420="3- CashOut"</formula>
    </cfRule>
    <cfRule type="expression" dxfId="4128" priority="1071">
      <formula>$D420="2- RevisedQuote"</formula>
    </cfRule>
    <cfRule type="expression" dxfId="4127" priority="1072">
      <formula>$D420="1- FollowUp"</formula>
    </cfRule>
    <cfRule type="expression" dxfId="4126" priority="1073" stopIfTrue="1">
      <formula>$D420="Responded"</formula>
    </cfRule>
    <cfRule type="expression" dxfId="4125" priority="1074">
      <formula>$D420="Locked!"</formula>
    </cfRule>
    <cfRule type="expression" dxfId="4124" priority="1075">
      <formula>$D420="E-signed!"</formula>
    </cfRule>
    <cfRule type="expression" dxfId="4123" priority="1076">
      <formula>$D420="Docs Received!"</formula>
    </cfRule>
    <cfRule type="expression" dxfId="4122" priority="1077">
      <formula>$D420="Disclosures Going Out..."</formula>
    </cfRule>
    <cfRule type="expression" dxfId="4121" priority="1078">
      <formula>$D420="Disclosures Sent!"</formula>
    </cfRule>
    <cfRule type="expression" dxfId="4120" priority="1079">
      <formula>$D420="FIGURE - Link Sent!"</formula>
    </cfRule>
    <cfRule type="expression" dxfId="4119" priority="1080">
      <formula>$D420="Hard Money Opportunity"</formula>
    </cfRule>
    <cfRule type="expression" dxfId="4118" priority="1081">
      <formula>$D420="Communicating..."</formula>
    </cfRule>
    <cfRule type="expression" dxfId="4117" priority="1082">
      <formula>$D420="Not Interested"</formula>
    </cfRule>
    <cfRule type="expression" dxfId="4116" priority="1083">
      <formula>$D420="APP - Pitched &gt; Follow up"</formula>
    </cfRule>
    <cfRule type="expression" dxfId="4115" priority="1084">
      <formula>$D420="Appt Scheduled"</formula>
    </cfRule>
    <cfRule type="expression" dxfId="4114" priority="1085">
      <formula>$D420="Reverse Mortgage Opportunity"</formula>
    </cfRule>
    <cfRule type="expression" dxfId="4113" priority="1086">
      <formula>$D420="Purchase"</formula>
    </cfRule>
    <cfRule type="expression" dxfId="4112" priority="1087">
      <formula>$D420="Verified Approval Letter"</formula>
    </cfRule>
    <cfRule type="expression" dxfId="4111" priority="1088">
      <formula>$D420="*Thinking about it*"</formula>
    </cfRule>
    <cfRule type="expression" dxfId="4110" priority="1089">
      <formula>$D420="DNQ"</formula>
    </cfRule>
    <cfRule type="expression" dxfId="4109" priority="1090">
      <formula>$D420="Commercial/Business Loan"</formula>
    </cfRule>
    <cfRule type="expression" dxfId="4108" priority="1091">
      <formula>$D420="Credit - Wayfinder"</formula>
    </cfRule>
    <cfRule type="expression" dxfId="4107" priority="1092">
      <formula>$D420="Match or Beat"</formula>
    </cfRule>
    <cfRule type="expression" dxfId="4106" priority="1093">
      <formula>$D420="Future Deal"</formula>
    </cfRule>
    <cfRule type="expression" dxfId="4105" priority="1094">
      <formula>$D420="Prospect -Email Sent"</formula>
    </cfRule>
    <cfRule type="expression" dxfId="4104" priority="1095">
      <formula>$D420="STOP!"</formula>
    </cfRule>
    <cfRule type="expression" dxfId="4103" priority="1096">
      <formula>$D420="Cold - Unresponsive"</formula>
    </cfRule>
    <cfRule type="expression" dxfId="4102" priority="1097">
      <formula>$D420="Cold - Wrong Number"</formula>
    </cfRule>
    <cfRule type="expression" dxfId="4101" priority="1098">
      <formula>$D420="Called 3x"</formula>
    </cfRule>
    <cfRule type="expression" dxfId="4100" priority="1099">
      <formula>$D420="Called 2x"</formula>
    </cfRule>
    <cfRule type="expression" dxfId="4099" priority="1100">
      <formula>$D420="T15 - MessageError!"</formula>
    </cfRule>
    <cfRule type="expression" dxfId="4098" priority="1101">
      <formula>$D420="T14 - Right Person?"</formula>
    </cfRule>
    <cfRule type="expression" dxfId="4097" priority="1102">
      <formula>$D420="T13 - Email"</formula>
    </cfRule>
    <cfRule type="expression" dxfId="4096" priority="1103">
      <formula>$D420="T12 - Blown Up"</formula>
    </cfRule>
    <cfRule type="expression" dxfId="4095" priority="1104">
      <formula>$D420="T11 - More Time?"</formula>
    </cfRule>
    <cfRule type="expression" dxfId="4094" priority="1105">
      <formula>$D420="T10 - Really Busy"</formula>
    </cfRule>
    <cfRule type="expression" dxfId="4093" priority="1106">
      <formula>$D420="T9 - Majority of Clients"</formula>
    </cfRule>
    <cfRule type="expression" dxfId="4092" priority="1107">
      <formula>$D420="T8 - STOP Contact"</formula>
    </cfRule>
    <cfRule type="expression" dxfId="4091" priority="1108">
      <formula>$D420="T7 - Another Lender"</formula>
    </cfRule>
    <cfRule type="expression" dxfId="4090" priority="1109">
      <formula>$D420="T6 - Don’t Qualify?"</formula>
    </cfRule>
    <cfRule type="expression" dxfId="4089" priority="1110">
      <formula>$D420="T5 - Debt Consolidation"</formula>
    </cfRule>
    <cfRule type="expression" dxfId="4088" priority="1111">
      <formula>$D420="T4 - Debt / Home"</formula>
    </cfRule>
    <cfRule type="expression" dxfId="4087" priority="1112">
      <formula>$D420="T3 - Correct Cash"</formula>
    </cfRule>
    <cfRule type="expression" dxfId="4086" priority="1113">
      <formula>$D420="T2 - Revised"</formula>
    </cfRule>
    <cfRule type="expression" dxfId="4085" priority="1114">
      <formula>$D420="T1 - Follow Up"</formula>
    </cfRule>
    <cfRule type="expression" dxfId="4084" priority="1115">
      <formula>$D420="APP - LOCKED!"</formula>
    </cfRule>
    <cfRule type="expression" dxfId="4083" priority="1116">
      <formula>$D420="LOCKED!"</formula>
    </cfRule>
    <cfRule type="expression" dxfId="4082" priority="1117">
      <formula>$D420="APP - Pitched &gt; Follow Up!"</formula>
    </cfRule>
    <cfRule type="expression" dxfId="4081" priority="1118">
      <formula>$D420="Pitched &gt; FOLLOW UP!"</formula>
    </cfRule>
    <cfRule type="expression" dxfId="4080" priority="1119">
      <formula>$D420="APP - Application Taken"</formula>
    </cfRule>
    <cfRule type="expression" dxfId="4079" priority="1120">
      <formula>$D420="AL - HOT!"</formula>
    </cfRule>
    <cfRule type="expression" dxfId="4078" priority="1121">
      <formula>$D420="AL - Responded"</formula>
    </cfRule>
    <cfRule type="expression" dxfId="4077" priority="1122">
      <formula>$D420="Prospect - Appt Scheduled"</formula>
    </cfRule>
    <cfRule type="expression" dxfId="4076" priority="1123">
      <formula>$D420="Appt Scheduled"</formula>
    </cfRule>
    <cfRule type="expression" dxfId="4075" priority="1124">
      <formula>$D420="Prospect - Follow Up"</formula>
    </cfRule>
    <cfRule type="expression" dxfId="4074" priority="1125">
      <formula>$D420="Prospect - HOT!"</formula>
    </cfRule>
    <cfRule type="expression" dxfId="4073" priority="1126">
      <formula>$D420="Prospect - Warm"</formula>
    </cfRule>
  </conditionalFormatting>
  <conditionalFormatting sqref="G600">
    <cfRule type="expression" dxfId="4072" priority="1399">
      <formula>$D601="Cancel-Decline"</formula>
    </cfRule>
    <cfRule type="expression" dxfId="4071" priority="1400">
      <formula>$D601="Funded"</formula>
    </cfRule>
    <cfRule type="expression" dxfId="4070" priority="1401">
      <formula>$D601="0 - MessageError!"</formula>
    </cfRule>
    <cfRule type="expression" dxfId="4069" priority="1402">
      <formula>$D601="9- Changed Mind"</formula>
    </cfRule>
    <cfRule type="expression" dxfId="4068" priority="1403">
      <formula>$D601="8- Home Values"</formula>
    </cfRule>
    <cfRule type="expression" dxfId="4067" priority="1404">
      <formula>$D601="7- Market Drop"</formula>
    </cfRule>
    <cfRule type="expression" dxfId="4066" priority="1405">
      <formula>$D601="6- Another Lender"</formula>
    </cfRule>
    <cfRule type="expression" dxfId="4065" priority="1406">
      <formula>$D601="5- ChangedMind?"</formula>
    </cfRule>
    <cfRule type="expression" dxfId="4064" priority="1407">
      <formula>$D601="4- Don'tQualify"</formula>
    </cfRule>
    <cfRule type="expression" dxfId="4063" priority="1408">
      <formula>$D601="3- CashOut"</formula>
    </cfRule>
    <cfRule type="expression" dxfId="4062" priority="1409">
      <formula>$D601="2- RevisedQuote"</formula>
    </cfRule>
    <cfRule type="expression" dxfId="4061" priority="1410">
      <formula>$D601="1- FollowUp"</formula>
    </cfRule>
    <cfRule type="expression" dxfId="4060" priority="1411" stopIfTrue="1">
      <formula>$D601="Responded"</formula>
    </cfRule>
    <cfRule type="expression" dxfId="4059" priority="1412">
      <formula>$D601="Locked!"</formula>
    </cfRule>
    <cfRule type="expression" dxfId="4058" priority="1413">
      <formula>$D601="E-signed!"</formula>
    </cfRule>
    <cfRule type="expression" dxfId="4057" priority="1414">
      <formula>$D601="Docs Received!"</formula>
    </cfRule>
    <cfRule type="expression" dxfId="4056" priority="1415">
      <formula>$D601="Disclosures Going Out..."</formula>
    </cfRule>
    <cfRule type="expression" dxfId="4055" priority="1416">
      <formula>$D601="Disclosures Sent!"</formula>
    </cfRule>
    <cfRule type="expression" dxfId="4054" priority="1417">
      <formula>$D601="FIGURE - Link Sent!"</formula>
    </cfRule>
    <cfRule type="expression" dxfId="4053" priority="1418">
      <formula>$D601="Hard Money Opportunity"</formula>
    </cfRule>
    <cfRule type="expression" dxfId="4052" priority="1419">
      <formula>$D601="Communicating..."</formula>
    </cfRule>
    <cfRule type="expression" dxfId="4051" priority="1420">
      <formula>$D601="Not Interested"</formula>
    </cfRule>
    <cfRule type="expression" dxfId="4050" priority="1421">
      <formula>$D601="APP - Pitched &gt; Follow up"</formula>
    </cfRule>
    <cfRule type="expression" dxfId="4049" priority="1422">
      <formula>$D601="Appt Scheduled"</formula>
    </cfRule>
    <cfRule type="expression" dxfId="4048" priority="1423">
      <formula>$D601="Reverse Mortgage Opportunity"</formula>
    </cfRule>
    <cfRule type="expression" dxfId="4047" priority="1424">
      <formula>$D601="Purchase"</formula>
    </cfRule>
    <cfRule type="expression" dxfId="4046" priority="1425">
      <formula>$D601="Verified Approval Letter"</formula>
    </cfRule>
    <cfRule type="expression" dxfId="4045" priority="1426">
      <formula>$D601="*Thinking about it*"</formula>
    </cfRule>
    <cfRule type="expression" dxfId="4044" priority="1427">
      <formula>$D601="DNQ"</formula>
    </cfRule>
    <cfRule type="expression" dxfId="4043" priority="1428">
      <formula>$D601="Commercial/Business Loan"</formula>
    </cfRule>
    <cfRule type="expression" dxfId="4042" priority="1429">
      <formula>$D601="Credit - Wayfinder"</formula>
    </cfRule>
    <cfRule type="expression" dxfId="4041" priority="1430">
      <formula>$D601="Match or Beat"</formula>
    </cfRule>
    <cfRule type="expression" dxfId="4040" priority="1431">
      <formula>$D601="Future Deal"</formula>
    </cfRule>
    <cfRule type="expression" dxfId="4039" priority="1432">
      <formula>$D601="Prospect -Email Sent"</formula>
    </cfRule>
    <cfRule type="expression" dxfId="4038" priority="1433">
      <formula>$D601="STOP!"</formula>
    </cfRule>
    <cfRule type="expression" dxfId="4037" priority="1434">
      <formula>$D601="No Benefit"</formula>
    </cfRule>
    <cfRule type="expression" dxfId="4036" priority="1435">
      <formula>$D601="Went With Another Lender"</formula>
    </cfRule>
    <cfRule type="expression" dxfId="4035" priority="1436">
      <formula>$D601="Called 3x"</formula>
    </cfRule>
    <cfRule type="expression" dxfId="4034" priority="1437">
      <formula>$D601="Called 2x"</formula>
    </cfRule>
    <cfRule type="expression" dxfId="4033" priority="1438">
      <formula>$D601="T15 - MessageError!"</formula>
    </cfRule>
    <cfRule type="expression" dxfId="4032" priority="1439">
      <formula>$D601="T14 - Right Person?"</formula>
    </cfRule>
    <cfRule type="expression" dxfId="4031" priority="1440">
      <formula>$D601="T13 - Email"</formula>
    </cfRule>
    <cfRule type="expression" dxfId="4030" priority="1441">
      <formula>$D601="T12 - Blown Up"</formula>
    </cfRule>
    <cfRule type="expression" dxfId="4029" priority="1442">
      <formula>$D601="T11 - More Time?"</formula>
    </cfRule>
    <cfRule type="expression" dxfId="4028" priority="1443">
      <formula>$D601="T10 - Really Busy"</formula>
    </cfRule>
    <cfRule type="expression" dxfId="4027" priority="1444">
      <formula>$D601="T9 - Majority of Clients"</formula>
    </cfRule>
    <cfRule type="expression" dxfId="4026" priority="1445">
      <formula>$D601="T8 - STOP Contact"</formula>
    </cfRule>
    <cfRule type="expression" dxfId="4025" priority="1446">
      <formula>$D601="T7 - Another Lender"</formula>
    </cfRule>
    <cfRule type="expression" dxfId="4024" priority="1447">
      <formula>$D601="T6 - Don’t Qualify?"</formula>
    </cfRule>
    <cfRule type="expression" dxfId="4023" priority="1448">
      <formula>$D601="T5 - Debt Consolidation"</formula>
    </cfRule>
    <cfRule type="expression" dxfId="4022" priority="1449">
      <formula>$D601="T4 - Debt / Home"</formula>
    </cfRule>
    <cfRule type="expression" dxfId="4021" priority="1450">
      <formula>$D601="T3 - Correct Cash"</formula>
    </cfRule>
    <cfRule type="expression" dxfId="4020" priority="1451">
      <formula>$D601="T2 - Revised"</formula>
    </cfRule>
    <cfRule type="expression" dxfId="4019" priority="1452">
      <formula>$D601="T1 - Follow Up"</formula>
    </cfRule>
    <cfRule type="expression" dxfId="4018" priority="1453">
      <formula>$D601="APP - LOCKED!"</formula>
    </cfRule>
    <cfRule type="expression" dxfId="4017" priority="1454">
      <formula>$D601="LOCKED!"</formula>
    </cfRule>
    <cfRule type="expression" dxfId="4016" priority="1455">
      <formula>$D601="APP - Pitched &gt; Follow Up!"</formula>
    </cfRule>
    <cfRule type="expression" dxfId="4015" priority="1456">
      <formula>$D601="Pitched &gt; FOLLOW UP!"</formula>
    </cfRule>
    <cfRule type="expression" dxfId="4014" priority="1457">
      <formula>$D601="APP - Application Taken"</formula>
    </cfRule>
    <cfRule type="expression" dxfId="4013" priority="1458">
      <formula>$D601="AL - HOT!"</formula>
    </cfRule>
    <cfRule type="expression" dxfId="4012" priority="1459">
      <formula>$D601="AL - Responded"</formula>
    </cfRule>
    <cfRule type="expression" dxfId="4011" priority="1460">
      <formula>$D601="Prospect - Appt Scheduled"</formula>
    </cfRule>
    <cfRule type="expression" dxfId="4010" priority="1461">
      <formula>$D601="Appt Scheduled"</formula>
    </cfRule>
    <cfRule type="expression" dxfId="4009" priority="1462">
      <formula>$D601="Prospect - Follow Up"</formula>
    </cfRule>
    <cfRule type="expression" dxfId="4008" priority="1463">
      <formula>$D601="Prospect - HOT!"</formula>
    </cfRule>
    <cfRule type="expression" dxfId="4007" priority="1464">
      <formula>$D601="Prospect - Warm"</formula>
    </cfRule>
  </conditionalFormatting>
  <conditionalFormatting sqref="Y616:Y632">
    <cfRule type="containsText" dxfId="4006" priority="992" operator="containsText" text="Green">
      <formula>NOT(ISERROR(SEARCH("Green",Y616)))</formula>
    </cfRule>
    <cfRule type="containsText" dxfId="4005" priority="993" operator="containsText" text="Tandem">
      <formula>NOT(ISERROR(SEARCH("Tandem",Y616)))</formula>
    </cfRule>
    <cfRule type="containsText" dxfId="4004" priority="994" operator="containsText" text="FRU">
      <formula>NOT(ISERROR(SEARCH("FRU",Y616)))</formula>
    </cfRule>
    <cfRule type="containsText" dxfId="4003" priority="995" operator="containsText" text="LP">
      <formula>NOT(ISERROR(SEARCH("LP",Y616)))</formula>
    </cfRule>
    <cfRule type="containsText" dxfId="4002" priority="996" operator="containsText" text="LT">
      <formula>NOT(ISERROR(SEARCH("LT",Y616)))</formula>
    </cfRule>
  </conditionalFormatting>
  <conditionalFormatting sqref="B616:Z632">
    <cfRule type="expression" dxfId="4001" priority="988">
      <formula>$D616="Cancel-Decline"</formula>
    </cfRule>
    <cfRule type="expression" dxfId="4000" priority="989">
      <formula>$D616="Funded"</formula>
    </cfRule>
    <cfRule type="expression" dxfId="3999" priority="997">
      <formula>$D616="0 - MessageError!"</formula>
    </cfRule>
    <cfRule type="expression" dxfId="3998" priority="998">
      <formula>$D616="9- Changed Mind"</formula>
    </cfRule>
    <cfRule type="expression" dxfId="3997" priority="999">
      <formula>$D616="8- Home Values"</formula>
    </cfRule>
    <cfRule type="expression" dxfId="3996" priority="1000">
      <formula>$D616="7- Market Drop"</formula>
    </cfRule>
    <cfRule type="expression" dxfId="3995" priority="1001">
      <formula>$D616="6- Another Lender"</formula>
    </cfRule>
    <cfRule type="expression" dxfId="3994" priority="1002">
      <formula>$D616="5- ChangedMind?"</formula>
    </cfRule>
    <cfRule type="expression" dxfId="3993" priority="1003">
      <formula>$D616="4- Don'tQualify"</formula>
    </cfRule>
    <cfRule type="expression" dxfId="3992" priority="1004">
      <formula>$D616="3- CashOut"</formula>
    </cfRule>
    <cfRule type="expression" dxfId="3991" priority="1005">
      <formula>$D616="2- RevisedQuote"</formula>
    </cfRule>
    <cfRule type="expression" dxfId="3990" priority="1006">
      <formula>$D616="1- FollowUp"</formula>
    </cfRule>
    <cfRule type="expression" dxfId="3989" priority="1007" stopIfTrue="1">
      <formula>$D616="Responded"</formula>
    </cfRule>
    <cfRule type="expression" dxfId="3988" priority="1008">
      <formula>$D616="Locked!"</formula>
    </cfRule>
    <cfRule type="expression" dxfId="3987" priority="1009">
      <formula>$D616="E-signed!"</formula>
    </cfRule>
    <cfRule type="expression" dxfId="3986" priority="1010">
      <formula>$D616="Docs Received!"</formula>
    </cfRule>
    <cfRule type="expression" dxfId="3985" priority="1011">
      <formula>$D616="Disclosures Going Out..."</formula>
    </cfRule>
    <cfRule type="expression" dxfId="3984" priority="1012">
      <formula>$D616="Disclosures Sent!"</formula>
    </cfRule>
    <cfRule type="expression" dxfId="3983" priority="1013">
      <formula>$D616="FIGURE - Link Sent!"</formula>
    </cfRule>
    <cfRule type="expression" dxfId="3982" priority="1014">
      <formula>$D616="Hard Money Opportunity"</formula>
    </cfRule>
    <cfRule type="expression" dxfId="3981" priority="1015">
      <formula>$D616="Communicating..."</formula>
    </cfRule>
    <cfRule type="expression" dxfId="3980" priority="1016">
      <formula>$D616="Not Interested"</formula>
    </cfRule>
    <cfRule type="expression" dxfId="3979" priority="1017">
      <formula>$D616="APP - Pitched &gt; Follow up"</formula>
    </cfRule>
    <cfRule type="expression" dxfId="3978" priority="1018">
      <formula>$D616="Appt Scheduled"</formula>
    </cfRule>
    <cfRule type="expression" dxfId="3977" priority="1019">
      <formula>$D616="Reverse Mortgage Opportunity"</formula>
    </cfRule>
    <cfRule type="expression" dxfId="3976" priority="1020">
      <formula>$D616="Purchase"</formula>
    </cfRule>
    <cfRule type="expression" dxfId="3975" priority="1021">
      <formula>$D616="Verified Approval Letter"</formula>
    </cfRule>
    <cfRule type="expression" dxfId="3974" priority="1022">
      <formula>$D616="*Thinking about it*"</formula>
    </cfRule>
    <cfRule type="expression" dxfId="3973" priority="1023">
      <formula>$D616="DNQ"</formula>
    </cfRule>
    <cfRule type="expression" dxfId="3972" priority="1024">
      <formula>$D616="Commercial/Business Loan"</formula>
    </cfRule>
    <cfRule type="expression" dxfId="3971" priority="1025">
      <formula>$D616="Credit - Wayfinder"</formula>
    </cfRule>
    <cfRule type="expression" dxfId="3970" priority="1026">
      <formula>$D616="Match or Beat"</formula>
    </cfRule>
    <cfRule type="expression" dxfId="3969" priority="1027">
      <formula>$D616="Future Deal"</formula>
    </cfRule>
    <cfRule type="expression" dxfId="3968" priority="1028">
      <formula>$D616="Prospect -Email Sent"</formula>
    </cfRule>
    <cfRule type="expression" dxfId="3967" priority="1029">
      <formula>$D616="STOP!"</formula>
    </cfRule>
    <cfRule type="expression" dxfId="3966" priority="1030">
      <formula>$D616="No Benefit"</formula>
    </cfRule>
    <cfRule type="expression" dxfId="3965" priority="1031">
      <formula>$D616="Went With Another Lender"</formula>
    </cfRule>
    <cfRule type="expression" dxfId="3964" priority="1032">
      <formula>$D616="Called 3x"</formula>
    </cfRule>
    <cfRule type="expression" dxfId="3963" priority="1033">
      <formula>$D616="Called 2x"</formula>
    </cfRule>
    <cfRule type="expression" dxfId="3962" priority="1034">
      <formula>$D616="T15 - MessageError!"</formula>
    </cfRule>
    <cfRule type="expression" dxfId="3961" priority="1035">
      <formula>$D616="T14 - Right Person?"</formula>
    </cfRule>
    <cfRule type="expression" dxfId="3960" priority="1036">
      <formula>$D616="T13 - Email"</formula>
    </cfRule>
    <cfRule type="expression" dxfId="3959" priority="1037">
      <formula>$D616="T12 - Blown Up"</formula>
    </cfRule>
    <cfRule type="expression" dxfId="3958" priority="1038">
      <formula>$D616="T11 - More Time?"</formula>
    </cfRule>
    <cfRule type="expression" dxfId="3957" priority="1039">
      <formula>$D616="T10 - Really Busy"</formula>
    </cfRule>
    <cfRule type="expression" dxfId="3956" priority="1040">
      <formula>$D616="T9 - Majority of Clients"</formula>
    </cfRule>
    <cfRule type="expression" dxfId="3955" priority="1041">
      <formula>$D616="T8 - STOP Contact"</formula>
    </cfRule>
    <cfRule type="expression" dxfId="3954" priority="1042">
      <formula>$D616="T7 - Another Lender"</formula>
    </cfRule>
    <cfRule type="expression" dxfId="3953" priority="1043">
      <formula>$D616="T6 - Don’t Qualify?"</formula>
    </cfRule>
    <cfRule type="expression" dxfId="3952" priority="1044">
      <formula>$D616="T5 - Debt Consolidation"</formula>
    </cfRule>
    <cfRule type="expression" dxfId="3951" priority="1045">
      <formula>$D616="T4 - Debt / Home"</formula>
    </cfRule>
    <cfRule type="expression" dxfId="3950" priority="1046">
      <formula>$D616="T3 - Correct Cash"</formula>
    </cfRule>
    <cfRule type="expression" dxfId="3949" priority="1047">
      <formula>$D616="T2 - Revised"</formula>
    </cfRule>
    <cfRule type="expression" dxfId="3948" priority="1048">
      <formula>$D616="T1 - Follow Up"</formula>
    </cfRule>
    <cfRule type="expression" dxfId="3947" priority="1049">
      <formula>$D616="APP - LOCKED!"</formula>
    </cfRule>
    <cfRule type="expression" dxfId="3946" priority="1050">
      <formula>$D616="LOCKED!"</formula>
    </cfRule>
    <cfRule type="expression" dxfId="3945" priority="1051">
      <formula>$D616="APP - Pitched &gt; Follow Up!"</formula>
    </cfRule>
    <cfRule type="expression" dxfId="3944" priority="1052">
      <formula>$D616="Pitched &gt; FOLLOW UP!"</formula>
    </cfRule>
    <cfRule type="expression" dxfId="3943" priority="1053">
      <formula>$D616="APP - Application Taken"</formula>
    </cfRule>
    <cfRule type="expression" dxfId="3942" priority="1054">
      <formula>$D616="AL - HOT!"</formula>
    </cfRule>
    <cfRule type="expression" dxfId="3941" priority="1055">
      <formula>$D616="AL - Responded"</formula>
    </cfRule>
    <cfRule type="expression" dxfId="3940" priority="1056">
      <formula>$D616="Prospect - Appt Scheduled"</formula>
    </cfRule>
    <cfRule type="expression" dxfId="3939" priority="1057">
      <formula>$D616="Appt Scheduled"</formula>
    </cfRule>
    <cfRule type="expression" dxfId="3938" priority="1058">
      <formula>$D616="Prospect - Follow Up"</formula>
    </cfRule>
    <cfRule type="expression" dxfId="3937" priority="1059">
      <formula>$D616="Prospect - HOT!"</formula>
    </cfRule>
    <cfRule type="expression" dxfId="3936" priority="1060">
      <formula>$D616="Prospect - Warm"</formula>
    </cfRule>
  </conditionalFormatting>
  <conditionalFormatting sqref="A616:A632">
    <cfRule type="containsText" dxfId="3935" priority="990" operator="containsText" text="E-Mail Sent">
      <formula>NOT(ISERROR(SEARCH("E-Mail Sent",A616)))</formula>
    </cfRule>
    <cfRule type="containsText" dxfId="3934" priority="991" operator="containsText" text="E Mail">
      <formula>NOT(ISERROR(SEARCH("E Mail",A616)))</formula>
    </cfRule>
  </conditionalFormatting>
  <conditionalFormatting sqref="Y633:Y642">
    <cfRule type="containsText" dxfId="3933" priority="919" operator="containsText" text="Green">
      <formula>NOT(ISERROR(SEARCH("Green",Y633)))</formula>
    </cfRule>
    <cfRule type="containsText" dxfId="3932" priority="920" operator="containsText" text="Tandem">
      <formula>NOT(ISERROR(SEARCH("Tandem",Y633)))</formula>
    </cfRule>
    <cfRule type="containsText" dxfId="3931" priority="921" operator="containsText" text="FRU">
      <formula>NOT(ISERROR(SEARCH("FRU",Y633)))</formula>
    </cfRule>
    <cfRule type="containsText" dxfId="3930" priority="922" operator="containsText" text="LP">
      <formula>NOT(ISERROR(SEARCH("LP",Y633)))</formula>
    </cfRule>
    <cfRule type="containsText" dxfId="3929" priority="923" operator="containsText" text="LT">
      <formula>NOT(ISERROR(SEARCH("LT",Y633)))</formula>
    </cfRule>
  </conditionalFormatting>
  <conditionalFormatting sqref="B633:Z642">
    <cfRule type="expression" dxfId="3928" priority="915">
      <formula>$D633="Cancel-Decline"</formula>
    </cfRule>
    <cfRule type="expression" dxfId="3927" priority="916">
      <formula>$D633="Funded"</formula>
    </cfRule>
    <cfRule type="expression" dxfId="3926" priority="924">
      <formula>$D633="0 - MessageError!"</formula>
    </cfRule>
    <cfRule type="expression" dxfId="3925" priority="925">
      <formula>$D633="9- Changed Mind"</formula>
    </cfRule>
    <cfRule type="expression" dxfId="3924" priority="926">
      <formula>$D633="8- Home Values"</formula>
    </cfRule>
    <cfRule type="expression" dxfId="3923" priority="927">
      <formula>$D633="7- Market Drop"</formula>
    </cfRule>
    <cfRule type="expression" dxfId="3922" priority="928">
      <formula>$D633="6- Another Lender"</formula>
    </cfRule>
    <cfRule type="expression" dxfId="3921" priority="929">
      <formula>$D633="5- ChangedMind?"</formula>
    </cfRule>
    <cfRule type="expression" dxfId="3920" priority="930">
      <formula>$D633="4- Don'tQualify"</formula>
    </cfRule>
    <cfRule type="expression" dxfId="3919" priority="931">
      <formula>$D633="3- CashOut"</formula>
    </cfRule>
    <cfRule type="expression" dxfId="3918" priority="932">
      <formula>$D633="2- RevisedQuote"</formula>
    </cfRule>
    <cfRule type="expression" dxfId="3917" priority="933">
      <formula>$D633="1- FollowUp"</formula>
    </cfRule>
    <cfRule type="expression" dxfId="3916" priority="934" stopIfTrue="1">
      <formula>$D633="Responded"</formula>
    </cfRule>
    <cfRule type="expression" dxfId="3915" priority="935">
      <formula>$D633="Locked!"</formula>
    </cfRule>
    <cfRule type="expression" dxfId="3914" priority="936">
      <formula>$D633="E-signed!"</formula>
    </cfRule>
    <cfRule type="expression" dxfId="3913" priority="937">
      <formula>$D633="Docs Received!"</formula>
    </cfRule>
    <cfRule type="expression" dxfId="3912" priority="938">
      <formula>$D633="Disclosures Going Out..."</formula>
    </cfRule>
    <cfRule type="expression" dxfId="3911" priority="939">
      <formula>$D633="Disclosures Sent!"</formula>
    </cfRule>
    <cfRule type="expression" dxfId="3910" priority="940">
      <formula>$D633="FIGURE - Link Sent!"</formula>
    </cfRule>
    <cfRule type="expression" dxfId="3909" priority="941">
      <formula>$D633="Hard Money Opportunity"</formula>
    </cfRule>
    <cfRule type="expression" dxfId="3908" priority="942">
      <formula>$D633="Communicating..."</formula>
    </cfRule>
    <cfRule type="expression" dxfId="3907" priority="943">
      <formula>$D633="Not Interested"</formula>
    </cfRule>
    <cfRule type="expression" dxfId="3906" priority="944">
      <formula>$D633="APP - Pitched &gt; Follow up"</formula>
    </cfRule>
    <cfRule type="expression" dxfId="3905" priority="945">
      <formula>$D633="Appt Scheduled"</formula>
    </cfRule>
    <cfRule type="expression" dxfId="3904" priority="946">
      <formula>$D633="Reverse Mortgage Opportunity"</formula>
    </cfRule>
    <cfRule type="expression" dxfId="3903" priority="947">
      <formula>$D633="Purchase"</formula>
    </cfRule>
    <cfRule type="expression" dxfId="3902" priority="948">
      <formula>$D633="Verified Approval Letter"</formula>
    </cfRule>
    <cfRule type="expression" dxfId="3901" priority="949">
      <formula>$D633="*Thinking about it*"</formula>
    </cfRule>
    <cfRule type="expression" dxfId="3900" priority="950">
      <formula>$D633="DNQ"</formula>
    </cfRule>
    <cfRule type="expression" dxfId="3899" priority="951">
      <formula>$D633="Commercial/Business Loan"</formula>
    </cfRule>
    <cfRule type="expression" dxfId="3898" priority="952">
      <formula>$D633="Credit - Wayfinder"</formula>
    </cfRule>
    <cfRule type="expression" dxfId="3897" priority="953">
      <formula>$D633="Match or Beat"</formula>
    </cfRule>
    <cfRule type="expression" dxfId="3896" priority="954">
      <formula>$D633="Future Deal"</formula>
    </cfRule>
    <cfRule type="expression" dxfId="3895" priority="955">
      <formula>$D633="Prospect -Email Sent"</formula>
    </cfRule>
    <cfRule type="expression" dxfId="3894" priority="956">
      <formula>$D633="STOP!"</formula>
    </cfRule>
    <cfRule type="expression" dxfId="3893" priority="957">
      <formula>$D633="No Benefit"</formula>
    </cfRule>
    <cfRule type="expression" dxfId="3892" priority="958">
      <formula>$D633="Went With Another Lender"</formula>
    </cfRule>
    <cfRule type="expression" dxfId="3891" priority="959">
      <formula>$D633="Called 3x"</formula>
    </cfRule>
    <cfRule type="expression" dxfId="3890" priority="960">
      <formula>$D633="Called 2x"</formula>
    </cfRule>
    <cfRule type="expression" dxfId="3889" priority="961">
      <formula>$D633="T15 - MessageError!"</formula>
    </cfRule>
    <cfRule type="expression" dxfId="3888" priority="962">
      <formula>$D633="T14 - Right Person?"</formula>
    </cfRule>
    <cfRule type="expression" dxfId="3887" priority="963">
      <formula>$D633="T13 - Email"</formula>
    </cfRule>
    <cfRule type="expression" dxfId="3886" priority="964">
      <formula>$D633="T12 - Blown Up"</formula>
    </cfRule>
    <cfRule type="expression" dxfId="3885" priority="965">
      <formula>$D633="T11 - More Time?"</formula>
    </cfRule>
    <cfRule type="expression" dxfId="3884" priority="966">
      <formula>$D633="T10 - Really Busy"</formula>
    </cfRule>
    <cfRule type="expression" dxfId="3883" priority="967">
      <formula>$D633="T9 - Majority of Clients"</formula>
    </cfRule>
    <cfRule type="expression" dxfId="3882" priority="968">
      <formula>$D633="T8 - STOP Contact"</formula>
    </cfRule>
    <cfRule type="expression" dxfId="3881" priority="969">
      <formula>$D633="T7 - Another Lender"</formula>
    </cfRule>
    <cfRule type="expression" dxfId="3880" priority="970">
      <formula>$D633="T6 - Don’t Qualify?"</formula>
    </cfRule>
    <cfRule type="expression" dxfId="3879" priority="971">
      <formula>$D633="T5 - Debt Consolidation"</formula>
    </cfRule>
    <cfRule type="expression" dxfId="3878" priority="972">
      <formula>$D633="T4 - Debt / Home"</formula>
    </cfRule>
    <cfRule type="expression" dxfId="3877" priority="973">
      <formula>$D633="T3 - Correct Cash"</formula>
    </cfRule>
    <cfRule type="expression" dxfId="3876" priority="974">
      <formula>$D633="T2 - Revised"</formula>
    </cfRule>
    <cfRule type="expression" dxfId="3875" priority="975">
      <formula>$D633="T1 - Follow Up"</formula>
    </cfRule>
    <cfRule type="expression" dxfId="3874" priority="976">
      <formula>$D633="APP - LOCKED!"</formula>
    </cfRule>
    <cfRule type="expression" dxfId="3873" priority="977">
      <formula>$D633="LOCKED!"</formula>
    </cfRule>
    <cfRule type="expression" dxfId="3872" priority="978">
      <formula>$D633="APP - Pitched &gt; Follow Up!"</formula>
    </cfRule>
    <cfRule type="expression" dxfId="3871" priority="979">
      <formula>$D633="Pitched &gt; FOLLOW UP!"</formula>
    </cfRule>
    <cfRule type="expression" dxfId="3870" priority="980">
      <formula>$D633="APP - Application Taken"</formula>
    </cfRule>
    <cfRule type="expression" dxfId="3869" priority="981">
      <formula>$D633="AL - HOT!"</formula>
    </cfRule>
    <cfRule type="expression" dxfId="3868" priority="982">
      <formula>$D633="AL - Responded"</formula>
    </cfRule>
    <cfRule type="expression" dxfId="3867" priority="983">
      <formula>$D633="Prospect - Appt Scheduled"</formula>
    </cfRule>
    <cfRule type="expression" dxfId="3866" priority="984">
      <formula>$D633="Appt Scheduled"</formula>
    </cfRule>
    <cfRule type="expression" dxfId="3865" priority="985">
      <formula>$D633="Prospect - Follow Up"</formula>
    </cfRule>
    <cfRule type="expression" dxfId="3864" priority="986">
      <formula>$D633="Prospect - HOT!"</formula>
    </cfRule>
    <cfRule type="expression" dxfId="3863" priority="987">
      <formula>$D633="Prospect - Warm"</formula>
    </cfRule>
  </conditionalFormatting>
  <conditionalFormatting sqref="A633:A642">
    <cfRule type="containsText" dxfId="3862" priority="917" operator="containsText" text="E-Mail Sent">
      <formula>NOT(ISERROR(SEARCH("E-Mail Sent",A633)))</formula>
    </cfRule>
    <cfRule type="containsText" dxfId="3861" priority="918" operator="containsText" text="E Mail">
      <formula>NOT(ISERROR(SEARCH("E Mail",A633)))</formula>
    </cfRule>
  </conditionalFormatting>
  <conditionalFormatting sqref="A758">
    <cfRule type="containsText" dxfId="3860" priority="913" operator="containsText" text="E-Mail Sent">
      <formula>NOT(ISERROR(SEARCH("E-Mail Sent",A758)))</formula>
    </cfRule>
    <cfRule type="containsText" dxfId="3859" priority="914" operator="containsText" text="E Mail">
      <formula>NOT(ISERROR(SEARCH("E Mail",A758)))</formula>
    </cfRule>
  </conditionalFormatting>
  <conditionalFormatting sqref="B758:C758 K758:U758">
    <cfRule type="expression" dxfId="3858" priority="849">
      <formula>$D758="0 - MessageError!"</formula>
    </cfRule>
    <cfRule type="expression" dxfId="3857" priority="850">
      <formula>$D758="9- Changed Mind"</formula>
    </cfRule>
    <cfRule type="expression" dxfId="3856" priority="851">
      <formula>$D758="8- Home Values"</formula>
    </cfRule>
    <cfRule type="expression" dxfId="3855" priority="852">
      <formula>$D758="7- Market Drop"</formula>
    </cfRule>
    <cfRule type="expression" dxfId="3854" priority="853">
      <formula>$D758="6- Another Lender"</formula>
    </cfRule>
    <cfRule type="expression" dxfId="3853" priority="854">
      <formula>$D758="5- ChangedMind?"</formula>
    </cfRule>
    <cfRule type="expression" dxfId="3852" priority="855">
      <formula>$D758="4- Don'tQualify"</formula>
    </cfRule>
    <cfRule type="expression" dxfId="3851" priority="856">
      <formula>$D758="3- CashOut"</formula>
    </cfRule>
    <cfRule type="expression" dxfId="3850" priority="857">
      <formula>$D758="2- RevisedQuote"</formula>
    </cfRule>
    <cfRule type="expression" dxfId="3849" priority="858">
      <formula>$D758="1- FollowUp"</formula>
    </cfRule>
    <cfRule type="expression" dxfId="3848" priority="859" stopIfTrue="1">
      <formula>$D758="Responded"</formula>
    </cfRule>
    <cfRule type="expression" dxfId="3847" priority="860">
      <formula>$D758="Locked!"</formula>
    </cfRule>
    <cfRule type="expression" dxfId="3846" priority="861">
      <formula>$D758="E-signed!"</formula>
    </cfRule>
    <cfRule type="expression" dxfId="3845" priority="862">
      <formula>$D758="Docs Received!"</formula>
    </cfRule>
    <cfRule type="expression" dxfId="3844" priority="863">
      <formula>$D758="Disclosures Going Out..."</formula>
    </cfRule>
    <cfRule type="expression" dxfId="3843" priority="864">
      <formula>$D758="Disclosures Sent!"</formula>
    </cfRule>
    <cfRule type="expression" dxfId="3842" priority="865">
      <formula>$D758="FIGURE - Link Sent!"</formula>
    </cfRule>
    <cfRule type="expression" dxfId="3841" priority="866">
      <formula>$D758="Hard Money Opportunity"</formula>
    </cfRule>
    <cfRule type="expression" dxfId="3840" priority="867">
      <formula>$D758="Communicating..."</formula>
    </cfRule>
    <cfRule type="expression" dxfId="3839" priority="868">
      <formula>$D758="Not Interested"</formula>
    </cfRule>
    <cfRule type="expression" dxfId="3838" priority="869">
      <formula>$D758="APP - Pitched &gt; Follow up"</formula>
    </cfRule>
    <cfRule type="expression" dxfId="3837" priority="870">
      <formula>$D758="Appt Scheduled"</formula>
    </cfRule>
    <cfRule type="expression" dxfId="3836" priority="871">
      <formula>$D758="Reverse Mortgage Opportunity"</formula>
    </cfRule>
    <cfRule type="expression" dxfId="3835" priority="872">
      <formula>$D758="Purchase"</formula>
    </cfRule>
    <cfRule type="expression" dxfId="3834" priority="873">
      <formula>$D758="Verified Approval Letter"</formula>
    </cfRule>
    <cfRule type="expression" dxfId="3833" priority="874">
      <formula>$D758="*Thinking about it*"</formula>
    </cfRule>
    <cfRule type="expression" dxfId="3832" priority="875">
      <formula>$D758="DNQ"</formula>
    </cfRule>
    <cfRule type="expression" dxfId="3831" priority="876">
      <formula>$D758="Commercial/Business Loan"</formula>
    </cfRule>
    <cfRule type="expression" dxfId="3830" priority="877">
      <formula>$D758="Credit - Wayfinder"</formula>
    </cfRule>
    <cfRule type="expression" dxfId="3829" priority="878">
      <formula>$D758="Match or Beat"</formula>
    </cfRule>
    <cfRule type="expression" dxfId="3828" priority="879">
      <formula>$D758="Future Deal"</formula>
    </cfRule>
    <cfRule type="expression" dxfId="3827" priority="880">
      <formula>$D758="Prospect -Email Sent"</formula>
    </cfRule>
    <cfRule type="expression" dxfId="3826" priority="881">
      <formula>$D758="STOP!"</formula>
    </cfRule>
    <cfRule type="expression" dxfId="3825" priority="882">
      <formula>$D758="Cold - Unresponsive"</formula>
    </cfRule>
    <cfRule type="expression" dxfId="3824" priority="883">
      <formula>$D758="Cold - Wrong Number"</formula>
    </cfRule>
    <cfRule type="expression" dxfId="3823" priority="884">
      <formula>$D758="Called 3x"</formula>
    </cfRule>
    <cfRule type="expression" dxfId="3822" priority="885">
      <formula>$D758="Called 2x"</formula>
    </cfRule>
    <cfRule type="expression" dxfId="3821" priority="886">
      <formula>$D758="T15 - MessageError!"</formula>
    </cfRule>
    <cfRule type="expression" dxfId="3820" priority="887">
      <formula>$D758="T14 - Right Person?"</formula>
    </cfRule>
    <cfRule type="expression" dxfId="3819" priority="888">
      <formula>$D758="T13 - Email"</formula>
    </cfRule>
    <cfRule type="expression" dxfId="3818" priority="889">
      <formula>$D758="T12 - Blown Up"</formula>
    </cfRule>
    <cfRule type="expression" dxfId="3817" priority="890">
      <formula>$D758="T11 - More Time?"</formula>
    </cfRule>
    <cfRule type="expression" dxfId="3816" priority="891">
      <formula>$D758="T10 - Really Busy"</formula>
    </cfRule>
    <cfRule type="expression" dxfId="3815" priority="892">
      <formula>$D758="T9 - Majority of Clients"</formula>
    </cfRule>
    <cfRule type="expression" dxfId="3814" priority="893">
      <formula>$D758="T8 - STOP Contact"</formula>
    </cfRule>
    <cfRule type="expression" dxfId="3813" priority="894">
      <formula>$D758="T7 - Another Lender"</formula>
    </cfRule>
    <cfRule type="expression" dxfId="3812" priority="895">
      <formula>$D758="T6 - Don’t Qualify?"</formula>
    </cfRule>
    <cfRule type="expression" dxfId="3811" priority="896">
      <formula>$D758="T5 - Debt Consolidation"</formula>
    </cfRule>
    <cfRule type="expression" dxfId="3810" priority="897">
      <formula>$D758="T4 - Debt / Home"</formula>
    </cfRule>
    <cfRule type="expression" dxfId="3809" priority="898">
      <formula>$D758="T3 - Correct Cash"</formula>
    </cfRule>
    <cfRule type="expression" dxfId="3808" priority="899">
      <formula>$D758="T2 - Revised"</formula>
    </cfRule>
    <cfRule type="expression" dxfId="3807" priority="900">
      <formula>$D758="T1 - Follow Up"</formula>
    </cfRule>
    <cfRule type="expression" dxfId="3806" priority="901">
      <formula>$D758="APP - LOCKED!"</formula>
    </cfRule>
    <cfRule type="expression" dxfId="3805" priority="902">
      <formula>$D758="LOCKED!"</formula>
    </cfRule>
    <cfRule type="expression" dxfId="3804" priority="903">
      <formula>$D758="APP - Pitched &gt; Follow Up!"</formula>
    </cfRule>
    <cfRule type="expression" dxfId="3803" priority="904">
      <formula>$D758="Pitched &gt; FOLLOW UP!"</formula>
    </cfRule>
    <cfRule type="expression" dxfId="3802" priority="905">
      <formula>$D758="APP - Application Taken"</formula>
    </cfRule>
    <cfRule type="expression" dxfId="3801" priority="906">
      <formula>$D758="AL - HOT!"</formula>
    </cfRule>
    <cfRule type="expression" dxfId="3800" priority="907">
      <formula>$D758="AL - Responded"</formula>
    </cfRule>
    <cfRule type="expression" dxfId="3799" priority="908">
      <formula>$D758="Prospect - Appt Scheduled"</formula>
    </cfRule>
    <cfRule type="expression" dxfId="3798" priority="909">
      <formula>$D758="Appt Scheduled"</formula>
    </cfRule>
    <cfRule type="expression" dxfId="3797" priority="910">
      <formula>$D758="Prospect - Follow Up"</formula>
    </cfRule>
    <cfRule type="expression" dxfId="3796" priority="911">
      <formula>$D758="Prospect - HOT!"</formula>
    </cfRule>
    <cfRule type="expression" dxfId="3795" priority="912">
      <formula>$D758="Prospect - Warm"</formula>
    </cfRule>
  </conditionalFormatting>
  <conditionalFormatting sqref="B758:C758 K758:U758">
    <cfRule type="expression" dxfId="3794" priority="846">
      <formula>$D758="Cancel-Decline"</formula>
    </cfRule>
    <cfRule type="expression" dxfId="3793" priority="847">
      <formula>$D758="Funded"</formula>
    </cfRule>
    <cfRule type="expression" dxfId="3792" priority="848">
      <formula>$D758="Not Interested"</formula>
    </cfRule>
  </conditionalFormatting>
  <conditionalFormatting sqref="D758:J758">
    <cfRule type="expression" dxfId="3791" priority="780">
      <formula>$D758="Cancel-Decline"</formula>
    </cfRule>
    <cfRule type="expression" dxfId="3790" priority="781">
      <formula>$D758="Funded"</formula>
    </cfRule>
    <cfRule type="expression" dxfId="3789" priority="782">
      <formula>$D758="0 - MessageError!"</formula>
    </cfRule>
    <cfRule type="expression" dxfId="3788" priority="783">
      <formula>$D758="9- Changed Mind"</formula>
    </cfRule>
    <cfRule type="expression" dxfId="3787" priority="784">
      <formula>$D758="8- Home Values"</formula>
    </cfRule>
    <cfRule type="expression" dxfId="3786" priority="785">
      <formula>$D758="7- Market Drop"</formula>
    </cfRule>
    <cfRule type="expression" dxfId="3785" priority="786">
      <formula>$D758="6- Another Lender"</formula>
    </cfRule>
    <cfRule type="expression" dxfId="3784" priority="787">
      <formula>$D758="5- ChangedMind?"</formula>
    </cfRule>
    <cfRule type="expression" dxfId="3783" priority="788">
      <formula>$D758="4- Don'tQualify"</formula>
    </cfRule>
    <cfRule type="expression" dxfId="3782" priority="789">
      <formula>$D758="3- CashOut"</formula>
    </cfRule>
    <cfRule type="expression" dxfId="3781" priority="790">
      <formula>$D758="2- RevisedQuote"</formula>
    </cfRule>
    <cfRule type="expression" dxfId="3780" priority="791">
      <formula>$D758="1- FollowUp"</formula>
    </cfRule>
    <cfRule type="expression" dxfId="3779" priority="792" stopIfTrue="1">
      <formula>$D758="Responded"</formula>
    </cfRule>
    <cfRule type="expression" dxfId="3778" priority="793">
      <formula>$D758="Locked!"</formula>
    </cfRule>
    <cfRule type="expression" dxfId="3777" priority="794">
      <formula>$D758="E-signed!"</formula>
    </cfRule>
    <cfRule type="expression" dxfId="3776" priority="795">
      <formula>$D758="Docs Received!"</formula>
    </cfRule>
    <cfRule type="expression" dxfId="3775" priority="796">
      <formula>$D758="Disclosures Going Out..."</formula>
    </cfRule>
    <cfRule type="expression" dxfId="3774" priority="797">
      <formula>$D758="Disclosures Sent!"</formula>
    </cfRule>
    <cfRule type="expression" dxfId="3773" priority="798">
      <formula>$D758="FIGURE - Link Sent!"</formula>
    </cfRule>
    <cfRule type="expression" dxfId="3772" priority="799">
      <formula>$D758="Hard Money Opportunity"</formula>
    </cfRule>
    <cfRule type="expression" dxfId="3771" priority="800">
      <formula>$D758="Communicating..."</formula>
    </cfRule>
    <cfRule type="expression" dxfId="3770" priority="801">
      <formula>$D758="Not Interested"</formula>
    </cfRule>
    <cfRule type="expression" dxfId="3769" priority="802">
      <formula>$D758="APP - Pitched &gt; Follow up"</formula>
    </cfRule>
    <cfRule type="expression" dxfId="3768" priority="803">
      <formula>$D758="Appt Scheduled"</formula>
    </cfRule>
    <cfRule type="expression" dxfId="3767" priority="804">
      <formula>$D758="Reverse Mortgage Opportunity"</formula>
    </cfRule>
    <cfRule type="expression" dxfId="3766" priority="805">
      <formula>$D758="Purchase"</formula>
    </cfRule>
    <cfRule type="expression" dxfId="3765" priority="806">
      <formula>$D758="Verified Approval Letter"</formula>
    </cfRule>
    <cfRule type="expression" dxfId="3764" priority="807">
      <formula>$D758="*Thinking about it*"</formula>
    </cfRule>
    <cfRule type="expression" dxfId="3763" priority="808">
      <formula>$D758="DNQ"</formula>
    </cfRule>
    <cfRule type="expression" dxfId="3762" priority="809">
      <formula>$D758="Commercial/Business Loan"</formula>
    </cfRule>
    <cfRule type="expression" dxfId="3761" priority="810">
      <formula>$D758="Credit - Wayfinder"</formula>
    </cfRule>
    <cfRule type="expression" dxfId="3760" priority="811">
      <formula>$D758="Match or Beat"</formula>
    </cfRule>
    <cfRule type="expression" dxfId="3759" priority="812">
      <formula>$D758="Future Deal"</formula>
    </cfRule>
    <cfRule type="expression" dxfId="3758" priority="813">
      <formula>$D758="Prospect -Email Sent"</formula>
    </cfRule>
    <cfRule type="expression" dxfId="3757" priority="814">
      <formula>$D758="STOP!"</formula>
    </cfRule>
    <cfRule type="expression" dxfId="3756" priority="815">
      <formula>$D758="No Benefit"</formula>
    </cfRule>
    <cfRule type="expression" dxfId="3755" priority="816">
      <formula>$D758="Went With Another Lender"</formula>
    </cfRule>
    <cfRule type="expression" dxfId="3754" priority="817">
      <formula>$D758="Called 3x"</formula>
    </cfRule>
    <cfRule type="expression" dxfId="3753" priority="818">
      <formula>$D758="Called 2x"</formula>
    </cfRule>
    <cfRule type="expression" dxfId="3752" priority="819">
      <formula>$D758="T15 - MessageError!"</formula>
    </cfRule>
    <cfRule type="expression" dxfId="3751" priority="820">
      <formula>$D758="T14 - Right Person?"</formula>
    </cfRule>
    <cfRule type="expression" dxfId="3750" priority="821">
      <formula>$D758="T13 - Email"</formula>
    </cfRule>
    <cfRule type="expression" dxfId="3749" priority="822">
      <formula>$D758="T12 - Blown Up"</formula>
    </cfRule>
    <cfRule type="expression" dxfId="3748" priority="823">
      <formula>$D758="T11 - More Time?"</formula>
    </cfRule>
    <cfRule type="expression" dxfId="3747" priority="824">
      <formula>$D758="T10 - Really Busy"</formula>
    </cfRule>
    <cfRule type="expression" dxfId="3746" priority="825">
      <formula>$D758="T9 - Majority of Clients"</formula>
    </cfRule>
    <cfRule type="expression" dxfId="3745" priority="826">
      <formula>$D758="T8 - STOP Contact"</formula>
    </cfRule>
    <cfRule type="expression" dxfId="3744" priority="827">
      <formula>$D758="T7 - Another Lender"</formula>
    </cfRule>
    <cfRule type="expression" dxfId="3743" priority="828">
      <formula>$D758="T6 - Don’t Qualify?"</formula>
    </cfRule>
    <cfRule type="expression" dxfId="3742" priority="829">
      <formula>$D758="T5 - Debt Consolidation"</formula>
    </cfRule>
    <cfRule type="expression" dxfId="3741" priority="830">
      <formula>$D758="T4 - Debt / Home"</formula>
    </cfRule>
    <cfRule type="expression" dxfId="3740" priority="831">
      <formula>$D758="T3 - Correct Cash"</formula>
    </cfRule>
    <cfRule type="expression" dxfId="3739" priority="832">
      <formula>$D758="T2 - Revised"</formula>
    </cfRule>
    <cfRule type="expression" dxfId="3738" priority="833">
      <formula>$D758="T1 - Follow Up"</formula>
    </cfRule>
    <cfRule type="expression" dxfId="3737" priority="834">
      <formula>$D758="APP - LOCKED!"</formula>
    </cfRule>
    <cfRule type="expression" dxfId="3736" priority="835">
      <formula>$D758="LOCKED!"</formula>
    </cfRule>
    <cfRule type="expression" dxfId="3735" priority="836">
      <formula>$D758="APP - Pitched &gt; Follow Up!"</formula>
    </cfRule>
    <cfRule type="expression" dxfId="3734" priority="837">
      <formula>$D758="Pitched &gt; FOLLOW UP!"</formula>
    </cfRule>
    <cfRule type="expression" dxfId="3733" priority="838">
      <formula>$D758="APP - Application Taken"</formula>
    </cfRule>
    <cfRule type="expression" dxfId="3732" priority="839">
      <formula>$D758="AL - HOT!"</formula>
    </cfRule>
    <cfRule type="expression" dxfId="3731" priority="840">
      <formula>$D758="AL - Responded"</formula>
    </cfRule>
    <cfRule type="expression" dxfId="3730" priority="841">
      <formula>$D758="Prospect - Appt Scheduled"</formula>
    </cfRule>
    <cfRule type="expression" dxfId="3729" priority="842">
      <formula>$D758="Appt Scheduled"</formula>
    </cfRule>
    <cfRule type="expression" dxfId="3728" priority="843">
      <formula>$D758="Prospect - Follow Up"</formula>
    </cfRule>
    <cfRule type="expression" dxfId="3727" priority="844">
      <formula>$D758="Prospect - HOT!"</formula>
    </cfRule>
    <cfRule type="expression" dxfId="3726" priority="845">
      <formula>$D758="Prospect - Warm"</formula>
    </cfRule>
  </conditionalFormatting>
  <conditionalFormatting sqref="Y789">
    <cfRule type="containsText" dxfId="3725" priority="711" operator="containsText" text="Green">
      <formula>NOT(ISERROR(SEARCH("Green",Y789)))</formula>
    </cfRule>
    <cfRule type="containsText" dxfId="3724" priority="712" operator="containsText" text="Tandem">
      <formula>NOT(ISERROR(SEARCH("Tandem",Y789)))</formula>
    </cfRule>
    <cfRule type="containsText" dxfId="3723" priority="713" operator="containsText" text="FRU">
      <formula>NOT(ISERROR(SEARCH("FRU",Y789)))</formula>
    </cfRule>
    <cfRule type="containsText" dxfId="3722" priority="714" operator="containsText" text="LP">
      <formula>NOT(ISERROR(SEARCH("LP",Y789)))</formula>
    </cfRule>
    <cfRule type="containsText" dxfId="3721" priority="715" operator="containsText" text="LT">
      <formula>NOT(ISERROR(SEARCH("LT",Y789)))</formula>
    </cfRule>
  </conditionalFormatting>
  <conditionalFormatting sqref="B789:Z789">
    <cfRule type="expression" dxfId="3720" priority="707">
      <formula>$D789="Cancel-Decline"</formula>
    </cfRule>
    <cfRule type="expression" dxfId="3719" priority="708">
      <formula>$D789="Funded"</formula>
    </cfRule>
    <cfRule type="expression" dxfId="3718" priority="716">
      <formula>$D789="0 - MessageError!"</formula>
    </cfRule>
    <cfRule type="expression" dxfId="3717" priority="717">
      <formula>$D789="9- Changed Mind"</formula>
    </cfRule>
    <cfRule type="expression" dxfId="3716" priority="718">
      <formula>$D789="8- Home Values"</formula>
    </cfRule>
    <cfRule type="expression" dxfId="3715" priority="719">
      <formula>$D789="7- Market Drop"</formula>
    </cfRule>
    <cfRule type="expression" dxfId="3714" priority="720">
      <formula>$D789="6- Another Lender"</formula>
    </cfRule>
    <cfRule type="expression" dxfId="3713" priority="721">
      <formula>$D789="5- ChangedMind?"</formula>
    </cfRule>
    <cfRule type="expression" dxfId="3712" priority="722">
      <formula>$D789="4- Don'tQualify"</formula>
    </cfRule>
    <cfRule type="expression" dxfId="3711" priority="723">
      <formula>$D789="3- CashOut"</formula>
    </cfRule>
    <cfRule type="expression" dxfId="3710" priority="724">
      <formula>$D789="2- RevisedQuote"</formula>
    </cfRule>
    <cfRule type="expression" dxfId="3709" priority="725">
      <formula>$D789="1- FollowUp"</formula>
    </cfRule>
    <cfRule type="expression" dxfId="3708" priority="726" stopIfTrue="1">
      <formula>$D789="Responded"</formula>
    </cfRule>
    <cfRule type="expression" dxfId="3707" priority="727">
      <formula>$D789="Locked!"</formula>
    </cfRule>
    <cfRule type="expression" dxfId="3706" priority="728">
      <formula>$D789="E-signed!"</formula>
    </cfRule>
    <cfRule type="expression" dxfId="3705" priority="729">
      <formula>$D789="Docs Received!"</formula>
    </cfRule>
    <cfRule type="expression" dxfId="3704" priority="730">
      <formula>$D789="Disclosures Going Out..."</formula>
    </cfRule>
    <cfRule type="expression" dxfId="3703" priority="731">
      <formula>$D789="Disclosures Sent!"</formula>
    </cfRule>
    <cfRule type="expression" dxfId="3702" priority="732">
      <formula>$D789="FIGURE - Link Sent!"</formula>
    </cfRule>
    <cfRule type="expression" dxfId="3701" priority="733">
      <formula>$D789="Hard Money Opportunity"</formula>
    </cfRule>
    <cfRule type="expression" dxfId="3700" priority="734">
      <formula>$D789="Communicating..."</formula>
    </cfRule>
    <cfRule type="expression" dxfId="3699" priority="735">
      <formula>$D789="Not Interested"</formula>
    </cfRule>
    <cfRule type="expression" dxfId="3698" priority="736">
      <formula>$D789="APP - Pitched &gt; Follow up"</formula>
    </cfRule>
    <cfRule type="expression" dxfId="3697" priority="737">
      <formula>$D789="Appt Scheduled"</formula>
    </cfRule>
    <cfRule type="expression" dxfId="3696" priority="738">
      <formula>$D789="Reverse Mortgage Opportunity"</formula>
    </cfRule>
    <cfRule type="expression" dxfId="3695" priority="739">
      <formula>$D789="Purchase"</formula>
    </cfRule>
    <cfRule type="expression" dxfId="3694" priority="740">
      <formula>$D789="Verified Approval Letter"</formula>
    </cfRule>
    <cfRule type="expression" dxfId="3693" priority="741">
      <formula>$D789="*Thinking about it*"</formula>
    </cfRule>
    <cfRule type="expression" dxfId="3692" priority="742">
      <formula>$D789="DNQ"</formula>
    </cfRule>
    <cfRule type="expression" dxfId="3691" priority="743">
      <formula>$D789="Commercial/Business Loan"</formula>
    </cfRule>
    <cfRule type="expression" dxfId="3690" priority="744">
      <formula>$D789="Credit - Wayfinder"</formula>
    </cfRule>
    <cfRule type="expression" dxfId="3689" priority="745">
      <formula>$D789="Match or Beat"</formula>
    </cfRule>
    <cfRule type="expression" dxfId="3688" priority="746">
      <formula>$D789="Future Deal"</formula>
    </cfRule>
    <cfRule type="expression" dxfId="3687" priority="747">
      <formula>$D789="Prospect -Email Sent"</formula>
    </cfRule>
    <cfRule type="expression" dxfId="3686" priority="748">
      <formula>$D789="STOP!"</formula>
    </cfRule>
    <cfRule type="expression" dxfId="3685" priority="749">
      <formula>$D789="No Benefit"</formula>
    </cfRule>
    <cfRule type="expression" dxfId="3684" priority="750">
      <formula>$D789="Went With Another Lender"</formula>
    </cfRule>
    <cfRule type="expression" dxfId="3683" priority="751">
      <formula>$D789="Called 3x"</formula>
    </cfRule>
    <cfRule type="expression" dxfId="3682" priority="752">
      <formula>$D789="Called 2x"</formula>
    </cfRule>
    <cfRule type="expression" dxfId="3681" priority="753">
      <formula>$D789="T15 - MessageError!"</formula>
    </cfRule>
    <cfRule type="expression" dxfId="3680" priority="754">
      <formula>$D789="T14 - Right Person?"</formula>
    </cfRule>
    <cfRule type="expression" dxfId="3679" priority="755">
      <formula>$D789="T13 - Email"</formula>
    </cfRule>
    <cfRule type="expression" dxfId="3678" priority="756">
      <formula>$D789="T12 - Blown Up"</formula>
    </cfRule>
    <cfRule type="expression" dxfId="3677" priority="757">
      <formula>$D789="T11 - More Time?"</formula>
    </cfRule>
    <cfRule type="expression" dxfId="3676" priority="758">
      <formula>$D789="T10 - Really Busy"</formula>
    </cfRule>
    <cfRule type="expression" dxfId="3675" priority="759">
      <formula>$D789="T9 - Majority of Clients"</formula>
    </cfRule>
    <cfRule type="expression" dxfId="3674" priority="760">
      <formula>$D789="T8 - STOP Contact"</formula>
    </cfRule>
    <cfRule type="expression" dxfId="3673" priority="761">
      <formula>$D789="T7 - Another Lender"</formula>
    </cfRule>
    <cfRule type="expression" dxfId="3672" priority="762">
      <formula>$D789="T6 - Don’t Qualify?"</formula>
    </cfRule>
    <cfRule type="expression" dxfId="3671" priority="763">
      <formula>$D789="T5 - Debt Consolidation"</formula>
    </cfRule>
    <cfRule type="expression" dxfId="3670" priority="764">
      <formula>$D789="T4 - Debt / Home"</formula>
    </cfRule>
    <cfRule type="expression" dxfId="3669" priority="765">
      <formula>$D789="T3 - Correct Cash"</formula>
    </cfRule>
    <cfRule type="expression" dxfId="3668" priority="766">
      <formula>$D789="T2 - Revised"</formula>
    </cfRule>
    <cfRule type="expression" dxfId="3667" priority="767">
      <formula>$D789="T1 - Follow Up"</formula>
    </cfRule>
    <cfRule type="expression" dxfId="3666" priority="768">
      <formula>$D789="APP - LOCKED!"</formula>
    </cfRule>
    <cfRule type="expression" dxfId="3665" priority="769">
      <formula>$D789="LOCKED!"</formula>
    </cfRule>
    <cfRule type="expression" dxfId="3664" priority="770">
      <formula>$D789="APP - Pitched &gt; Follow Up!"</formula>
    </cfRule>
    <cfRule type="expression" dxfId="3663" priority="771">
      <formula>$D789="Pitched &gt; FOLLOW UP!"</formula>
    </cfRule>
    <cfRule type="expression" dxfId="3662" priority="772">
      <formula>$D789="APP - Application Taken"</formula>
    </cfRule>
    <cfRule type="expression" dxfId="3661" priority="773">
      <formula>$D789="AL - HOT!"</formula>
    </cfRule>
    <cfRule type="expression" dxfId="3660" priority="774">
      <formula>$D789="AL - Responded"</formula>
    </cfRule>
    <cfRule type="expression" dxfId="3659" priority="775">
      <formula>$D789="Prospect - Appt Scheduled"</formula>
    </cfRule>
    <cfRule type="expression" dxfId="3658" priority="776">
      <formula>$D789="Appt Scheduled"</formula>
    </cfRule>
    <cfRule type="expression" dxfId="3657" priority="777">
      <formula>$D789="Prospect - Follow Up"</formula>
    </cfRule>
    <cfRule type="expression" dxfId="3656" priority="778">
      <formula>$D789="Prospect - HOT!"</formula>
    </cfRule>
    <cfRule type="expression" dxfId="3655" priority="779">
      <formula>$D789="Prospect - Warm"</formula>
    </cfRule>
  </conditionalFormatting>
  <conditionalFormatting sqref="A789">
    <cfRule type="containsText" dxfId="3654" priority="709" operator="containsText" text="E-Mail Sent">
      <formula>NOT(ISERROR(SEARCH("E-Mail Sent",A789)))</formula>
    </cfRule>
    <cfRule type="containsText" dxfId="3653" priority="710" operator="containsText" text="E Mail">
      <formula>NOT(ISERROR(SEARCH("E Mail",A789)))</formula>
    </cfRule>
  </conditionalFormatting>
  <conditionalFormatting sqref="Y936:Y1062">
    <cfRule type="containsText" dxfId="3652" priority="638" operator="containsText" text="Green">
      <formula>NOT(ISERROR(SEARCH("Green",Y936)))</formula>
    </cfRule>
    <cfRule type="containsText" dxfId="3651" priority="639" operator="containsText" text="Tandem">
      <formula>NOT(ISERROR(SEARCH("Tandem",Y936)))</formula>
    </cfRule>
    <cfRule type="containsText" dxfId="3650" priority="640" operator="containsText" text="FRU">
      <formula>NOT(ISERROR(SEARCH("FRU",Y936)))</formula>
    </cfRule>
    <cfRule type="containsText" dxfId="3649" priority="641" operator="containsText" text="LP">
      <formula>NOT(ISERROR(SEARCH("LP",Y936)))</formula>
    </cfRule>
    <cfRule type="containsText" dxfId="3648" priority="642" operator="containsText" text="LT">
      <formula>NOT(ISERROR(SEARCH("LT",Y936)))</formula>
    </cfRule>
  </conditionalFormatting>
  <conditionalFormatting sqref="B936:Z1062">
    <cfRule type="expression" dxfId="3647" priority="634">
      <formula>$D936="Cancel-Decline"</formula>
    </cfRule>
    <cfRule type="expression" dxfId="3646" priority="635">
      <formula>$D936="Funded"</formula>
    </cfRule>
    <cfRule type="expression" dxfId="3645" priority="643">
      <formula>$D936="0 - MessageError!"</formula>
    </cfRule>
    <cfRule type="expression" dxfId="3644" priority="644">
      <formula>$D936="9- Changed Mind"</formula>
    </cfRule>
    <cfRule type="expression" dxfId="3643" priority="645">
      <formula>$D936="8- Home Values"</formula>
    </cfRule>
    <cfRule type="expression" dxfId="3642" priority="646">
      <formula>$D936="7- Market Drop"</formula>
    </cfRule>
    <cfRule type="expression" dxfId="3641" priority="647">
      <formula>$D936="6- Another Lender"</formula>
    </cfRule>
    <cfRule type="expression" dxfId="3640" priority="648">
      <formula>$D936="5- ChangedMind?"</formula>
    </cfRule>
    <cfRule type="expression" dxfId="3639" priority="649">
      <formula>$D936="4- Don'tQualify"</formula>
    </cfRule>
    <cfRule type="expression" dxfId="3638" priority="650">
      <formula>$D936="3- CashOut"</formula>
    </cfRule>
    <cfRule type="expression" dxfId="3637" priority="651">
      <formula>$D936="2- RevisedQuote"</formula>
    </cfRule>
    <cfRule type="expression" dxfId="3636" priority="652">
      <formula>$D936="1- FollowUp"</formula>
    </cfRule>
    <cfRule type="expression" dxfId="3635" priority="653" stopIfTrue="1">
      <formula>$D936="Responded"</formula>
    </cfRule>
    <cfRule type="expression" dxfId="3634" priority="654">
      <formula>$D936="Locked!"</formula>
    </cfRule>
    <cfRule type="expression" dxfId="3633" priority="655">
      <formula>$D936="E-signed!"</formula>
    </cfRule>
    <cfRule type="expression" dxfId="3632" priority="656">
      <formula>$D936="Docs Received!"</formula>
    </cfRule>
    <cfRule type="expression" dxfId="3631" priority="657">
      <formula>$D936="Disclosures Going Out..."</formula>
    </cfRule>
    <cfRule type="expression" dxfId="3630" priority="658">
      <formula>$D936="Disclosures Sent!"</formula>
    </cfRule>
    <cfRule type="expression" dxfId="3629" priority="659">
      <formula>$D936="FIGURE - Link Sent!"</formula>
    </cfRule>
    <cfRule type="expression" dxfId="3628" priority="660">
      <formula>$D936="Hard Money Opportunity"</formula>
    </cfRule>
    <cfRule type="expression" dxfId="3627" priority="661">
      <formula>$D936="Communicating..."</formula>
    </cfRule>
    <cfRule type="expression" dxfId="3626" priority="662">
      <formula>$D936="Not Interested"</formula>
    </cfRule>
    <cfRule type="expression" dxfId="3625" priority="663">
      <formula>$D936="APP - Pitched &gt; Follow up"</formula>
    </cfRule>
    <cfRule type="expression" dxfId="3624" priority="664">
      <formula>$D936="Appt Scheduled"</formula>
    </cfRule>
    <cfRule type="expression" dxfId="3623" priority="665">
      <formula>$D936="Reverse Mortgage Opportunity"</formula>
    </cfRule>
    <cfRule type="expression" dxfId="3622" priority="666">
      <formula>$D936="Purchase"</formula>
    </cfRule>
    <cfRule type="expression" dxfId="3621" priority="667">
      <formula>$D936="Verified Approval Letter"</formula>
    </cfRule>
    <cfRule type="expression" dxfId="3620" priority="668">
      <formula>$D936="*Thinking about it*"</formula>
    </cfRule>
    <cfRule type="expression" dxfId="3619" priority="669">
      <formula>$D936="DNQ"</formula>
    </cfRule>
    <cfRule type="expression" dxfId="3618" priority="670">
      <formula>$D936="Commercial/Business Loan"</formula>
    </cfRule>
    <cfRule type="expression" dxfId="3617" priority="671">
      <formula>$D936="Credit - Wayfinder"</formula>
    </cfRule>
    <cfRule type="expression" dxfId="3616" priority="672">
      <formula>$D936="Match or Beat"</formula>
    </cfRule>
    <cfRule type="expression" dxfId="3615" priority="673">
      <formula>$D936="Future Deal"</formula>
    </cfRule>
    <cfRule type="expression" dxfId="3614" priority="674">
      <formula>$D936="Prospect -Email Sent"</formula>
    </cfRule>
    <cfRule type="expression" dxfId="3613" priority="675">
      <formula>$D936="STOP!"</formula>
    </cfRule>
    <cfRule type="expression" dxfId="3612" priority="676">
      <formula>$D936="No Benefit"</formula>
    </cfRule>
    <cfRule type="expression" dxfId="3611" priority="677">
      <formula>$D936="Went With Another Lender"</formula>
    </cfRule>
    <cfRule type="expression" dxfId="3610" priority="678">
      <formula>$D936="Called 3x"</formula>
    </cfRule>
    <cfRule type="expression" dxfId="3609" priority="679">
      <formula>$D936="Called 2x"</formula>
    </cfRule>
    <cfRule type="expression" dxfId="3608" priority="680">
      <formula>$D936="T15 - MessageError!"</formula>
    </cfRule>
    <cfRule type="expression" dxfId="3607" priority="681">
      <formula>$D936="T14 - Right Person?"</formula>
    </cfRule>
    <cfRule type="expression" dxfId="3606" priority="682">
      <formula>$D936="T13 - Email"</formula>
    </cfRule>
    <cfRule type="expression" dxfId="3605" priority="683">
      <formula>$D936="T12 - Blown Up"</formula>
    </cfRule>
    <cfRule type="expression" dxfId="3604" priority="684">
      <formula>$D936="T11 - More Time?"</formula>
    </cfRule>
    <cfRule type="expression" dxfId="3603" priority="685">
      <formula>$D936="T10 - Really Busy"</formula>
    </cfRule>
    <cfRule type="expression" dxfId="3602" priority="686">
      <formula>$D936="T9 - Majority of Clients"</formula>
    </cfRule>
    <cfRule type="expression" dxfId="3601" priority="687">
      <formula>$D936="T8 - STOP Contact"</formula>
    </cfRule>
    <cfRule type="expression" dxfId="3600" priority="688">
      <formula>$D936="T7 - Another Lender"</formula>
    </cfRule>
    <cfRule type="expression" dxfId="3599" priority="689">
      <formula>$D936="T6 - Don’t Qualify?"</formula>
    </cfRule>
    <cfRule type="expression" dxfId="3598" priority="690">
      <formula>$D936="T5 - Debt Consolidation"</formula>
    </cfRule>
    <cfRule type="expression" dxfId="3597" priority="691">
      <formula>$D936="T4 - Debt / Home"</formula>
    </cfRule>
    <cfRule type="expression" dxfId="3596" priority="692">
      <formula>$D936="T3 - Correct Cash"</formula>
    </cfRule>
    <cfRule type="expression" dxfId="3595" priority="693">
      <formula>$D936="T2 - Revised"</formula>
    </cfRule>
    <cfRule type="expression" dxfId="3594" priority="694">
      <formula>$D936="T1 - Follow Up"</formula>
    </cfRule>
    <cfRule type="expression" dxfId="3593" priority="695">
      <formula>$D936="APP - LOCKED!"</formula>
    </cfRule>
    <cfRule type="expression" dxfId="3592" priority="696">
      <formula>$D936="LOCKED!"</formula>
    </cfRule>
    <cfRule type="expression" dxfId="3591" priority="697">
      <formula>$D936="APP - Pitched &gt; Follow Up!"</formula>
    </cfRule>
    <cfRule type="expression" dxfId="3590" priority="698">
      <formula>$D936="Pitched &gt; FOLLOW UP!"</formula>
    </cfRule>
    <cfRule type="expression" dxfId="3589" priority="699">
      <formula>$D936="APP - Application Taken"</formula>
    </cfRule>
    <cfRule type="expression" dxfId="3588" priority="700">
      <formula>$D936="AL - HOT!"</formula>
    </cfRule>
    <cfRule type="expression" dxfId="3587" priority="701">
      <formula>$D936="AL - Responded"</formula>
    </cfRule>
    <cfRule type="expression" dxfId="3586" priority="702">
      <formula>$D936="Prospect - Appt Scheduled"</formula>
    </cfRule>
    <cfRule type="expression" dxfId="3585" priority="703">
      <formula>$D936="Appt Scheduled"</formula>
    </cfRule>
    <cfRule type="expression" dxfId="3584" priority="704">
      <formula>$D936="Prospect - Follow Up"</formula>
    </cfRule>
    <cfRule type="expression" dxfId="3583" priority="705">
      <formula>$D936="Prospect - HOT!"</formula>
    </cfRule>
    <cfRule type="expression" dxfId="3582" priority="706">
      <formula>$D936="Prospect - Warm"</formula>
    </cfRule>
  </conditionalFormatting>
  <conditionalFormatting sqref="A936:A1062">
    <cfRule type="containsText" dxfId="3581" priority="636" operator="containsText" text="E-Mail Sent">
      <formula>NOT(ISERROR(SEARCH("E-Mail Sent",A936)))</formula>
    </cfRule>
    <cfRule type="containsText" dxfId="3580" priority="637" operator="containsText" text="E Mail">
      <formula>NOT(ISERROR(SEARCH("E Mail",A936)))</formula>
    </cfRule>
  </conditionalFormatting>
  <conditionalFormatting sqref="B1152:Z1173 B1174:N1174 Q1174:Z1174 B1175:Z1217 B1222:Z1295 B1298:Z1347 B1349:Z1409 B6:Z1062">
    <cfRule type="expression" dxfId="3579" priority="630">
      <formula>$D6="Potential Cancel"</formula>
    </cfRule>
    <cfRule type="expression" dxfId="3578" priority="631">
      <formula>$D6="Suspended-Restructure"</formula>
    </cfRule>
    <cfRule type="expression" dxfId="3577" priority="632">
      <formula>$D6="Clear to Close"</formula>
    </cfRule>
    <cfRule type="expression" dxfId="3576" priority="633">
      <formula>$D6="Submitted to Underwriting"</formula>
    </cfRule>
  </conditionalFormatting>
  <conditionalFormatting sqref="Y1063:Y1151">
    <cfRule type="containsText" dxfId="3575" priority="561" operator="containsText" text="Green">
      <formula>NOT(ISERROR(SEARCH("Green",Y1063)))</formula>
    </cfRule>
    <cfRule type="containsText" dxfId="3574" priority="562" operator="containsText" text="Tandem">
      <formula>NOT(ISERROR(SEARCH("Tandem",Y1063)))</formula>
    </cfRule>
    <cfRule type="containsText" dxfId="3573" priority="563" operator="containsText" text="FRU">
      <formula>NOT(ISERROR(SEARCH("FRU",Y1063)))</formula>
    </cfRule>
    <cfRule type="containsText" dxfId="3572" priority="564" operator="containsText" text="LP">
      <formula>NOT(ISERROR(SEARCH("LP",Y1063)))</formula>
    </cfRule>
    <cfRule type="containsText" dxfId="3571" priority="565" operator="containsText" text="LT">
      <formula>NOT(ISERROR(SEARCH("LT",Y1063)))</formula>
    </cfRule>
  </conditionalFormatting>
  <conditionalFormatting sqref="B1063:Z1067 B1069:Z1151 C1068:Z1068">
    <cfRule type="expression" dxfId="3570" priority="557">
      <formula>$D1063="Cancel-Decline"</formula>
    </cfRule>
    <cfRule type="expression" dxfId="3569" priority="558">
      <formula>$D1063="Funded"</formula>
    </cfRule>
    <cfRule type="expression" dxfId="3568" priority="566">
      <formula>$D1063="0 - MessageError!"</formula>
    </cfRule>
    <cfRule type="expression" dxfId="3567" priority="567">
      <formula>$D1063="9- Changed Mind"</formula>
    </cfRule>
    <cfRule type="expression" dxfId="3566" priority="568">
      <formula>$D1063="8- Home Values"</formula>
    </cfRule>
    <cfRule type="expression" dxfId="3565" priority="569">
      <formula>$D1063="7- Market Drop"</formula>
    </cfRule>
    <cfRule type="expression" dxfId="3564" priority="570">
      <formula>$D1063="6- Another Lender"</formula>
    </cfRule>
    <cfRule type="expression" dxfId="3563" priority="571">
      <formula>$D1063="5- ChangedMind?"</formula>
    </cfRule>
    <cfRule type="expression" dxfId="3562" priority="572">
      <formula>$D1063="4- Don'tQualify"</formula>
    </cfRule>
    <cfRule type="expression" dxfId="3561" priority="573">
      <formula>$D1063="3- CashOut"</formula>
    </cfRule>
    <cfRule type="expression" dxfId="3560" priority="574">
      <formula>$D1063="2- RevisedQuote"</formula>
    </cfRule>
    <cfRule type="expression" dxfId="3559" priority="575">
      <formula>$D1063="1- FollowUp"</formula>
    </cfRule>
    <cfRule type="expression" dxfId="3558" priority="576" stopIfTrue="1">
      <formula>$D1063="Responded"</formula>
    </cfRule>
    <cfRule type="expression" dxfId="3557" priority="577">
      <formula>$D1063="Locked!"</formula>
    </cfRule>
    <cfRule type="expression" dxfId="3556" priority="578">
      <formula>$D1063="E-signed!"</formula>
    </cfRule>
    <cfRule type="expression" dxfId="3555" priority="579">
      <formula>$D1063="Docs Received!"</formula>
    </cfRule>
    <cfRule type="expression" dxfId="3554" priority="580">
      <formula>$D1063="Disclosures Going Out..."</formula>
    </cfRule>
    <cfRule type="expression" dxfId="3553" priority="581">
      <formula>$D1063="Disclosures Sent!"</formula>
    </cfRule>
    <cfRule type="expression" dxfId="3552" priority="582">
      <formula>$D1063="FIGURE - Link Sent!"</formula>
    </cfRule>
    <cfRule type="expression" dxfId="3551" priority="583">
      <formula>$D1063="Hard Money Opportunity"</formula>
    </cfRule>
    <cfRule type="expression" dxfId="3550" priority="584">
      <formula>$D1063="Communicating..."</formula>
    </cfRule>
    <cfRule type="expression" dxfId="3549" priority="585">
      <formula>$D1063="Not Interested"</formula>
    </cfRule>
    <cfRule type="expression" dxfId="3548" priority="586">
      <formula>$D1063="APP - Pitched &gt; Follow up"</formula>
    </cfRule>
    <cfRule type="expression" dxfId="3547" priority="587">
      <formula>$D1063="Appt Scheduled"</formula>
    </cfRule>
    <cfRule type="expression" dxfId="3546" priority="588">
      <formula>$D1063="Reverse Mortgage Opportunity"</formula>
    </cfRule>
    <cfRule type="expression" dxfId="3545" priority="589">
      <formula>$D1063="Purchase"</formula>
    </cfRule>
    <cfRule type="expression" dxfId="3544" priority="590">
      <formula>$D1063="Verified Approval Letter"</formula>
    </cfRule>
    <cfRule type="expression" dxfId="3543" priority="591">
      <formula>$D1063="*Thinking about it*"</formula>
    </cfRule>
    <cfRule type="expression" dxfId="3542" priority="592">
      <formula>$D1063="DNQ"</formula>
    </cfRule>
    <cfRule type="expression" dxfId="3541" priority="593">
      <formula>$D1063="Commercial/Business Loan"</formula>
    </cfRule>
    <cfRule type="expression" dxfId="3540" priority="594">
      <formula>$D1063="Credit - Wayfinder"</formula>
    </cfRule>
    <cfRule type="expression" dxfId="3539" priority="595">
      <formula>$D1063="Match or Beat"</formula>
    </cfRule>
    <cfRule type="expression" dxfId="3538" priority="596">
      <formula>$D1063="Future Deal"</formula>
    </cfRule>
    <cfRule type="expression" dxfId="3537" priority="597">
      <formula>$D1063="Prospect -Email Sent"</formula>
    </cfRule>
    <cfRule type="expression" dxfId="3536" priority="598">
      <formula>$D1063="STOP!"</formula>
    </cfRule>
    <cfRule type="expression" dxfId="3535" priority="599">
      <formula>$D1063="No Benefit"</formula>
    </cfRule>
    <cfRule type="expression" dxfId="3534" priority="600">
      <formula>$D1063="Went With Another Lender"</formula>
    </cfRule>
    <cfRule type="expression" dxfId="3533" priority="601">
      <formula>$D1063="Bad Number"</formula>
    </cfRule>
    <cfRule type="expression" dxfId="3532" priority="602">
      <formula>$D1063="Called 2x"</formula>
    </cfRule>
    <cfRule type="expression" dxfId="3531" priority="603">
      <formula>$D1063="T15 - MessageError!"</formula>
    </cfRule>
    <cfRule type="expression" dxfId="3530" priority="604">
      <formula>$D1063="T14 - Right Person?"</formula>
    </cfRule>
    <cfRule type="expression" dxfId="3529" priority="605">
      <formula>$D1063="T13 - Email"</formula>
    </cfRule>
    <cfRule type="expression" dxfId="3528" priority="606">
      <formula>$D1063="T12 - Blown Up"</formula>
    </cfRule>
    <cfRule type="expression" dxfId="3527" priority="607">
      <formula>$D1063="T11 - More Time?"</formula>
    </cfRule>
    <cfRule type="expression" dxfId="3526" priority="608">
      <formula>$D1063="T10 - Really Busy"</formula>
    </cfRule>
    <cfRule type="expression" dxfId="3525" priority="609">
      <formula>$D1063="T9 - Majority of Clients"</formula>
    </cfRule>
    <cfRule type="expression" dxfId="3524" priority="610">
      <formula>$D1063="T8 - STOP Contact"</formula>
    </cfRule>
    <cfRule type="expression" dxfId="3523" priority="611">
      <formula>$D1063="T7 - Another Lender"</formula>
    </cfRule>
    <cfRule type="expression" dxfId="3522" priority="612">
      <formula>$D1063="T6 - Don’t Qualify?"</formula>
    </cfRule>
    <cfRule type="expression" dxfId="3521" priority="613">
      <formula>$D1063="T5 - Debt Consolidation"</formula>
    </cfRule>
    <cfRule type="expression" dxfId="3520" priority="614">
      <formula>$D1063="T4 - Debt / Home"</formula>
    </cfRule>
    <cfRule type="expression" dxfId="3519" priority="615">
      <formula>$D1063="T3 - Correct Cash"</formula>
    </cfRule>
    <cfRule type="expression" dxfId="3518" priority="616">
      <formula>$D1063="T2 - Revised"</formula>
    </cfRule>
    <cfRule type="expression" dxfId="3517" priority="617">
      <formula>$D1063="T1 - Follow Up"</formula>
    </cfRule>
    <cfRule type="expression" dxfId="3516" priority="618">
      <formula>$D1063="APP - LOCKED!"</formula>
    </cfRule>
    <cfRule type="expression" dxfId="3515" priority="619">
      <formula>$D1063="LOCKED!"</formula>
    </cfRule>
    <cfRule type="expression" dxfId="3514" priority="620">
      <formula>$D1063="APP - Pitched &gt; Follow Up!"</formula>
    </cfRule>
    <cfRule type="expression" dxfId="3513" priority="621">
      <formula>$D1063="Pitched &gt; FOLLOW UP!"</formula>
    </cfRule>
    <cfRule type="expression" dxfId="3512" priority="622">
      <formula>$D1063="APP - Application Taken"</formula>
    </cfRule>
    <cfRule type="expression" dxfId="3511" priority="623">
      <formula>$D1063="AL - HOT!"</formula>
    </cfRule>
    <cfRule type="expression" dxfId="3510" priority="624">
      <formula>$D1063="AL - Responded"</formula>
    </cfRule>
    <cfRule type="expression" dxfId="3509" priority="625">
      <formula>$D1063="Prospect - Appt Scheduled"</formula>
    </cfRule>
    <cfRule type="expression" dxfId="3508" priority="626">
      <formula>$D1063="Appt Scheduled"</formula>
    </cfRule>
    <cfRule type="expression" dxfId="3507" priority="627">
      <formula>$D1063="Prospect - Follow Up"</formula>
    </cfRule>
    <cfRule type="expression" dxfId="3506" priority="628">
      <formula>$D1063="Prospect - HOT!"</formula>
    </cfRule>
    <cfRule type="expression" dxfId="3505" priority="629">
      <formula>$D1063="Prospect - Warm"</formula>
    </cfRule>
  </conditionalFormatting>
  <conditionalFormatting sqref="A1063:A1151">
    <cfRule type="containsText" dxfId="3504" priority="559" operator="containsText" text="E-Mail Sent">
      <formula>NOT(ISERROR(SEARCH("E-Mail Sent",A1063)))</formula>
    </cfRule>
    <cfRule type="containsText" dxfId="3503" priority="560" operator="containsText" text="E Mail">
      <formula>NOT(ISERROR(SEARCH("E Mail",A1063)))</formula>
    </cfRule>
  </conditionalFormatting>
  <conditionalFormatting sqref="Y1218:Y1221">
    <cfRule type="containsText" dxfId="3502" priority="488" operator="containsText" text="Green">
      <formula>NOT(ISERROR(SEARCH("Green",Y1218)))</formula>
    </cfRule>
    <cfRule type="containsText" dxfId="3501" priority="489" operator="containsText" text="Tandem">
      <formula>NOT(ISERROR(SEARCH("Tandem",Y1218)))</formula>
    </cfRule>
    <cfRule type="containsText" dxfId="3500" priority="490" operator="containsText" text="FRU">
      <formula>NOT(ISERROR(SEARCH("FRU",Y1218)))</formula>
    </cfRule>
    <cfRule type="containsText" dxfId="3499" priority="491" operator="containsText" text="LP">
      <formula>NOT(ISERROR(SEARCH("LP",Y1218)))</formula>
    </cfRule>
    <cfRule type="containsText" dxfId="3498" priority="492" operator="containsText" text="LT">
      <formula>NOT(ISERROR(SEARCH("LT",Y1218)))</formula>
    </cfRule>
  </conditionalFormatting>
  <conditionalFormatting sqref="B1218:Z1221">
    <cfRule type="expression" dxfId="3497" priority="484">
      <formula>$D1218="Cancel-Decline"</formula>
    </cfRule>
    <cfRule type="expression" dxfId="3496" priority="485">
      <formula>$D1218="Funded"</formula>
    </cfRule>
    <cfRule type="expression" dxfId="3495" priority="493">
      <formula>$D1218="0 - MessageError!"</formula>
    </cfRule>
    <cfRule type="expression" dxfId="3494" priority="494">
      <formula>$D1218="9- Changed Mind"</formula>
    </cfRule>
    <cfRule type="expression" dxfId="3493" priority="495">
      <formula>$D1218="8- Home Values"</formula>
    </cfRule>
    <cfRule type="expression" dxfId="3492" priority="496">
      <formula>$D1218="7- Market Drop"</formula>
    </cfRule>
    <cfRule type="expression" dxfId="3491" priority="497">
      <formula>$D1218="6- Another Lender"</formula>
    </cfRule>
    <cfRule type="expression" dxfId="3490" priority="498">
      <formula>$D1218="5- ChangedMind?"</formula>
    </cfRule>
    <cfRule type="expression" dxfId="3489" priority="499">
      <formula>$D1218="4- Don'tQualify"</formula>
    </cfRule>
    <cfRule type="expression" dxfId="3488" priority="500">
      <formula>$D1218="3- CashOut"</formula>
    </cfRule>
    <cfRule type="expression" dxfId="3487" priority="501">
      <formula>$D1218="2- RevisedQuote"</formula>
    </cfRule>
    <cfRule type="expression" dxfId="3486" priority="502">
      <formula>$D1218="1- FollowUp"</formula>
    </cfRule>
    <cfRule type="expression" dxfId="3485" priority="503" stopIfTrue="1">
      <formula>$D1218="Responded"</formula>
    </cfRule>
    <cfRule type="expression" dxfId="3484" priority="504">
      <formula>$D1218="Locked!"</formula>
    </cfRule>
    <cfRule type="expression" dxfId="3483" priority="505">
      <formula>$D1218="E-signed!"</formula>
    </cfRule>
    <cfRule type="expression" dxfId="3482" priority="506">
      <formula>$D1218="Docs Received!"</formula>
    </cfRule>
    <cfRule type="expression" dxfId="3481" priority="507">
      <formula>$D1218="Disclosures Going Out..."</formula>
    </cfRule>
    <cfRule type="expression" dxfId="3480" priority="508">
      <formula>$D1218="Disclosures Sent!"</formula>
    </cfRule>
    <cfRule type="expression" dxfId="3479" priority="509">
      <formula>$D1218="FIGURE - Link Sent!"</formula>
    </cfRule>
    <cfRule type="expression" dxfId="3478" priority="510">
      <formula>$D1218="Hard Money Opportunity"</formula>
    </cfRule>
    <cfRule type="expression" dxfId="3477" priority="511">
      <formula>$D1218="Communicating..."</formula>
    </cfRule>
    <cfRule type="expression" dxfId="3476" priority="512">
      <formula>$D1218="Not Interested"</formula>
    </cfRule>
    <cfRule type="expression" dxfId="3475" priority="513">
      <formula>$D1218="APP - Pitched &gt; Follow up"</formula>
    </cfRule>
    <cfRule type="expression" dxfId="3474" priority="514">
      <formula>$D1218="Appt Scheduled"</formula>
    </cfRule>
    <cfRule type="expression" dxfId="3473" priority="515">
      <formula>$D1218="Reverse Mortgage Opportunity"</formula>
    </cfRule>
    <cfRule type="expression" dxfId="3472" priority="516">
      <formula>$D1218="Purchase"</formula>
    </cfRule>
    <cfRule type="expression" dxfId="3471" priority="517">
      <formula>$D1218="Verified Approval Letter"</formula>
    </cfRule>
    <cfRule type="expression" dxfId="3470" priority="518">
      <formula>$D1218="*Thinking about it*"</formula>
    </cfRule>
    <cfRule type="expression" dxfId="3469" priority="519">
      <formula>$D1218="DNQ"</formula>
    </cfRule>
    <cfRule type="expression" dxfId="3468" priority="520">
      <formula>$D1218="Commercial/Business Loan"</formula>
    </cfRule>
    <cfRule type="expression" dxfId="3467" priority="521">
      <formula>$D1218="Credit - Wayfinder"</formula>
    </cfRule>
    <cfRule type="expression" dxfId="3466" priority="522">
      <formula>$D1218="Match or Beat"</formula>
    </cfRule>
    <cfRule type="expression" dxfId="3465" priority="523">
      <formula>$D1218="Future Deal"</formula>
    </cfRule>
    <cfRule type="expression" dxfId="3464" priority="524">
      <formula>$D1218="Prospect -Email Sent"</formula>
    </cfRule>
    <cfRule type="expression" dxfId="3463" priority="525">
      <formula>$D1218="STOP!"</formula>
    </cfRule>
    <cfRule type="expression" dxfId="3462" priority="526">
      <formula>$D1218="No Benefit"</formula>
    </cfRule>
    <cfRule type="expression" dxfId="3461" priority="527">
      <formula>$D1218="Went With Another Lender"</formula>
    </cfRule>
    <cfRule type="expression" dxfId="3460" priority="528">
      <formula>$D1218="Called 3x"</formula>
    </cfRule>
    <cfRule type="expression" dxfId="3459" priority="529">
      <formula>$D1218="Called 2x"</formula>
    </cfRule>
    <cfRule type="expression" dxfId="3458" priority="530">
      <formula>$D1218="T15 - MessageError!"</formula>
    </cfRule>
    <cfRule type="expression" dxfId="3457" priority="531">
      <formula>$D1218="T14 - Right Person?"</formula>
    </cfRule>
    <cfRule type="expression" dxfId="3456" priority="532">
      <formula>$D1218="T13 - Email"</formula>
    </cfRule>
    <cfRule type="expression" dxfId="3455" priority="533">
      <formula>$D1218="T12 - Blown Up"</formula>
    </cfRule>
    <cfRule type="expression" dxfId="3454" priority="534">
      <formula>$D1218="T11 - More Time?"</formula>
    </cfRule>
    <cfRule type="expression" dxfId="3453" priority="535">
      <formula>$D1218="T10 - Really Busy"</formula>
    </cfRule>
    <cfRule type="expression" dxfId="3452" priority="536">
      <formula>$D1218="T9 - Majority of Clients"</formula>
    </cfRule>
    <cfRule type="expression" dxfId="3451" priority="537">
      <formula>$D1218="T8 - STOP Contact"</formula>
    </cfRule>
    <cfRule type="expression" dxfId="3450" priority="538">
      <formula>$D1218="T7 - Another Lender"</formula>
    </cfRule>
    <cfRule type="expression" dxfId="3449" priority="539">
      <formula>$D1218="T6 - Don’t Qualify?"</formula>
    </cfRule>
    <cfRule type="expression" dxfId="3448" priority="540">
      <formula>$D1218="T5 - Debt Consolidation"</formula>
    </cfRule>
    <cfRule type="expression" dxfId="3447" priority="541">
      <formula>$D1218="T4 - Debt / Home"</formula>
    </cfRule>
    <cfRule type="expression" dxfId="3446" priority="542">
      <formula>$D1218="T3 - Correct Cash"</formula>
    </cfRule>
    <cfRule type="expression" dxfId="3445" priority="543">
      <formula>$D1218="T2 - Revised"</formula>
    </cfRule>
    <cfRule type="expression" dxfId="3444" priority="544">
      <formula>$D1218="T1 - Follow Up"</formula>
    </cfRule>
    <cfRule type="expression" dxfId="3443" priority="545">
      <formula>$D1218="APP - LOCKED!"</formula>
    </cfRule>
    <cfRule type="expression" dxfId="3442" priority="546">
      <formula>$D1218="LOCKED!"</formula>
    </cfRule>
    <cfRule type="expression" dxfId="3441" priority="547">
      <formula>$D1218="APP - Pitched &gt; Follow Up!"</formula>
    </cfRule>
    <cfRule type="expression" dxfId="3440" priority="548">
      <formula>$D1218="Pitched &gt; FOLLOW UP!"</formula>
    </cfRule>
    <cfRule type="expression" dxfId="3439" priority="549">
      <formula>$D1218="APP - Application Taken"</formula>
    </cfRule>
    <cfRule type="expression" dxfId="3438" priority="550">
      <formula>$D1218="AL - HOT!"</formula>
    </cfRule>
    <cfRule type="expression" dxfId="3437" priority="551">
      <formula>$D1218="AL - Responded"</formula>
    </cfRule>
    <cfRule type="expression" dxfId="3436" priority="552">
      <formula>$D1218="Prospect - Appt Scheduled"</formula>
    </cfRule>
    <cfRule type="expression" dxfId="3435" priority="553">
      <formula>$D1218="Appt Scheduled"</formula>
    </cfRule>
    <cfRule type="expression" dxfId="3434" priority="554">
      <formula>$D1218="Prospect - Follow Up"</formula>
    </cfRule>
    <cfRule type="expression" dxfId="3433" priority="555">
      <formula>$D1218="Prospect - HOT!"</formula>
    </cfRule>
    <cfRule type="expression" dxfId="3432" priority="556">
      <formula>$D1218="Prospect - Warm"</formula>
    </cfRule>
  </conditionalFormatting>
  <conditionalFormatting sqref="A1218:A1221">
    <cfRule type="containsText" dxfId="3431" priority="486" operator="containsText" text="E-Mail Sent">
      <formula>NOT(ISERROR(SEARCH("E-Mail Sent",A1218)))</formula>
    </cfRule>
    <cfRule type="containsText" dxfId="3430" priority="487" operator="containsText" text="E Mail">
      <formula>NOT(ISERROR(SEARCH("E Mail",A1218)))</formula>
    </cfRule>
  </conditionalFormatting>
  <conditionalFormatting sqref="B1218:Z1221">
    <cfRule type="expression" dxfId="3429" priority="480">
      <formula>$D1218="Potential Cancel"</formula>
    </cfRule>
    <cfRule type="expression" dxfId="3428" priority="481">
      <formula>$D1218="Suspended-Restructure"</formula>
    </cfRule>
    <cfRule type="expression" dxfId="3427" priority="482">
      <formula>$D1218="Clear to Close"</formula>
    </cfRule>
    <cfRule type="expression" dxfId="3426" priority="483">
      <formula>$D1218="Submitted to Underwriting"</formula>
    </cfRule>
  </conditionalFormatting>
  <conditionalFormatting sqref="A1296">
    <cfRule type="containsText" dxfId="3425" priority="478" operator="containsText" text="E-Mail Sent">
      <formula>NOT(ISERROR(SEARCH("E-Mail Sent",A1296)))</formula>
    </cfRule>
    <cfRule type="containsText" dxfId="3424" priority="479" operator="containsText" text="E Mail">
      <formula>NOT(ISERROR(SEARCH("E Mail",A1296)))</formula>
    </cfRule>
  </conditionalFormatting>
  <conditionalFormatting sqref="H1296">
    <cfRule type="expression" dxfId="3423" priority="412">
      <formula>$D1296="Cancel-Decline"</formula>
    </cfRule>
    <cfRule type="expression" dxfId="3422" priority="413">
      <formula>$D1296="Funded"</formula>
    </cfRule>
    <cfRule type="expression" dxfId="3421" priority="414">
      <formula>$D1296="0 - MessageError!"</formula>
    </cfRule>
    <cfRule type="expression" dxfId="3420" priority="415">
      <formula>$D1296="9- Changed Mind"</formula>
    </cfRule>
    <cfRule type="expression" dxfId="3419" priority="416">
      <formula>$D1296="8- Home Values"</formula>
    </cfRule>
    <cfRule type="expression" dxfId="3418" priority="417">
      <formula>$D1296="7- Market Drop"</formula>
    </cfRule>
    <cfRule type="expression" dxfId="3417" priority="418">
      <formula>$D1296="6- Another Lender"</formula>
    </cfRule>
    <cfRule type="expression" dxfId="3416" priority="419">
      <formula>$D1296="5- ChangedMind?"</formula>
    </cfRule>
    <cfRule type="expression" dxfId="3415" priority="420">
      <formula>$D1296="4- Don'tQualify"</formula>
    </cfRule>
    <cfRule type="expression" dxfId="3414" priority="421">
      <formula>$D1296="3- CashOut"</formula>
    </cfRule>
    <cfRule type="expression" dxfId="3413" priority="422">
      <formula>$D1296="2- RevisedQuote"</formula>
    </cfRule>
    <cfRule type="expression" dxfId="3412" priority="423">
      <formula>$D1296="1- FollowUp"</formula>
    </cfRule>
    <cfRule type="expression" dxfId="3411" priority="424" stopIfTrue="1">
      <formula>$D1296="Responded"</formula>
    </cfRule>
    <cfRule type="expression" dxfId="3410" priority="425">
      <formula>$D1296="Locked!"</formula>
    </cfRule>
    <cfRule type="expression" dxfId="3409" priority="426">
      <formula>$D1296="E-signed!"</formula>
    </cfRule>
    <cfRule type="expression" dxfId="3408" priority="427">
      <formula>$D1296="Docs Received!"</formula>
    </cfRule>
    <cfRule type="expression" dxfId="3407" priority="428">
      <formula>$D1296="Disclosures Going Out..."</formula>
    </cfRule>
    <cfRule type="expression" dxfId="3406" priority="429">
      <formula>$D1296="Disclosures Sent!"</formula>
    </cfRule>
    <cfRule type="expression" dxfId="3405" priority="430">
      <formula>$D1296="FIGURE - Link Sent!"</formula>
    </cfRule>
    <cfRule type="expression" dxfId="3404" priority="431">
      <formula>$D1296="Hard Money Opportunity"</formula>
    </cfRule>
    <cfRule type="expression" dxfId="3403" priority="432">
      <formula>$D1296="Communicating..."</formula>
    </cfRule>
    <cfRule type="expression" dxfId="3402" priority="433">
      <formula>$D1296="Not Interested"</formula>
    </cfRule>
    <cfRule type="expression" dxfId="3401" priority="434">
      <formula>$D1296="APP - Pitched &gt; Follow up"</formula>
    </cfRule>
    <cfRule type="expression" dxfId="3400" priority="435">
      <formula>$D1296="Appt Scheduled"</formula>
    </cfRule>
    <cfRule type="expression" dxfId="3399" priority="436">
      <formula>$D1296="Reverse Mortgage Opportunity"</formula>
    </cfRule>
    <cfRule type="expression" dxfId="3398" priority="437">
      <formula>$D1296="Purchase"</formula>
    </cfRule>
    <cfRule type="expression" dxfId="3397" priority="438">
      <formula>$D1296="Verified Approval Letter"</formula>
    </cfRule>
    <cfRule type="expression" dxfId="3396" priority="439">
      <formula>$D1296="*Thinking about it*"</formula>
    </cfRule>
    <cfRule type="expression" dxfId="3395" priority="440">
      <formula>$D1296="DNQ"</formula>
    </cfRule>
    <cfRule type="expression" dxfId="3394" priority="441">
      <formula>$D1296="Commercial/Business Loan"</formula>
    </cfRule>
    <cfRule type="expression" dxfId="3393" priority="442">
      <formula>$D1296="Credit - Wayfinder"</formula>
    </cfRule>
    <cfRule type="expression" dxfId="3392" priority="443">
      <formula>$D1296="Match or Beat"</formula>
    </cfRule>
    <cfRule type="expression" dxfId="3391" priority="444">
      <formula>$D1296="Future Deal"</formula>
    </cfRule>
    <cfRule type="expression" dxfId="3390" priority="445">
      <formula>$D1296="Prospect -Email Sent"</formula>
    </cfRule>
    <cfRule type="expression" dxfId="3389" priority="446">
      <formula>$D1296="STOP!"</formula>
    </cfRule>
    <cfRule type="expression" dxfId="3388" priority="447">
      <formula>$D1296="Cold - Unresponsive"</formula>
    </cfRule>
    <cfRule type="expression" dxfId="3387" priority="448">
      <formula>$D1296="Cold - Wrong Number"</formula>
    </cfRule>
    <cfRule type="expression" dxfId="3386" priority="449">
      <formula>$D1296="Called 3x"</formula>
    </cfRule>
    <cfRule type="expression" dxfId="3385" priority="450">
      <formula>$D1296="Called 2x"</formula>
    </cfRule>
    <cfRule type="expression" dxfId="3384" priority="451">
      <formula>$D1296="T15 - MessageError!"</formula>
    </cfRule>
    <cfRule type="expression" dxfId="3383" priority="452">
      <formula>$D1296="T14 - Right Person?"</formula>
    </cfRule>
    <cfRule type="expression" dxfId="3382" priority="453">
      <formula>$D1296="T13 - Email"</formula>
    </cfRule>
    <cfRule type="expression" dxfId="3381" priority="454">
      <formula>$D1296="T12 - Blown Up"</formula>
    </cfRule>
    <cfRule type="expression" dxfId="3380" priority="455">
      <formula>$D1296="T11 - More Time?"</formula>
    </cfRule>
    <cfRule type="expression" dxfId="3379" priority="456">
      <formula>$D1296="T10 - Really Busy"</formula>
    </cfRule>
    <cfRule type="expression" dxfId="3378" priority="457">
      <formula>$D1296="T9 - Majority of Clients"</formula>
    </cfRule>
    <cfRule type="expression" dxfId="3377" priority="458">
      <formula>$D1296="T8 - STOP Contact"</formula>
    </cfRule>
    <cfRule type="expression" dxfId="3376" priority="459">
      <formula>$D1296="T7 - Another Lender"</formula>
    </cfRule>
    <cfRule type="expression" dxfId="3375" priority="460">
      <formula>$D1296="T6 - Don’t Qualify?"</formula>
    </cfRule>
    <cfRule type="expression" dxfId="3374" priority="461">
      <formula>$D1296="T5 - Debt Consolidation"</formula>
    </cfRule>
    <cfRule type="expression" dxfId="3373" priority="462">
      <formula>$D1296="T4 - Debt / Home"</formula>
    </cfRule>
    <cfRule type="expression" dxfId="3372" priority="463">
      <formula>$D1296="T3 - Correct Cash"</formula>
    </cfRule>
    <cfRule type="expression" dxfId="3371" priority="464">
      <formula>$D1296="T2 - Revised"</formula>
    </cfRule>
    <cfRule type="expression" dxfId="3370" priority="465">
      <formula>$D1296="T1 - Follow Up"</formula>
    </cfRule>
    <cfRule type="expression" dxfId="3369" priority="466">
      <formula>$D1296="APP - LOCKED!"</formula>
    </cfRule>
    <cfRule type="expression" dxfId="3368" priority="467">
      <formula>$D1296="LOCKED!"</formula>
    </cfRule>
    <cfRule type="expression" dxfId="3367" priority="468">
      <formula>$D1296="APP - Pitched &gt; Follow Up!"</formula>
    </cfRule>
    <cfRule type="expression" dxfId="3366" priority="469">
      <formula>$D1296="Pitched &gt; FOLLOW UP!"</formula>
    </cfRule>
    <cfRule type="expression" dxfId="3365" priority="470">
      <formula>$D1296="APP - Application Taken"</formula>
    </cfRule>
    <cfRule type="expression" dxfId="3364" priority="471">
      <formula>$D1296="AL - HOT!"</formula>
    </cfRule>
    <cfRule type="expression" dxfId="3363" priority="472">
      <formula>$D1296="AL - Responded"</formula>
    </cfRule>
    <cfRule type="expression" dxfId="3362" priority="473">
      <formula>$D1296="Prospect - Appt Scheduled"</formula>
    </cfRule>
    <cfRule type="expression" dxfId="3361" priority="474">
      <formula>$D1296="Appt Scheduled"</formula>
    </cfRule>
    <cfRule type="expression" dxfId="3360" priority="475">
      <formula>$D1296="Prospect - Follow Up"</formula>
    </cfRule>
    <cfRule type="expression" dxfId="3359" priority="476">
      <formula>$D1296="Prospect - HOT!"</formula>
    </cfRule>
    <cfRule type="expression" dxfId="3358" priority="477">
      <formula>$D1296="Prospect - Warm"</formula>
    </cfRule>
  </conditionalFormatting>
  <conditionalFormatting sqref="Z1296">
    <cfRule type="containsText" dxfId="3357" priority="407" operator="containsText" text="Green">
      <formula>NOT(ISERROR(SEARCH("Green",Z1296)))</formula>
    </cfRule>
    <cfRule type="containsText" dxfId="3356" priority="408" operator="containsText" text="Tandem">
      <formula>NOT(ISERROR(SEARCH("Tandem",Z1296)))</formula>
    </cfRule>
    <cfRule type="containsText" dxfId="3355" priority="409" operator="containsText" text="FRU">
      <formula>NOT(ISERROR(SEARCH("FRU",Z1296)))</formula>
    </cfRule>
    <cfRule type="containsText" dxfId="3354" priority="410" operator="containsText" text="LP">
      <formula>NOT(ISERROR(SEARCH("LP",Z1296)))</formula>
    </cfRule>
    <cfRule type="containsText" dxfId="3353" priority="411" operator="containsText" text="LT">
      <formula>NOT(ISERROR(SEARCH("LT",Z1296)))</formula>
    </cfRule>
  </conditionalFormatting>
  <conditionalFormatting sqref="B1296:G1296 I1296:Z1296">
    <cfRule type="expression" dxfId="3352" priority="341">
      <formula>$D1296="Cancel-Decline"</formula>
    </cfRule>
    <cfRule type="expression" dxfId="3351" priority="342">
      <formula>$D1296="Funded"</formula>
    </cfRule>
    <cfRule type="expression" dxfId="3350" priority="343">
      <formula>$D1296="0 - MessageError!"</formula>
    </cfRule>
    <cfRule type="expression" dxfId="3349" priority="344">
      <formula>$D1296="9- Changed Mind"</formula>
    </cfRule>
    <cfRule type="expression" dxfId="3348" priority="345">
      <formula>$D1296="8- Home Values"</formula>
    </cfRule>
    <cfRule type="expression" dxfId="3347" priority="346">
      <formula>$D1296="7- Market Drop"</formula>
    </cfRule>
    <cfRule type="expression" dxfId="3346" priority="347">
      <formula>$D1296="6- Another Lender"</formula>
    </cfRule>
    <cfRule type="expression" dxfId="3345" priority="348">
      <formula>$D1296="5- ChangedMind?"</formula>
    </cfRule>
    <cfRule type="expression" dxfId="3344" priority="349">
      <formula>$D1296="4- Don'tQualify"</formula>
    </cfRule>
    <cfRule type="expression" dxfId="3343" priority="350">
      <formula>$D1296="3- CashOut"</formula>
    </cfRule>
    <cfRule type="expression" dxfId="3342" priority="351">
      <formula>$D1296="2- RevisedQuote"</formula>
    </cfRule>
    <cfRule type="expression" dxfId="3341" priority="352">
      <formula>$D1296="1- FollowUp"</formula>
    </cfRule>
    <cfRule type="expression" dxfId="3340" priority="353" stopIfTrue="1">
      <formula>$D1296="Responded"</formula>
    </cfRule>
    <cfRule type="expression" dxfId="3339" priority="354">
      <formula>$D1296="Locked!"</formula>
    </cfRule>
    <cfRule type="expression" dxfId="3338" priority="355">
      <formula>$D1296="E-signed!"</formula>
    </cfRule>
    <cfRule type="expression" dxfId="3337" priority="356">
      <formula>$D1296="Docs Received!"</formula>
    </cfRule>
    <cfRule type="expression" dxfId="3336" priority="357">
      <formula>$D1296="Disclosures Going Out..."</formula>
    </cfRule>
    <cfRule type="expression" dxfId="3335" priority="358">
      <formula>$D1296="Disclosures Sent!"</formula>
    </cfRule>
    <cfRule type="expression" dxfId="3334" priority="359">
      <formula>$D1296="FIGURE - Link Sent!"</formula>
    </cfRule>
    <cfRule type="expression" dxfId="3333" priority="360">
      <formula>$D1296="Hard Money Opportunity"</formula>
    </cfRule>
    <cfRule type="expression" dxfId="3332" priority="361">
      <formula>$D1296="Communicating..."</formula>
    </cfRule>
    <cfRule type="expression" dxfId="3331" priority="362">
      <formula>$D1296="Not Interested"</formula>
    </cfRule>
    <cfRule type="expression" dxfId="3330" priority="363">
      <formula>$D1296="APP - Pitched &gt; Follow up"</formula>
    </cfRule>
    <cfRule type="expression" dxfId="3329" priority="364">
      <formula>$D1296="Appt Scheduled"</formula>
    </cfRule>
    <cfRule type="expression" dxfId="3328" priority="365">
      <formula>$D1296="Reverse Mortgage Opportunity"</formula>
    </cfRule>
    <cfRule type="expression" dxfId="3327" priority="366">
      <formula>$D1296="Purchase"</formula>
    </cfRule>
    <cfRule type="expression" dxfId="3326" priority="367">
      <formula>$D1296="Verified Approval Letter"</formula>
    </cfRule>
    <cfRule type="expression" dxfId="3325" priority="368">
      <formula>$D1296="*Thinking about it*"</formula>
    </cfRule>
    <cfRule type="expression" dxfId="3324" priority="369">
      <formula>$D1296="DNQ"</formula>
    </cfRule>
    <cfRule type="expression" dxfId="3323" priority="370">
      <formula>$D1296="Commercial/Business Loan"</formula>
    </cfRule>
    <cfRule type="expression" dxfId="3322" priority="371">
      <formula>$D1296="Credit - Wayfinder"</formula>
    </cfRule>
    <cfRule type="expression" dxfId="3321" priority="372">
      <formula>$D1296="Match or Beat"</formula>
    </cfRule>
    <cfRule type="expression" dxfId="3320" priority="373">
      <formula>$D1296="Future Deal"</formula>
    </cfRule>
    <cfRule type="expression" dxfId="3319" priority="374">
      <formula>$D1296="Prospect -Email Sent"</formula>
    </cfRule>
    <cfRule type="expression" dxfId="3318" priority="375">
      <formula>$D1296="STOP!"</formula>
    </cfRule>
    <cfRule type="expression" dxfId="3317" priority="376">
      <formula>$D1296="Cold - Unresponsive"</formula>
    </cfRule>
    <cfRule type="expression" dxfId="3316" priority="377">
      <formula>$D1296="Cold - Wrong Number"</formula>
    </cfRule>
    <cfRule type="expression" dxfId="3315" priority="378">
      <formula>$D1296="Called 3x"</formula>
    </cfRule>
    <cfRule type="expression" dxfId="3314" priority="379">
      <formula>$D1296="Called 2x"</formula>
    </cfRule>
    <cfRule type="expression" dxfId="3313" priority="380">
      <formula>$D1296="T15 - MessageError!"</formula>
    </cfRule>
    <cfRule type="expression" dxfId="3312" priority="381">
      <formula>$D1296="T14 - Right Person?"</formula>
    </cfRule>
    <cfRule type="expression" dxfId="3311" priority="382">
      <formula>$D1296="T13 - Email"</formula>
    </cfRule>
    <cfRule type="expression" dxfId="3310" priority="383">
      <formula>$D1296="T12 - Blown Up"</formula>
    </cfRule>
    <cfRule type="expression" dxfId="3309" priority="384">
      <formula>$D1296="T11 - More Time?"</formula>
    </cfRule>
    <cfRule type="expression" dxfId="3308" priority="385">
      <formula>$D1296="T10 - Really Busy"</formula>
    </cfRule>
    <cfRule type="expression" dxfId="3307" priority="386">
      <formula>$D1296="T9 - Majority of Clients"</formula>
    </cfRule>
    <cfRule type="expression" dxfId="3306" priority="387">
      <formula>$D1296="T8 - STOP Contact"</formula>
    </cfRule>
    <cfRule type="expression" dxfId="3305" priority="388">
      <formula>$D1296="T7 - Another Lender"</formula>
    </cfRule>
    <cfRule type="expression" dxfId="3304" priority="389">
      <formula>$D1296="T6 - Don’t Qualify?"</formula>
    </cfRule>
    <cfRule type="expression" dxfId="3303" priority="390">
      <formula>$D1296="T5 - Debt Consolidation"</formula>
    </cfRule>
    <cfRule type="expression" dxfId="3302" priority="391">
      <formula>$D1296="T4 - Debt / Home"</formula>
    </cfRule>
    <cfRule type="expression" dxfId="3301" priority="392">
      <formula>$D1296="T3 - Correct Cash"</formula>
    </cfRule>
    <cfRule type="expression" dxfId="3300" priority="393">
      <formula>$D1296="T2 - Revised"</formula>
    </cfRule>
    <cfRule type="expression" dxfId="3299" priority="394">
      <formula>$D1296="T1 - Follow Up"</formula>
    </cfRule>
    <cfRule type="expression" dxfId="3298" priority="395">
      <formula>$D1296="APP - LOCKED!"</formula>
    </cfRule>
    <cfRule type="expression" dxfId="3297" priority="396">
      <formula>$D1296="LOCKED!"</formula>
    </cfRule>
    <cfRule type="expression" dxfId="3296" priority="397">
      <formula>$D1296="APP - Pitched &gt; Follow Up!"</formula>
    </cfRule>
    <cfRule type="expression" dxfId="3295" priority="398">
      <formula>$D1296="Pitched &gt; FOLLOW UP!"</formula>
    </cfRule>
    <cfRule type="expression" dxfId="3294" priority="399">
      <formula>$D1296="APP - Application Taken"</formula>
    </cfRule>
    <cfRule type="expression" dxfId="3293" priority="400">
      <formula>$D1296="AL - HOT!"</formula>
    </cfRule>
    <cfRule type="expression" dxfId="3292" priority="401">
      <formula>$D1296="AL - Responded"</formula>
    </cfRule>
    <cfRule type="expression" dxfId="3291" priority="402">
      <formula>$D1296="Prospect - Appt Scheduled"</formula>
    </cfRule>
    <cfRule type="expression" dxfId="3290" priority="403">
      <formula>$D1296="Appt Scheduled"</formula>
    </cfRule>
    <cfRule type="expression" dxfId="3289" priority="404">
      <formula>$D1296="Prospect - Follow Up"</formula>
    </cfRule>
    <cfRule type="expression" dxfId="3288" priority="405">
      <formula>$D1296="Prospect - HOT!"</formula>
    </cfRule>
    <cfRule type="expression" dxfId="3287" priority="406">
      <formula>$D1296="Prospect - Warm"</formula>
    </cfRule>
  </conditionalFormatting>
  <conditionalFormatting sqref="A1297">
    <cfRule type="containsText" dxfId="3286" priority="339" operator="containsText" text="E-Mail Sent">
      <formula>NOT(ISERROR(SEARCH("E-Mail Sent",A1297)))</formula>
    </cfRule>
    <cfRule type="containsText" dxfId="3285" priority="340" operator="containsText" text="E Mail">
      <formula>NOT(ISERROR(SEARCH("E Mail",A1297)))</formula>
    </cfRule>
  </conditionalFormatting>
  <conditionalFormatting sqref="B1297:C1297 K1297:U1297">
    <cfRule type="expression" dxfId="3284" priority="275">
      <formula>$D1297="0 - MessageError!"</formula>
    </cfRule>
    <cfRule type="expression" dxfId="3283" priority="276">
      <formula>$D1297="9- Changed Mind"</formula>
    </cfRule>
    <cfRule type="expression" dxfId="3282" priority="277">
      <formula>$D1297="8- Home Values"</formula>
    </cfRule>
    <cfRule type="expression" dxfId="3281" priority="278">
      <formula>$D1297="7- Market Drop"</formula>
    </cfRule>
    <cfRule type="expression" dxfId="3280" priority="279">
      <formula>$D1297="6- Another Lender"</formula>
    </cfRule>
    <cfRule type="expression" dxfId="3279" priority="280">
      <formula>$D1297="5- ChangedMind?"</formula>
    </cfRule>
    <cfRule type="expression" dxfId="3278" priority="281">
      <formula>$D1297="4- Don'tQualify"</formula>
    </cfRule>
    <cfRule type="expression" dxfId="3277" priority="282">
      <formula>$D1297="3- CashOut"</formula>
    </cfRule>
    <cfRule type="expression" dxfId="3276" priority="283">
      <formula>$D1297="2- RevisedQuote"</formula>
    </cfRule>
    <cfRule type="expression" dxfId="3275" priority="284">
      <formula>$D1297="1- FollowUp"</formula>
    </cfRule>
    <cfRule type="expression" dxfId="3274" priority="285" stopIfTrue="1">
      <formula>$D1297="Responded"</formula>
    </cfRule>
    <cfRule type="expression" dxfId="3273" priority="286">
      <formula>$D1297="Locked!"</formula>
    </cfRule>
    <cfRule type="expression" dxfId="3272" priority="287">
      <formula>$D1297="E-signed!"</formula>
    </cfRule>
    <cfRule type="expression" dxfId="3271" priority="288">
      <formula>$D1297="Docs Received!"</formula>
    </cfRule>
    <cfRule type="expression" dxfId="3270" priority="289">
      <formula>$D1297="Disclosures Going Out..."</formula>
    </cfRule>
    <cfRule type="expression" dxfId="3269" priority="290">
      <formula>$D1297="Disclosures Sent!"</formula>
    </cfRule>
    <cfRule type="expression" dxfId="3268" priority="291">
      <formula>$D1297="FIGURE - Link Sent!"</formula>
    </cfRule>
    <cfRule type="expression" dxfId="3267" priority="292">
      <formula>$D1297="Hard Money Opportunity"</formula>
    </cfRule>
    <cfRule type="expression" dxfId="3266" priority="293">
      <formula>$D1297="Communicating..."</formula>
    </cfRule>
    <cfRule type="expression" dxfId="3265" priority="294">
      <formula>$D1297="Not Interested"</formula>
    </cfRule>
    <cfRule type="expression" dxfId="3264" priority="295">
      <formula>$D1297="APP - Pitched &gt; Follow up"</formula>
    </cfRule>
    <cfRule type="expression" dxfId="3263" priority="296">
      <formula>$D1297="Appt Scheduled"</formula>
    </cfRule>
    <cfRule type="expression" dxfId="3262" priority="297">
      <formula>$D1297="Reverse Mortgage Opportunity"</formula>
    </cfRule>
    <cfRule type="expression" dxfId="3261" priority="298">
      <formula>$D1297="Purchase"</formula>
    </cfRule>
    <cfRule type="expression" dxfId="3260" priority="299">
      <formula>$D1297="Verified Approval Letter"</formula>
    </cfRule>
    <cfRule type="expression" dxfId="3259" priority="300">
      <formula>$D1297="*Thinking about it*"</formula>
    </cfRule>
    <cfRule type="expression" dxfId="3258" priority="301">
      <formula>$D1297="DNQ"</formula>
    </cfRule>
    <cfRule type="expression" dxfId="3257" priority="302">
      <formula>$D1297="Commercial/Business Loan"</formula>
    </cfRule>
    <cfRule type="expression" dxfId="3256" priority="303">
      <formula>$D1297="Credit - Wayfinder"</formula>
    </cfRule>
    <cfRule type="expression" dxfId="3255" priority="304">
      <formula>$D1297="Match or Beat"</formula>
    </cfRule>
    <cfRule type="expression" dxfId="3254" priority="305">
      <formula>$D1297="Future Deal"</formula>
    </cfRule>
    <cfRule type="expression" dxfId="3253" priority="306">
      <formula>$D1297="Prospect -Email Sent"</formula>
    </cfRule>
    <cfRule type="expression" dxfId="3252" priority="307">
      <formula>$D1297="STOP!"</formula>
    </cfRule>
    <cfRule type="expression" dxfId="3251" priority="308">
      <formula>$D1297="Cold - Unresponsive"</formula>
    </cfRule>
    <cfRule type="expression" dxfId="3250" priority="309">
      <formula>$D1297="Cold - Wrong Number"</formula>
    </cfRule>
    <cfRule type="expression" dxfId="3249" priority="310">
      <formula>$D1297="Called 3x"</formula>
    </cfRule>
    <cfRule type="expression" dxfId="3248" priority="311">
      <formula>$D1297="Called 2x"</formula>
    </cfRule>
    <cfRule type="expression" dxfId="3247" priority="312">
      <formula>$D1297="T15 - MessageError!"</formula>
    </cfRule>
    <cfRule type="expression" dxfId="3246" priority="313">
      <formula>$D1297="T14 - Right Person?"</formula>
    </cfRule>
    <cfRule type="expression" dxfId="3245" priority="314">
      <formula>$D1297="T13 - Email"</formula>
    </cfRule>
    <cfRule type="expression" dxfId="3244" priority="315">
      <formula>$D1297="T12 - Blown Up"</formula>
    </cfRule>
    <cfRule type="expression" dxfId="3243" priority="316">
      <formula>$D1297="T11 - More Time?"</formula>
    </cfRule>
    <cfRule type="expression" dxfId="3242" priority="317">
      <formula>$D1297="T10 - Really Busy"</formula>
    </cfRule>
    <cfRule type="expression" dxfId="3241" priority="318">
      <formula>$D1297="T9 - Majority of Clients"</formula>
    </cfRule>
    <cfRule type="expression" dxfId="3240" priority="319">
      <formula>$D1297="T8 - STOP Contact"</formula>
    </cfRule>
    <cfRule type="expression" dxfId="3239" priority="320">
      <formula>$D1297="T7 - Another Lender"</formula>
    </cfRule>
    <cfRule type="expression" dxfId="3238" priority="321">
      <formula>$D1297="T6 - Don’t Qualify?"</formula>
    </cfRule>
    <cfRule type="expression" dxfId="3237" priority="322">
      <formula>$D1297="T5 - Debt Consolidation"</formula>
    </cfRule>
    <cfRule type="expression" dxfId="3236" priority="323">
      <formula>$D1297="T4 - Debt / Home"</formula>
    </cfRule>
    <cfRule type="expression" dxfId="3235" priority="324">
      <formula>$D1297="T3 - Correct Cash"</formula>
    </cfRule>
    <cfRule type="expression" dxfId="3234" priority="325">
      <formula>$D1297="T2 - Revised"</formula>
    </cfRule>
    <cfRule type="expression" dxfId="3233" priority="326">
      <formula>$D1297="T1 - Follow Up"</formula>
    </cfRule>
    <cfRule type="expression" dxfId="3232" priority="327">
      <formula>$D1297="APP - LOCKED!"</formula>
    </cfRule>
    <cfRule type="expression" dxfId="3231" priority="328">
      <formula>$D1297="LOCKED!"</formula>
    </cfRule>
    <cfRule type="expression" dxfId="3230" priority="329">
      <formula>$D1297="APP - Pitched &gt; Follow Up!"</formula>
    </cfRule>
    <cfRule type="expression" dxfId="3229" priority="330">
      <formula>$D1297="Pitched &gt; FOLLOW UP!"</formula>
    </cfRule>
    <cfRule type="expression" dxfId="3228" priority="331">
      <formula>$D1297="APP - Application Taken"</formula>
    </cfRule>
    <cfRule type="expression" dxfId="3227" priority="332">
      <formula>$D1297="AL - HOT!"</formula>
    </cfRule>
    <cfRule type="expression" dxfId="3226" priority="333">
      <formula>$D1297="AL - Responded"</formula>
    </cfRule>
    <cfRule type="expression" dxfId="3225" priority="334">
      <formula>$D1297="Prospect - Appt Scheduled"</formula>
    </cfRule>
    <cfRule type="expression" dxfId="3224" priority="335">
      <formula>$D1297="Appt Scheduled"</formula>
    </cfRule>
    <cfRule type="expression" dxfId="3223" priority="336">
      <formula>$D1297="Prospect - Follow Up"</formula>
    </cfRule>
    <cfRule type="expression" dxfId="3222" priority="337">
      <formula>$D1297="Prospect - HOT!"</formula>
    </cfRule>
    <cfRule type="expression" dxfId="3221" priority="338">
      <formula>$D1297="Prospect - Warm"</formula>
    </cfRule>
  </conditionalFormatting>
  <conditionalFormatting sqref="B1297:C1297 K1297:U1297">
    <cfRule type="expression" dxfId="3220" priority="272">
      <formula>$D1297="Cancel-Decline"</formula>
    </cfRule>
    <cfRule type="expression" dxfId="3219" priority="273">
      <formula>$D1297="Funded"</formula>
    </cfRule>
    <cfRule type="expression" dxfId="3218" priority="274">
      <formula>$D1297="Not Interested"</formula>
    </cfRule>
  </conditionalFormatting>
  <conditionalFormatting sqref="H1297">
    <cfRule type="expression" dxfId="3217" priority="206">
      <formula>$D1297="Cancel-Decline"</formula>
    </cfRule>
    <cfRule type="expression" dxfId="3216" priority="207">
      <formula>$D1297="Funded"</formula>
    </cfRule>
    <cfRule type="expression" dxfId="3215" priority="208">
      <formula>$D1297="0 - MessageError!"</formula>
    </cfRule>
    <cfRule type="expression" dxfId="3214" priority="209">
      <formula>$D1297="9- Changed Mind"</formula>
    </cfRule>
    <cfRule type="expression" dxfId="3213" priority="210">
      <formula>$D1297="8- Home Values"</formula>
    </cfRule>
    <cfRule type="expression" dxfId="3212" priority="211">
      <formula>$D1297="7- Market Drop"</formula>
    </cfRule>
    <cfRule type="expression" dxfId="3211" priority="212">
      <formula>$D1297="6- Another Lender"</formula>
    </cfRule>
    <cfRule type="expression" dxfId="3210" priority="213">
      <formula>$D1297="5- ChangedMind?"</formula>
    </cfRule>
    <cfRule type="expression" dxfId="3209" priority="214">
      <formula>$D1297="4- Don'tQualify"</formula>
    </cfRule>
    <cfRule type="expression" dxfId="3208" priority="215">
      <formula>$D1297="3- CashOut"</formula>
    </cfRule>
    <cfRule type="expression" dxfId="3207" priority="216">
      <formula>$D1297="2- RevisedQuote"</formula>
    </cfRule>
    <cfRule type="expression" dxfId="3206" priority="217">
      <formula>$D1297="1- FollowUp"</formula>
    </cfRule>
    <cfRule type="expression" dxfId="3205" priority="218" stopIfTrue="1">
      <formula>$D1297="Responded"</formula>
    </cfRule>
    <cfRule type="expression" dxfId="3204" priority="219">
      <formula>$D1297="Locked!"</formula>
    </cfRule>
    <cfRule type="expression" dxfId="3203" priority="220">
      <formula>$D1297="E-signed!"</formula>
    </cfRule>
    <cfRule type="expression" dxfId="3202" priority="221">
      <formula>$D1297="Docs Received!"</formula>
    </cfRule>
    <cfRule type="expression" dxfId="3201" priority="222">
      <formula>$D1297="Disclosures Going Out..."</formula>
    </cfRule>
    <cfRule type="expression" dxfId="3200" priority="223">
      <formula>$D1297="Disclosures Sent!"</formula>
    </cfRule>
    <cfRule type="expression" dxfId="3199" priority="224">
      <formula>$D1297="FIGURE - Link Sent!"</formula>
    </cfRule>
    <cfRule type="expression" dxfId="3198" priority="225">
      <formula>$D1297="Hard Money Opportunity"</formula>
    </cfRule>
    <cfRule type="expression" dxfId="3197" priority="226">
      <formula>$D1297="Communicating..."</formula>
    </cfRule>
    <cfRule type="expression" dxfId="3196" priority="227">
      <formula>$D1297="Not Interested"</formula>
    </cfRule>
    <cfRule type="expression" dxfId="3195" priority="228">
      <formula>$D1297="APP - Pitched &gt; Follow up"</formula>
    </cfRule>
    <cfRule type="expression" dxfId="3194" priority="229">
      <formula>$D1297="Appt Scheduled"</formula>
    </cfRule>
    <cfRule type="expression" dxfId="3193" priority="230">
      <formula>$D1297="Reverse Mortgage Opportunity"</formula>
    </cfRule>
    <cfRule type="expression" dxfId="3192" priority="231">
      <formula>$D1297="Purchase"</formula>
    </cfRule>
    <cfRule type="expression" dxfId="3191" priority="232">
      <formula>$D1297="Verified Approval Letter"</formula>
    </cfRule>
    <cfRule type="expression" dxfId="3190" priority="233">
      <formula>$D1297="*Thinking about it*"</formula>
    </cfRule>
    <cfRule type="expression" dxfId="3189" priority="234">
      <formula>$D1297="DNQ"</formula>
    </cfRule>
    <cfRule type="expression" dxfId="3188" priority="235">
      <formula>$D1297="Commercial/Business Loan"</formula>
    </cfRule>
    <cfRule type="expression" dxfId="3187" priority="236">
      <formula>$D1297="Credit - Wayfinder"</formula>
    </cfRule>
    <cfRule type="expression" dxfId="3186" priority="237">
      <formula>$D1297="Match or Beat"</formula>
    </cfRule>
    <cfRule type="expression" dxfId="3185" priority="238">
      <formula>$D1297="Future Deal"</formula>
    </cfRule>
    <cfRule type="expression" dxfId="3184" priority="239">
      <formula>$D1297="Prospect -Email Sent"</formula>
    </cfRule>
    <cfRule type="expression" dxfId="3183" priority="240">
      <formula>$D1297="STOP!"</formula>
    </cfRule>
    <cfRule type="expression" dxfId="3182" priority="241">
      <formula>$D1297="Cold - Unresponsive"</formula>
    </cfRule>
    <cfRule type="expression" dxfId="3181" priority="242">
      <formula>$D1297="Cold - Wrong Number"</formula>
    </cfRule>
    <cfRule type="expression" dxfId="3180" priority="243">
      <formula>$D1297="Called 3x"</formula>
    </cfRule>
    <cfRule type="expression" dxfId="3179" priority="244">
      <formula>$D1297="Called 2x"</formula>
    </cfRule>
    <cfRule type="expression" dxfId="3178" priority="245">
      <formula>$D1297="T15 - MessageError!"</formula>
    </cfRule>
    <cfRule type="expression" dxfId="3177" priority="246">
      <formula>$D1297="T14 - Right Person?"</formula>
    </cfRule>
    <cfRule type="expression" dxfId="3176" priority="247">
      <formula>$D1297="T13 - Email"</formula>
    </cfRule>
    <cfRule type="expression" dxfId="3175" priority="248">
      <formula>$D1297="T12 - Blown Up"</formula>
    </cfRule>
    <cfRule type="expression" dxfId="3174" priority="249">
      <formula>$D1297="T11 - More Time?"</formula>
    </cfRule>
    <cfRule type="expression" dxfId="3173" priority="250">
      <formula>$D1297="T10 - Really Busy"</formula>
    </cfRule>
    <cfRule type="expression" dxfId="3172" priority="251">
      <formula>$D1297="T9 - Majority of Clients"</formula>
    </cfRule>
    <cfRule type="expression" dxfId="3171" priority="252">
      <formula>$D1297="T8 - STOP Contact"</formula>
    </cfRule>
    <cfRule type="expression" dxfId="3170" priority="253">
      <formula>$D1297="T7 - Another Lender"</formula>
    </cfRule>
    <cfRule type="expression" dxfId="3169" priority="254">
      <formula>$D1297="T6 - Don’t Qualify?"</formula>
    </cfRule>
    <cfRule type="expression" dxfId="3168" priority="255">
      <formula>$D1297="T5 - Debt Consolidation"</formula>
    </cfRule>
    <cfRule type="expression" dxfId="3167" priority="256">
      <formula>$D1297="T4 - Debt / Home"</formula>
    </cfRule>
    <cfRule type="expression" dxfId="3166" priority="257">
      <formula>$D1297="T3 - Correct Cash"</formula>
    </cfRule>
    <cfRule type="expression" dxfId="3165" priority="258">
      <formula>$D1297="T2 - Revised"</formula>
    </cfRule>
    <cfRule type="expression" dxfId="3164" priority="259">
      <formula>$D1297="T1 - Follow Up"</formula>
    </cfRule>
    <cfRule type="expression" dxfId="3163" priority="260">
      <formula>$D1297="APP - LOCKED!"</formula>
    </cfRule>
    <cfRule type="expression" dxfId="3162" priority="261">
      <formula>$D1297="LOCKED!"</formula>
    </cfRule>
    <cfRule type="expression" dxfId="3161" priority="262">
      <formula>$D1297="APP - Pitched &gt; Follow Up!"</formula>
    </cfRule>
    <cfRule type="expression" dxfId="3160" priority="263">
      <formula>$D1297="Pitched &gt; FOLLOW UP!"</formula>
    </cfRule>
    <cfRule type="expression" dxfId="3159" priority="264">
      <formula>$D1297="APP - Application Taken"</formula>
    </cfRule>
    <cfRule type="expression" dxfId="3158" priority="265">
      <formula>$D1297="AL - HOT!"</formula>
    </cfRule>
    <cfRule type="expression" dxfId="3157" priority="266">
      <formula>$D1297="AL - Responded"</formula>
    </cfRule>
    <cfRule type="expression" dxfId="3156" priority="267">
      <formula>$D1297="Prospect - Appt Scheduled"</formula>
    </cfRule>
    <cfRule type="expression" dxfId="3155" priority="268">
      <formula>$D1297="Appt Scheduled"</formula>
    </cfRule>
    <cfRule type="expression" dxfId="3154" priority="269">
      <formula>$D1297="Prospect - Follow Up"</formula>
    </cfRule>
    <cfRule type="expression" dxfId="3153" priority="270">
      <formula>$D1297="Prospect - HOT!"</formula>
    </cfRule>
    <cfRule type="expression" dxfId="3152" priority="271">
      <formula>$D1297="Prospect - Warm"</formula>
    </cfRule>
  </conditionalFormatting>
  <conditionalFormatting sqref="D1297:G1297 I1297:J1297">
    <cfRule type="expression" dxfId="3151" priority="140">
      <formula>$D1297="Cancel-Decline"</formula>
    </cfRule>
    <cfRule type="expression" dxfId="3150" priority="141">
      <formula>$D1297="Funded"</formula>
    </cfRule>
    <cfRule type="expression" dxfId="3149" priority="142">
      <formula>$D1297="0 - MessageError!"</formula>
    </cfRule>
    <cfRule type="expression" dxfId="3148" priority="143">
      <formula>$D1297="9- Changed Mind"</formula>
    </cfRule>
    <cfRule type="expression" dxfId="3147" priority="144">
      <formula>$D1297="8- Home Values"</formula>
    </cfRule>
    <cfRule type="expression" dxfId="3146" priority="145">
      <formula>$D1297="7- Market Drop"</formula>
    </cfRule>
    <cfRule type="expression" dxfId="3145" priority="146">
      <formula>$D1297="6- Another Lender"</formula>
    </cfRule>
    <cfRule type="expression" dxfId="3144" priority="147">
      <formula>$D1297="5- ChangedMind?"</formula>
    </cfRule>
    <cfRule type="expression" dxfId="3143" priority="148">
      <formula>$D1297="4- Don'tQualify"</formula>
    </cfRule>
    <cfRule type="expression" dxfId="3142" priority="149">
      <formula>$D1297="3- CashOut"</formula>
    </cfRule>
    <cfRule type="expression" dxfId="3141" priority="150">
      <formula>$D1297="2- RevisedQuote"</formula>
    </cfRule>
    <cfRule type="expression" dxfId="3140" priority="151">
      <formula>$D1297="1- FollowUp"</formula>
    </cfRule>
    <cfRule type="expression" dxfId="3139" priority="152" stopIfTrue="1">
      <formula>$D1297="Responded"</formula>
    </cfRule>
    <cfRule type="expression" dxfId="3138" priority="153">
      <formula>$D1297="Locked!"</formula>
    </cfRule>
    <cfRule type="expression" dxfId="3137" priority="154">
      <formula>$D1297="E-signed!"</formula>
    </cfRule>
    <cfRule type="expression" dxfId="3136" priority="155">
      <formula>$D1297="Docs Received!"</formula>
    </cfRule>
    <cfRule type="expression" dxfId="3135" priority="156">
      <formula>$D1297="Disclosures Going Out..."</formula>
    </cfRule>
    <cfRule type="expression" dxfId="3134" priority="157">
      <formula>$D1297="Disclosures Sent!"</formula>
    </cfRule>
    <cfRule type="expression" dxfId="3133" priority="158">
      <formula>$D1297="FIGURE - Link Sent!"</formula>
    </cfRule>
    <cfRule type="expression" dxfId="3132" priority="159">
      <formula>$D1297="Hard Money Opportunity"</formula>
    </cfRule>
    <cfRule type="expression" dxfId="3131" priority="160">
      <formula>$D1297="Communicating..."</formula>
    </cfRule>
    <cfRule type="expression" dxfId="3130" priority="161">
      <formula>$D1297="Not Interested"</formula>
    </cfRule>
    <cfRule type="expression" dxfId="3129" priority="162">
      <formula>$D1297="APP - Pitched &gt; Follow up"</formula>
    </cfRule>
    <cfRule type="expression" dxfId="3128" priority="163">
      <formula>$D1297="Appt Scheduled"</formula>
    </cfRule>
    <cfRule type="expression" dxfId="3127" priority="164">
      <formula>$D1297="Reverse Mortgage Opportunity"</formula>
    </cfRule>
    <cfRule type="expression" dxfId="3126" priority="165">
      <formula>$D1297="Purchase"</formula>
    </cfRule>
    <cfRule type="expression" dxfId="3125" priority="166">
      <formula>$D1297="Verified Approval Letter"</formula>
    </cfRule>
    <cfRule type="expression" dxfId="3124" priority="167">
      <formula>$D1297="*Thinking about it*"</formula>
    </cfRule>
    <cfRule type="expression" dxfId="3123" priority="168">
      <formula>$D1297="DNQ"</formula>
    </cfRule>
    <cfRule type="expression" dxfId="3122" priority="169">
      <formula>$D1297="Commercial/Business Loan"</formula>
    </cfRule>
    <cfRule type="expression" dxfId="3121" priority="170">
      <formula>$D1297="Credit - Wayfinder"</formula>
    </cfRule>
    <cfRule type="expression" dxfId="3120" priority="171">
      <formula>$D1297="Match or Beat"</formula>
    </cfRule>
    <cfRule type="expression" dxfId="3119" priority="172">
      <formula>$D1297="Future Deal"</formula>
    </cfRule>
    <cfRule type="expression" dxfId="3118" priority="173">
      <formula>$D1297="Prospect -Email Sent"</formula>
    </cfRule>
    <cfRule type="expression" dxfId="3117" priority="174">
      <formula>$D1297="STOP!"</formula>
    </cfRule>
    <cfRule type="expression" dxfId="3116" priority="175">
      <formula>$D1297="No Benefit"</formula>
    </cfRule>
    <cfRule type="expression" dxfId="3115" priority="176">
      <formula>$D1297="Went With Another Lender"</formula>
    </cfRule>
    <cfRule type="expression" dxfId="3114" priority="177">
      <formula>$D1297="Called 3x"</formula>
    </cfRule>
    <cfRule type="expression" dxfId="3113" priority="178">
      <formula>$D1297="Called 2x"</formula>
    </cfRule>
    <cfRule type="expression" dxfId="3112" priority="179">
      <formula>$D1297="T15 - MessageError!"</formula>
    </cfRule>
    <cfRule type="expression" dxfId="3111" priority="180">
      <formula>$D1297="T14 - Right Person?"</formula>
    </cfRule>
    <cfRule type="expression" dxfId="3110" priority="181">
      <formula>$D1297="T13 - Email"</formula>
    </cfRule>
    <cfRule type="expression" dxfId="3109" priority="182">
      <formula>$D1297="T12 - Blown Up"</formula>
    </cfRule>
    <cfRule type="expression" dxfId="3108" priority="183">
      <formula>$D1297="T11 - More Time?"</formula>
    </cfRule>
    <cfRule type="expression" dxfId="3107" priority="184">
      <formula>$D1297="T10 - Really Busy"</formula>
    </cfRule>
    <cfRule type="expression" dxfId="3106" priority="185">
      <formula>$D1297="T9 - Majority of Clients"</formula>
    </cfRule>
    <cfRule type="expression" dxfId="3105" priority="186">
      <formula>$D1297="T8 - STOP Contact"</formula>
    </cfRule>
    <cfRule type="expression" dxfId="3104" priority="187">
      <formula>$D1297="T7 - Another Lender"</formula>
    </cfRule>
    <cfRule type="expression" dxfId="3103" priority="188">
      <formula>$D1297="T6 - Don’t Qualify?"</formula>
    </cfRule>
    <cfRule type="expression" dxfId="3102" priority="189">
      <formula>$D1297="T5 - Debt Consolidation"</formula>
    </cfRule>
    <cfRule type="expression" dxfId="3101" priority="190">
      <formula>$D1297="T4 - Debt / Home"</formula>
    </cfRule>
    <cfRule type="expression" dxfId="3100" priority="191">
      <formula>$D1297="T3 - Correct Cash"</formula>
    </cfRule>
    <cfRule type="expression" dxfId="3099" priority="192">
      <formula>$D1297="T2 - Revised"</formula>
    </cfRule>
    <cfRule type="expression" dxfId="3098" priority="193">
      <formula>$D1297="T1 - Follow Up"</formula>
    </cfRule>
    <cfRule type="expression" dxfId="3097" priority="194">
      <formula>$D1297="APP - LOCKED!"</formula>
    </cfRule>
    <cfRule type="expression" dxfId="3096" priority="195">
      <formula>$D1297="LOCKED!"</formula>
    </cfRule>
    <cfRule type="expression" dxfId="3095" priority="196">
      <formula>$D1297="APP - Pitched &gt; Follow Up!"</formula>
    </cfRule>
    <cfRule type="expression" dxfId="3094" priority="197">
      <formula>$D1297="Pitched &gt; FOLLOW UP!"</formula>
    </cfRule>
    <cfRule type="expression" dxfId="3093" priority="198">
      <formula>$D1297="APP - Application Taken"</formula>
    </cfRule>
    <cfRule type="expression" dxfId="3092" priority="199">
      <formula>$D1297="AL - HOT!"</formula>
    </cfRule>
    <cfRule type="expression" dxfId="3091" priority="200">
      <formula>$D1297="AL - Responded"</formula>
    </cfRule>
    <cfRule type="expression" dxfId="3090" priority="201">
      <formula>$D1297="Prospect - Appt Scheduled"</formula>
    </cfRule>
    <cfRule type="expression" dxfId="3089" priority="202">
      <formula>$D1297="Appt Scheduled"</formula>
    </cfRule>
    <cfRule type="expression" dxfId="3088" priority="203">
      <formula>$D1297="Prospect - Follow Up"</formula>
    </cfRule>
    <cfRule type="expression" dxfId="3087" priority="204">
      <formula>$D1297="Prospect - HOT!"</formula>
    </cfRule>
    <cfRule type="expression" dxfId="3086" priority="205">
      <formula>$D1297="Prospect - Warm"</formula>
    </cfRule>
  </conditionalFormatting>
  <conditionalFormatting sqref="A1348">
    <cfRule type="containsText" dxfId="3085" priority="138" operator="containsText" text="E-Mail Sent">
      <formula>NOT(ISERROR(SEARCH("E-Mail Sent",A1348)))</formula>
    </cfRule>
    <cfRule type="containsText" dxfId="3084" priority="139" operator="containsText" text="E Mail">
      <formula>NOT(ISERROR(SEARCH("E Mail",A1348)))</formula>
    </cfRule>
  </conditionalFormatting>
  <conditionalFormatting sqref="K1348:U1348 B1348:C1348">
    <cfRule type="expression" dxfId="3083" priority="74">
      <formula>$D1348="0 - MessageError!"</formula>
    </cfRule>
    <cfRule type="expression" dxfId="3082" priority="75">
      <formula>$D1348="9- Changed Mind"</formula>
    </cfRule>
    <cfRule type="expression" dxfId="3081" priority="76">
      <formula>$D1348="8- Home Values"</formula>
    </cfRule>
    <cfRule type="expression" dxfId="3080" priority="77">
      <formula>$D1348="7- Market Drop"</formula>
    </cfRule>
    <cfRule type="expression" dxfId="3079" priority="78">
      <formula>$D1348="6- Another Lender"</formula>
    </cfRule>
    <cfRule type="expression" dxfId="3078" priority="79">
      <formula>$D1348="5- ChangedMind?"</formula>
    </cfRule>
    <cfRule type="expression" dxfId="3077" priority="80">
      <formula>$D1348="4- Don'tQualify"</formula>
    </cfRule>
    <cfRule type="expression" dxfId="3076" priority="81">
      <formula>$D1348="3- CashOut"</formula>
    </cfRule>
    <cfRule type="expression" dxfId="3075" priority="82">
      <formula>$D1348="2- RevisedQuote"</formula>
    </cfRule>
    <cfRule type="expression" dxfId="3074" priority="83">
      <formula>$D1348="1- FollowUp"</formula>
    </cfRule>
    <cfRule type="expression" dxfId="3073" priority="84" stopIfTrue="1">
      <formula>$D1348="Responded"</formula>
    </cfRule>
    <cfRule type="expression" dxfId="3072" priority="85">
      <formula>$D1348="Locked!"</formula>
    </cfRule>
    <cfRule type="expression" dxfId="3071" priority="86">
      <formula>$D1348="E-signed!"</formula>
    </cfRule>
    <cfRule type="expression" dxfId="3070" priority="87">
      <formula>$D1348="Docs Received!"</formula>
    </cfRule>
    <cfRule type="expression" dxfId="3069" priority="88">
      <formula>$D1348="Disclosures Going Out..."</formula>
    </cfRule>
    <cfRule type="expression" dxfId="3068" priority="89">
      <formula>$D1348="Disclosures Sent!"</formula>
    </cfRule>
    <cfRule type="expression" dxfId="3067" priority="90">
      <formula>$D1348="FIGURE - Link Sent!"</formula>
    </cfRule>
    <cfRule type="expression" dxfId="3066" priority="91">
      <formula>$D1348="Hard Money Opportunity"</formula>
    </cfRule>
    <cfRule type="expression" dxfId="3065" priority="92">
      <formula>$D1348="Communicating..."</formula>
    </cfRule>
    <cfRule type="expression" dxfId="3064" priority="93">
      <formula>$D1348="Not Interested"</formula>
    </cfRule>
    <cfRule type="expression" dxfId="3063" priority="94">
      <formula>$D1348="APP - Pitched &gt; Follow up"</formula>
    </cfRule>
    <cfRule type="expression" dxfId="3062" priority="95">
      <formula>$D1348="Appt Scheduled"</formula>
    </cfRule>
    <cfRule type="expression" dxfId="3061" priority="96">
      <formula>$D1348="Reverse Mortgage Opportunity"</formula>
    </cfRule>
    <cfRule type="expression" dxfId="3060" priority="97">
      <formula>$D1348="Purchase"</formula>
    </cfRule>
    <cfRule type="expression" dxfId="3059" priority="98">
      <formula>$D1348="Verified Approval Letter"</formula>
    </cfRule>
    <cfRule type="expression" dxfId="3058" priority="99">
      <formula>$D1348="*Thinking about it*"</formula>
    </cfRule>
    <cfRule type="expression" dxfId="3057" priority="100">
      <formula>$D1348="DNQ"</formula>
    </cfRule>
    <cfRule type="expression" dxfId="3056" priority="101">
      <formula>$D1348="Commercial/Business Loan"</formula>
    </cfRule>
    <cfRule type="expression" dxfId="3055" priority="102">
      <formula>$D1348="Credit - Wayfinder"</formula>
    </cfRule>
    <cfRule type="expression" dxfId="3054" priority="103">
      <formula>$D1348="Match or Beat"</formula>
    </cfRule>
    <cfRule type="expression" dxfId="3053" priority="104">
      <formula>$D1348="Future Deal"</formula>
    </cfRule>
    <cfRule type="expression" dxfId="3052" priority="105">
      <formula>$D1348="Prospect -Email Sent"</formula>
    </cfRule>
    <cfRule type="expression" dxfId="3051" priority="106">
      <formula>$D1348="STOP!"</formula>
    </cfRule>
    <cfRule type="expression" dxfId="3050" priority="107">
      <formula>$D1348="Cold - Unresponsive"</formula>
    </cfRule>
    <cfRule type="expression" dxfId="3049" priority="108">
      <formula>$D1348="Cold - Wrong Number"</formula>
    </cfRule>
    <cfRule type="expression" dxfId="3048" priority="109">
      <formula>$D1348="Called 3x"</formula>
    </cfRule>
    <cfRule type="expression" dxfId="3047" priority="110">
      <formula>$D1348="Called 2x"</formula>
    </cfRule>
    <cfRule type="expression" dxfId="3046" priority="111">
      <formula>$D1348="T15 - MessageError!"</formula>
    </cfRule>
    <cfRule type="expression" dxfId="3045" priority="112">
      <formula>$D1348="T14 - Right Person?"</formula>
    </cfRule>
    <cfRule type="expression" dxfId="3044" priority="113">
      <formula>$D1348="T13 - Email"</formula>
    </cfRule>
    <cfRule type="expression" dxfId="3043" priority="114">
      <formula>$D1348="T12 - Blown Up"</formula>
    </cfRule>
    <cfRule type="expression" dxfId="3042" priority="115">
      <formula>$D1348="T11 - More Time?"</formula>
    </cfRule>
    <cfRule type="expression" dxfId="3041" priority="116">
      <formula>$D1348="T10 - Really Busy"</formula>
    </cfRule>
    <cfRule type="expression" dxfId="3040" priority="117">
      <formula>$D1348="T9 - Majority of Clients"</formula>
    </cfRule>
    <cfRule type="expression" dxfId="3039" priority="118">
      <formula>$D1348="T8 - STOP Contact"</formula>
    </cfRule>
    <cfRule type="expression" dxfId="3038" priority="119">
      <formula>$D1348="T7 - Another Lender"</formula>
    </cfRule>
    <cfRule type="expression" dxfId="3037" priority="120">
      <formula>$D1348="T6 - Don’t Qualify?"</formula>
    </cfRule>
    <cfRule type="expression" dxfId="3036" priority="121">
      <formula>$D1348="T5 - Debt Consolidation"</formula>
    </cfRule>
    <cfRule type="expression" dxfId="3035" priority="122">
      <formula>$D1348="T4 - Debt / Home"</formula>
    </cfRule>
    <cfRule type="expression" dxfId="3034" priority="123">
      <formula>$D1348="T3 - Correct Cash"</formula>
    </cfRule>
    <cfRule type="expression" dxfId="3033" priority="124">
      <formula>$D1348="T2 - Revised"</formula>
    </cfRule>
    <cfRule type="expression" dxfId="3032" priority="125">
      <formula>$D1348="T1 - Follow Up"</formula>
    </cfRule>
    <cfRule type="expression" dxfId="3031" priority="126">
      <formula>$D1348="APP - LOCKED!"</formula>
    </cfRule>
    <cfRule type="expression" dxfId="3030" priority="127">
      <formula>$D1348="LOCKED!"</formula>
    </cfRule>
    <cfRule type="expression" dxfId="3029" priority="128">
      <formula>$D1348="APP - Pitched &gt; Follow Up!"</formula>
    </cfRule>
    <cfRule type="expression" dxfId="3028" priority="129">
      <formula>$D1348="Pitched &gt; FOLLOW UP!"</formula>
    </cfRule>
    <cfRule type="expression" dxfId="3027" priority="130">
      <formula>$D1348="APP - Application Taken"</formula>
    </cfRule>
    <cfRule type="expression" dxfId="3026" priority="131">
      <formula>$D1348="AL - HOT!"</formula>
    </cfRule>
    <cfRule type="expression" dxfId="3025" priority="132">
      <formula>$D1348="AL - Responded"</formula>
    </cfRule>
    <cfRule type="expression" dxfId="3024" priority="133">
      <formula>$D1348="Prospect - Appt Scheduled"</formula>
    </cfRule>
    <cfRule type="expression" dxfId="3023" priority="134">
      <formula>$D1348="Appt Scheduled"</formula>
    </cfRule>
    <cfRule type="expression" dxfId="3022" priority="135">
      <formula>$D1348="Prospect - Follow Up"</formula>
    </cfRule>
    <cfRule type="expression" dxfId="3021" priority="136">
      <formula>$D1348="Prospect - HOT!"</formula>
    </cfRule>
    <cfRule type="expression" dxfId="3020" priority="137">
      <formula>$D1348="Prospect - Warm"</formula>
    </cfRule>
  </conditionalFormatting>
  <conditionalFormatting sqref="K1348:U1348 B1348:C1348">
    <cfRule type="expression" dxfId="3019" priority="71">
      <formula>$D1348="Cancel-Decline"</formula>
    </cfRule>
    <cfRule type="expression" dxfId="3018" priority="72">
      <formula>$D1348="Funded"</formula>
    </cfRule>
    <cfRule type="expression" dxfId="3017" priority="73">
      <formula>$D1348="Not Interested"</formula>
    </cfRule>
  </conditionalFormatting>
  <conditionalFormatting sqref="D1348:J1348">
    <cfRule type="expression" dxfId="3016" priority="5">
      <formula>$D1348="Cancel-Decline"</formula>
    </cfRule>
    <cfRule type="expression" dxfId="3015" priority="6">
      <formula>$D1348="Funded"</formula>
    </cfRule>
    <cfRule type="expression" dxfId="3014" priority="7">
      <formula>$D1348="0 - MessageError!"</formula>
    </cfRule>
    <cfRule type="expression" dxfId="3013" priority="8">
      <formula>$D1348="9- Changed Mind"</formula>
    </cfRule>
    <cfRule type="expression" dxfId="3012" priority="9">
      <formula>$D1348="8- Home Values"</formula>
    </cfRule>
    <cfRule type="expression" dxfId="3011" priority="10">
      <formula>$D1348="7- Market Drop"</formula>
    </cfRule>
    <cfRule type="expression" dxfId="3010" priority="11">
      <formula>$D1348="6- Another Lender"</formula>
    </cfRule>
    <cfRule type="expression" dxfId="3009" priority="12">
      <formula>$D1348="5- ChangedMind?"</formula>
    </cfRule>
    <cfRule type="expression" dxfId="3008" priority="13">
      <formula>$D1348="4- Don'tQualify"</formula>
    </cfRule>
    <cfRule type="expression" dxfId="3007" priority="14">
      <formula>$D1348="3- CashOut"</formula>
    </cfRule>
    <cfRule type="expression" dxfId="3006" priority="15">
      <formula>$D1348="2- RevisedQuote"</formula>
    </cfRule>
    <cfRule type="expression" dxfId="3005" priority="16">
      <formula>$D1348="1- FollowUp"</formula>
    </cfRule>
    <cfRule type="expression" dxfId="3004" priority="17" stopIfTrue="1">
      <formula>$D1348="Responded"</formula>
    </cfRule>
    <cfRule type="expression" dxfId="3003" priority="18">
      <formula>$D1348="Locked!"</formula>
    </cfRule>
    <cfRule type="expression" dxfId="3002" priority="19">
      <formula>$D1348="E-signed!"</formula>
    </cfRule>
    <cfRule type="expression" dxfId="3001" priority="20">
      <formula>$D1348="Docs Received!"</formula>
    </cfRule>
    <cfRule type="expression" dxfId="3000" priority="21">
      <formula>$D1348="Disclosures Going Out..."</formula>
    </cfRule>
    <cfRule type="expression" dxfId="2999" priority="22">
      <formula>$D1348="Disclosures Sent!"</formula>
    </cfRule>
    <cfRule type="expression" dxfId="2998" priority="23">
      <formula>$D1348="FIGURE - Link Sent!"</formula>
    </cfRule>
    <cfRule type="expression" dxfId="2997" priority="24">
      <formula>$D1348="Hard Money Opportunity"</formula>
    </cfRule>
    <cfRule type="expression" dxfId="2996" priority="25">
      <formula>$D1348="Communicating..."</formula>
    </cfRule>
    <cfRule type="expression" dxfId="2995" priority="26">
      <formula>$D1348="Not Interested"</formula>
    </cfRule>
    <cfRule type="expression" dxfId="2994" priority="27">
      <formula>$D1348="APP - Pitched &gt; Follow up"</formula>
    </cfRule>
    <cfRule type="expression" dxfId="2993" priority="28">
      <formula>$D1348="Appt Scheduled"</formula>
    </cfRule>
    <cfRule type="expression" dxfId="2992" priority="29">
      <formula>$D1348="Reverse Mortgage Opportunity"</formula>
    </cfRule>
    <cfRule type="expression" dxfId="2991" priority="30">
      <formula>$D1348="Purchase"</formula>
    </cfRule>
    <cfRule type="expression" dxfId="2990" priority="31">
      <formula>$D1348="Verified Approval Letter"</formula>
    </cfRule>
    <cfRule type="expression" dxfId="2989" priority="32">
      <formula>$D1348="*Thinking about it*"</formula>
    </cfRule>
    <cfRule type="expression" dxfId="2988" priority="33">
      <formula>$D1348="DNQ"</formula>
    </cfRule>
    <cfRule type="expression" dxfId="2987" priority="34">
      <formula>$D1348="Commercial/Business Loan"</formula>
    </cfRule>
    <cfRule type="expression" dxfId="2986" priority="35">
      <formula>$D1348="Credit - Wayfinder"</formula>
    </cfRule>
    <cfRule type="expression" dxfId="2985" priority="36">
      <formula>$D1348="Match or Beat"</formula>
    </cfRule>
    <cfRule type="expression" dxfId="2984" priority="37">
      <formula>$D1348="Future Deal"</formula>
    </cfRule>
    <cfRule type="expression" dxfId="2983" priority="38">
      <formula>$D1348="Prospect -Email Sent"</formula>
    </cfRule>
    <cfRule type="expression" dxfId="2982" priority="39">
      <formula>$D1348="STOP!"</formula>
    </cfRule>
    <cfRule type="expression" dxfId="2981" priority="40">
      <formula>$D1348="No Benefit"</formula>
    </cfRule>
    <cfRule type="expression" dxfId="2980" priority="41">
      <formula>$D1348="Went With Another Lender"</formula>
    </cfRule>
    <cfRule type="expression" dxfId="2979" priority="42">
      <formula>$D1348="Called 3x"</formula>
    </cfRule>
    <cfRule type="expression" dxfId="2978" priority="43">
      <formula>$D1348="Called 2x"</formula>
    </cfRule>
    <cfRule type="expression" dxfId="2977" priority="44">
      <formula>$D1348="T15 - MessageError!"</formula>
    </cfRule>
    <cfRule type="expression" dxfId="2976" priority="45">
      <formula>$D1348="T14 - Right Person?"</formula>
    </cfRule>
    <cfRule type="expression" dxfId="2975" priority="46">
      <formula>$D1348="T13 - Email"</formula>
    </cfRule>
    <cfRule type="expression" dxfId="2974" priority="47">
      <formula>$D1348="T12 - Blown Up"</formula>
    </cfRule>
    <cfRule type="expression" dxfId="2973" priority="48">
      <formula>$D1348="T11 - More Time?"</formula>
    </cfRule>
    <cfRule type="expression" dxfId="2972" priority="49">
      <formula>$D1348="T10 - Really Busy"</formula>
    </cfRule>
    <cfRule type="expression" dxfId="2971" priority="50">
      <formula>$D1348="T9 - Majority of Clients"</formula>
    </cfRule>
    <cfRule type="expression" dxfId="2970" priority="51">
      <formula>$D1348="T8 - STOP Contact"</formula>
    </cfRule>
    <cfRule type="expression" dxfId="2969" priority="52">
      <formula>$D1348="T7 - Another Lender"</formula>
    </cfRule>
    <cfRule type="expression" dxfId="2968" priority="53">
      <formula>$D1348="T6 - Don’t Qualify?"</formula>
    </cfRule>
    <cfRule type="expression" dxfId="2967" priority="54">
      <formula>$D1348="T5 - Debt Consolidation"</formula>
    </cfRule>
    <cfRule type="expression" dxfId="2966" priority="55">
      <formula>$D1348="T4 - Debt / Home"</formula>
    </cfRule>
    <cfRule type="expression" dxfId="2965" priority="56">
      <formula>$D1348="T3 - Correct Cash"</formula>
    </cfRule>
    <cfRule type="expression" dxfId="2964" priority="57">
      <formula>$D1348="T2 - Revised"</formula>
    </cfRule>
    <cfRule type="expression" dxfId="2963" priority="58">
      <formula>$D1348="T1 - Follow Up"</formula>
    </cfRule>
    <cfRule type="expression" dxfId="2962" priority="59">
      <formula>$D1348="APP - LOCKED!"</formula>
    </cfRule>
    <cfRule type="expression" dxfId="2961" priority="60">
      <formula>$D1348="LOCKED!"</formula>
    </cfRule>
    <cfRule type="expression" dxfId="2960" priority="61">
      <formula>$D1348="APP - Pitched &gt; Follow Up!"</formula>
    </cfRule>
    <cfRule type="expression" dxfId="2959" priority="62">
      <formula>$D1348="Pitched &gt; FOLLOW UP!"</formula>
    </cfRule>
    <cfRule type="expression" dxfId="2958" priority="63">
      <formula>$D1348="APP - Application Taken"</formula>
    </cfRule>
    <cfRule type="expression" dxfId="2957" priority="64">
      <formula>$D1348="AL - HOT!"</formula>
    </cfRule>
    <cfRule type="expression" dxfId="2956" priority="65">
      <formula>$D1348="AL - Responded"</formula>
    </cfRule>
    <cfRule type="expression" dxfId="2955" priority="66">
      <formula>$D1348="Prospect - Appt Scheduled"</formula>
    </cfRule>
    <cfRule type="expression" dxfId="2954" priority="67">
      <formula>$D1348="Appt Scheduled"</formula>
    </cfRule>
    <cfRule type="expression" dxfId="2953" priority="68">
      <formula>$D1348="Prospect - Follow Up"</formula>
    </cfRule>
    <cfRule type="expression" dxfId="2952" priority="69">
      <formula>$D1348="Prospect - HOT!"</formula>
    </cfRule>
    <cfRule type="expression" dxfId="2951" priority="70">
      <formula>$D1348="Prospect - Warm"</formula>
    </cfRule>
  </conditionalFormatting>
  <conditionalFormatting sqref="D1348:J1348">
    <cfRule type="expression" dxfId="2950" priority="1">
      <formula>$D1348="Potential Cancel"</formula>
    </cfRule>
    <cfRule type="expression" dxfId="2949" priority="3">
      <formula>$D1348="Clear to Close"</formula>
    </cfRule>
  </conditionalFormatting>
  <conditionalFormatting sqref="B1348:Z2996">
    <cfRule type="expression" dxfId="2948" priority="2">
      <formula>$D1348="Suspended-Restructure"</formula>
    </cfRule>
    <cfRule type="expression" dxfId="2947" priority="4">
      <formula>$D1348="Submitted to Underwriting"</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AddNewLead">
                <anchor>
                  <from>
                    <xdr:col>0</xdr:col>
                    <xdr:colOff>83820</xdr:colOff>
                    <xdr:row>0</xdr:row>
                    <xdr:rowOff>60960</xdr:rowOff>
                  </from>
                  <to>
                    <xdr:col>3</xdr:col>
                    <xdr:colOff>571500</xdr:colOff>
                    <xdr:row>0</xdr:row>
                    <xdr:rowOff>800100</xdr:rowOff>
                  </to>
                </anchor>
              </controlPr>
            </control>
          </mc:Choice>
        </mc:AlternateContent>
        <mc:AlternateContent xmlns:mc="http://schemas.openxmlformats.org/markup-compatibility/2006">
          <mc:Choice Requires="x14">
            <control shapeId="1027" r:id="rId5" name="Button 3">
              <controlPr defaultSize="0" print="0" autoFill="0" autoPict="0" macro="[0]!MovetoHotHot">
                <anchor>
                  <from>
                    <xdr:col>0</xdr:col>
                    <xdr:colOff>83820</xdr:colOff>
                    <xdr:row>0</xdr:row>
                    <xdr:rowOff>845820</xdr:rowOff>
                  </from>
                  <to>
                    <xdr:col>1</xdr:col>
                    <xdr:colOff>1249680</xdr:colOff>
                    <xdr:row>0</xdr:row>
                    <xdr:rowOff>1813560</xdr:rowOff>
                  </to>
                </anchor>
              </controlPr>
            </control>
          </mc:Choice>
        </mc:AlternateContent>
        <mc:AlternateContent xmlns:mc="http://schemas.openxmlformats.org/markup-compatibility/2006">
          <mc:Choice Requires="x14">
            <control shapeId="1028" r:id="rId6" name="Button 4">
              <controlPr defaultSize="0" print="0" autoFill="0" autoPict="0" macro="[0]!MovetoPipeline">
                <anchor>
                  <from>
                    <xdr:col>1</xdr:col>
                    <xdr:colOff>1257300</xdr:colOff>
                    <xdr:row>0</xdr:row>
                    <xdr:rowOff>845820</xdr:rowOff>
                  </from>
                  <to>
                    <xdr:col>3</xdr:col>
                    <xdr:colOff>571500</xdr:colOff>
                    <xdr:row>0</xdr:row>
                    <xdr:rowOff>1813560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000-000000000000}">
          <x14:formula1>
            <xm:f>WCL!$D$1:$D$4</xm:f>
          </x14:formula1>
          <xm:sqref>A3 A5081:A7087</xm:sqref>
        </x14:dataValidation>
        <x14:dataValidation type="list" allowBlank="1" showInputMessage="1" showErrorMessage="1" xr:uid="{00000000-0002-0000-0000-000001000000}">
          <x14:formula1>
            <xm:f>WCL!$D$1:$D$8</xm:f>
          </x14:formula1>
          <xm:sqref>A6:A5080</xm:sqref>
        </x14:dataValidation>
        <x14:dataValidation type="list" allowBlank="1" showInputMessage="1" showErrorMessage="1" xr:uid="{00000000-0002-0000-0000-000002000000}">
          <x14:formula1>
            <xm:f>WCL!$B$1:$B$47</xm:f>
          </x14:formula1>
          <xm:sqref>D6:D3983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7"/>
  <dimension ref="A1:Z46"/>
  <sheetViews>
    <sheetView showGridLines="0" showRuler="0" view="pageLayout" topLeftCell="A2" zoomScale="80" zoomScaleNormal="100" zoomScalePageLayoutView="80" workbookViewId="0">
      <selection activeCell="A15" sqref="A15:C15"/>
    </sheetView>
  </sheetViews>
  <sheetFormatPr defaultColWidth="8.88671875" defaultRowHeight="14.4"/>
  <cols>
    <col min="1" max="1" width="9.6640625" customWidth="1"/>
    <col min="2" max="2" width="6.88671875" customWidth="1"/>
    <col min="3" max="3" width="3.88671875" customWidth="1"/>
    <col min="4" max="4" width="7.6640625" customWidth="1"/>
    <col min="5" max="5" width="13.5546875" customWidth="1"/>
    <col min="6" max="6" width="16.33203125" customWidth="1"/>
    <col min="7" max="7" width="7.109375" customWidth="1"/>
    <col min="8" max="8" width="9.33203125" customWidth="1"/>
    <col min="9" max="9" width="15.109375" customWidth="1"/>
    <col min="10" max="10" width="6.33203125" customWidth="1"/>
    <col min="11" max="11" width="12.6640625" bestFit="1" customWidth="1"/>
    <col min="12" max="12" width="12.88671875" bestFit="1" customWidth="1"/>
    <col min="16" max="16" width="10.5546875" customWidth="1"/>
    <col min="24" max="24" width="24.44140625" bestFit="1" customWidth="1"/>
    <col min="26" max="26" width="18.5546875" bestFit="1" customWidth="1"/>
  </cols>
  <sheetData>
    <row r="1" spans="1:26">
      <c r="K1" s="234" t="s">
        <v>209</v>
      </c>
      <c r="L1" s="234"/>
      <c r="X1" t="s">
        <v>235</v>
      </c>
      <c r="Z1" t="s">
        <v>305</v>
      </c>
    </row>
    <row r="2" spans="1:26" ht="18">
      <c r="F2" s="181"/>
      <c r="G2" s="183"/>
      <c r="H2" s="242" t="s">
        <v>240</v>
      </c>
      <c r="I2" s="242"/>
      <c r="J2" s="242"/>
      <c r="K2" s="190" t="s">
        <v>212</v>
      </c>
      <c r="L2" s="185" t="s">
        <v>219</v>
      </c>
      <c r="S2" t="s">
        <v>219</v>
      </c>
      <c r="T2" t="s">
        <v>221</v>
      </c>
      <c r="X2" t="s">
        <v>203</v>
      </c>
      <c r="Z2" t="s">
        <v>288</v>
      </c>
    </row>
    <row r="3" spans="1:26" ht="15.6">
      <c r="F3" s="178"/>
      <c r="G3" s="178"/>
      <c r="H3" s="243" t="s">
        <v>208</v>
      </c>
      <c r="I3" s="243"/>
      <c r="J3" s="243"/>
      <c r="K3" s="190" t="s">
        <v>213</v>
      </c>
      <c r="L3" s="185" t="s">
        <v>220</v>
      </c>
      <c r="S3" t="s">
        <v>84</v>
      </c>
      <c r="T3" t="s">
        <v>222</v>
      </c>
      <c r="X3" s="203">
        <v>442500</v>
      </c>
      <c r="Z3" s="203">
        <v>155000</v>
      </c>
    </row>
    <row r="4" spans="1:26">
      <c r="H4" s="243" t="s">
        <v>238</v>
      </c>
      <c r="I4" s="243"/>
      <c r="J4" s="243"/>
      <c r="K4" s="190" t="s">
        <v>145</v>
      </c>
      <c r="L4" s="186">
        <v>4.7500000000000001E-2</v>
      </c>
      <c r="S4" t="s">
        <v>85</v>
      </c>
      <c r="T4" t="s">
        <v>223</v>
      </c>
      <c r="X4" s="203">
        <v>250000</v>
      </c>
      <c r="Z4" s="203">
        <v>155000</v>
      </c>
    </row>
    <row r="5" spans="1:26">
      <c r="G5" s="184"/>
      <c r="H5" s="243" t="s">
        <v>239</v>
      </c>
      <c r="I5" s="243"/>
      <c r="J5" s="243"/>
      <c r="K5" s="190" t="s">
        <v>214</v>
      </c>
      <c r="L5" s="186">
        <f>RATE(LEFT(L3,2)*12,-D20,D15-L6,)*12</f>
        <v>4.7778954314129096E-2</v>
      </c>
      <c r="S5" t="s">
        <v>159</v>
      </c>
      <c r="T5" t="s">
        <v>224</v>
      </c>
      <c r="X5" t="s">
        <v>93</v>
      </c>
      <c r="Z5" t="s">
        <v>128</v>
      </c>
    </row>
    <row r="6" spans="1:26">
      <c r="A6" s="189" t="s">
        <v>290</v>
      </c>
      <c r="G6" s="184"/>
      <c r="H6" s="243" t="s">
        <v>236</v>
      </c>
      <c r="I6" s="243"/>
      <c r="J6" s="243"/>
      <c r="K6" s="190" t="s">
        <v>227</v>
      </c>
      <c r="L6" s="187">
        <v>500</v>
      </c>
      <c r="S6" t="s">
        <v>249</v>
      </c>
      <c r="T6" t="s">
        <v>225</v>
      </c>
      <c r="X6" s="203">
        <v>590000</v>
      </c>
      <c r="Z6" s="203" t="e">
        <v>#VALUE!</v>
      </c>
    </row>
    <row r="7" spans="1:26" ht="15.6">
      <c r="A7" s="188">
        <f ca="1">TODAY()</f>
        <v>45715</v>
      </c>
      <c r="B7" s="176"/>
      <c r="C7" s="159"/>
      <c r="D7" s="176"/>
      <c r="E7" s="159"/>
      <c r="F7" s="182"/>
      <c r="H7" s="244" t="str">
        <f xml:space="preserve"> "Prepared For:   " &amp; Z1</f>
        <v>Prepared For:   Jane Kim</v>
      </c>
      <c r="I7" s="244"/>
      <c r="J7" s="244"/>
      <c r="K7" s="281" t="s">
        <v>210</v>
      </c>
      <c r="L7" s="234"/>
      <c r="T7" t="s">
        <v>220</v>
      </c>
      <c r="X7" s="203">
        <f>X3-X4</f>
        <v>192500</v>
      </c>
      <c r="Z7" s="203">
        <f>Z3-Z4</f>
        <v>0</v>
      </c>
    </row>
    <row r="8" spans="1:26" ht="11.4" customHeight="1">
      <c r="F8" s="282"/>
      <c r="G8" s="282"/>
      <c r="H8" s="282"/>
      <c r="I8" s="282"/>
      <c r="K8" s="185" t="s">
        <v>212</v>
      </c>
      <c r="L8" s="185" t="s">
        <v>159</v>
      </c>
    </row>
    <row r="9" spans="1:26">
      <c r="K9" s="185" t="s">
        <v>213</v>
      </c>
      <c r="L9" s="185" t="s">
        <v>220</v>
      </c>
    </row>
    <row r="10" spans="1:26" ht="15.6">
      <c r="A10" s="153"/>
      <c r="B10" s="151"/>
      <c r="K10" s="185" t="s">
        <v>145</v>
      </c>
      <c r="L10" s="186">
        <v>5.3749999999999999E-2</v>
      </c>
    </row>
    <row r="11" spans="1:26" ht="16.2" thickBot="1">
      <c r="A11" s="177"/>
      <c r="B11" s="178"/>
      <c r="C11" s="178"/>
      <c r="D11" s="283" t="s">
        <v>209</v>
      </c>
      <c r="E11" s="283"/>
      <c r="F11" s="283" t="s">
        <v>210</v>
      </c>
      <c r="G11" s="283"/>
      <c r="H11" s="283" t="s">
        <v>211</v>
      </c>
      <c r="I11" s="283"/>
      <c r="K11" s="185" t="s">
        <v>214</v>
      </c>
      <c r="L11" s="186" t="e">
        <f>RATE(LEFT(L9,2)*12,-F20,F15-L12,)*12</f>
        <v>#NUM!</v>
      </c>
    </row>
    <row r="12" spans="1:26">
      <c r="A12" s="180"/>
      <c r="B12" s="235" t="s">
        <v>212</v>
      </c>
      <c r="C12" s="235"/>
      <c r="D12" s="239" t="str">
        <f>L2</f>
        <v>Conventional</v>
      </c>
      <c r="E12" s="240"/>
      <c r="F12" s="241" t="str">
        <f>L8</f>
        <v>HELOC</v>
      </c>
      <c r="G12" s="240"/>
      <c r="H12" s="241" t="str">
        <f>L14</f>
        <v>FHA</v>
      </c>
      <c r="I12" s="240"/>
      <c r="K12" s="185" t="s">
        <v>227</v>
      </c>
      <c r="L12" s="187">
        <v>16329.1</v>
      </c>
    </row>
    <row r="13" spans="1:26" ht="15.6">
      <c r="A13" s="180"/>
      <c r="B13" s="235" t="s">
        <v>213</v>
      </c>
      <c r="C13" s="235"/>
      <c r="D13" s="236" t="str">
        <f>L3</f>
        <v>30 Year Fixed</v>
      </c>
      <c r="E13" s="237"/>
      <c r="F13" s="238" t="str">
        <f>L9</f>
        <v>30 Year Fixed</v>
      </c>
      <c r="G13" s="237"/>
      <c r="H13" s="238" t="str">
        <f>L15</f>
        <v>30 Year Fixed</v>
      </c>
      <c r="I13" s="237"/>
      <c r="K13" s="234" t="s">
        <v>211</v>
      </c>
      <c r="L13" s="234"/>
    </row>
    <row r="14" spans="1:26" ht="15.6">
      <c r="A14" s="180"/>
      <c r="B14" s="245" t="s">
        <v>145</v>
      </c>
      <c r="C14" s="245"/>
      <c r="D14" s="246">
        <f>L4</f>
        <v>4.7500000000000001E-2</v>
      </c>
      <c r="E14" s="247"/>
      <c r="F14" s="248">
        <f>L10</f>
        <v>5.3749999999999999E-2</v>
      </c>
      <c r="G14" s="247"/>
      <c r="H14" s="248">
        <f>L16</f>
        <v>6.6250000000000003E-2</v>
      </c>
      <c r="I14" s="247"/>
      <c r="K14" s="185" t="s">
        <v>212</v>
      </c>
      <c r="L14" s="185" t="s">
        <v>84</v>
      </c>
    </row>
    <row r="15" spans="1:26" ht="15.6">
      <c r="A15" s="235" t="s">
        <v>81</v>
      </c>
      <c r="B15" s="235"/>
      <c r="C15" s="235"/>
      <c r="D15" s="249">
        <f>IF(OR(D12="HELOAN",D12="HELOC"),$Z$7,IF($Z$7&lt;30000,IF(D12="FHA",$Z$3*0.0175+$Z$3+D26,$Z$3+D26),IF(D12="FHA",$Z$3*0.0175+$Z$3,$Z$3)))</f>
        <v>155500</v>
      </c>
      <c r="E15" s="250"/>
      <c r="F15" s="249">
        <f t="shared" ref="F15" si="0">IF(OR(F12="HELOAN",F12="HELOC"),$Z$7,IF($Z$7&lt;30000,IF(F12="FHA",$Z$3*0.0175+$Z$3+F26,$Z$3+F26),IF(F12="FHA",$Z$3*0.0175+$Z$3,$Z$3)))</f>
        <v>0</v>
      </c>
      <c r="G15" s="250"/>
      <c r="H15" s="249">
        <f t="shared" ref="H15" si="1">IF(OR(H12="HELOAN",H12="HELOC"),$Z$7,IF($Z$7&lt;30000,IF(H12="FHA",$Z$3*0.0175+$Z$3+H26,$Z$3+H26),IF(H12="FHA",$Z$3*0.0175+$Z$3,$Z$3)))</f>
        <v>157712.5</v>
      </c>
      <c r="I15" s="250"/>
      <c r="K15" s="185" t="s">
        <v>213</v>
      </c>
      <c r="L15" s="185" t="s">
        <v>220</v>
      </c>
    </row>
    <row r="16" spans="1:26" ht="16.2" thickBot="1">
      <c r="A16" s="180"/>
      <c r="B16" s="235" t="s">
        <v>214</v>
      </c>
      <c r="C16" s="235"/>
      <c r="D16" s="254">
        <f>L5</f>
        <v>4.7778954314129096E-2</v>
      </c>
      <c r="E16" s="255"/>
      <c r="F16" s="256" t="e">
        <f>L11</f>
        <v>#NUM!</v>
      </c>
      <c r="G16" s="255"/>
      <c r="H16" s="256">
        <f>L17</f>
        <v>6.625000000000103E-2</v>
      </c>
      <c r="I16" s="255"/>
      <c r="K16" s="185" t="s">
        <v>145</v>
      </c>
      <c r="L16" s="186">
        <v>6.6250000000000003E-2</v>
      </c>
    </row>
    <row r="17" spans="1:12">
      <c r="K17" s="185" t="s">
        <v>214</v>
      </c>
      <c r="L17" s="186">
        <f>RATE(LEFT(L15,2)*12,-H20,H15-L18,)*12</f>
        <v>6.625000000000103E-2</v>
      </c>
    </row>
    <row r="18" spans="1:12">
      <c r="A18" s="177"/>
      <c r="B18" s="177"/>
      <c r="C18" s="177"/>
      <c r="D18" s="177"/>
      <c r="E18" s="177"/>
      <c r="F18" s="177"/>
      <c r="G18" s="177"/>
      <c r="H18" s="177"/>
      <c r="I18" s="177"/>
      <c r="K18" s="185" t="s">
        <v>227</v>
      </c>
      <c r="L18" s="187">
        <v>0</v>
      </c>
    </row>
    <row r="19" spans="1:12" ht="15" thickBot="1">
      <c r="A19" s="177"/>
      <c r="B19" s="177"/>
      <c r="C19" s="177"/>
      <c r="D19" s="272" t="s">
        <v>230</v>
      </c>
      <c r="E19" s="272"/>
      <c r="F19" s="272"/>
      <c r="G19" s="272"/>
      <c r="H19" s="272"/>
      <c r="I19" s="272"/>
    </row>
    <row r="20" spans="1:12" ht="15.6">
      <c r="A20" s="235" t="s">
        <v>216</v>
      </c>
      <c r="B20" s="235"/>
      <c r="C20" s="235"/>
      <c r="D20" s="251">
        <f>ABS(PMT((D14/12),LEFT(D13,2)*12,D15))</f>
        <v>811.16160826233738</v>
      </c>
      <c r="E20" s="252"/>
      <c r="F20" s="253">
        <f t="shared" ref="F20" si="2">ABS(PMT((F14/12),LEFT(F13,2)*12,F15))</f>
        <v>0</v>
      </c>
      <c r="G20" s="252"/>
      <c r="H20" s="253">
        <f t="shared" ref="H20" si="3">ABS(PMT((H14/12),LEFT(H13,2)*12,H15))</f>
        <v>1009.8504244855995</v>
      </c>
      <c r="I20" s="252"/>
    </row>
    <row r="21" spans="1:12" ht="15.6">
      <c r="A21" s="235" t="s">
        <v>215</v>
      </c>
      <c r="B21" s="235"/>
      <c r="C21" s="235"/>
      <c r="D21" s="259">
        <f>IF(OR(D12="HELOC",D12="HELOAN"),"-",(0.016/12)*$Z$3)</f>
        <v>206.66666666666666</v>
      </c>
      <c r="E21" s="260"/>
      <c r="F21" s="261" t="str">
        <f>IF(OR(F12="HELOC",F12="HELOAN"),"-",(0.016/12)*$Z$3)</f>
        <v>-</v>
      </c>
      <c r="G21" s="260"/>
      <c r="H21" s="261">
        <f>IF(OR(H12="HELOC",H12="HELOAN"),"-",(0.016/12)*$Z$3)</f>
        <v>206.66666666666666</v>
      </c>
      <c r="I21" s="260"/>
    </row>
    <row r="22" spans="1:12" ht="15.6">
      <c r="A22" s="179"/>
      <c r="B22" s="235" t="s">
        <v>228</v>
      </c>
      <c r="C22" s="235"/>
      <c r="D22" s="259" t="str">
        <f>IF(D12="FHA",(D15*0.0045)/12,"-")</f>
        <v>-</v>
      </c>
      <c r="E22" s="260"/>
      <c r="F22" s="261" t="str">
        <f t="shared" ref="F22" si="4">IF(F12="FHA",(F15*0.0045)/12,"-")</f>
        <v>-</v>
      </c>
      <c r="G22" s="260"/>
      <c r="H22" s="261">
        <f t="shared" ref="H22" si="5">IF(H12="FHA",(H15*0.0045)/12,"-")</f>
        <v>59.142187499999999</v>
      </c>
      <c r="I22" s="260"/>
    </row>
    <row r="23" spans="1:12" ht="16.2" thickBot="1">
      <c r="A23" s="245" t="s">
        <v>135</v>
      </c>
      <c r="B23" s="245"/>
      <c r="C23" s="245"/>
      <c r="D23" s="257">
        <f>SUM(D20:E22)</f>
        <v>1017.828274929004</v>
      </c>
      <c r="E23" s="258"/>
      <c r="F23" s="257">
        <f t="shared" ref="F23" si="6">SUM(F20:G22)</f>
        <v>0</v>
      </c>
      <c r="G23" s="258"/>
      <c r="H23" s="257">
        <f t="shared" ref="H23" si="7">SUM(H20:I22)</f>
        <v>1275.6592786522663</v>
      </c>
      <c r="I23" s="258"/>
    </row>
    <row r="24" spans="1:12" ht="20.25" customHeight="1">
      <c r="A24" s="177"/>
      <c r="B24" s="177"/>
      <c r="C24" s="177"/>
      <c r="D24" s="177"/>
      <c r="E24" s="177"/>
      <c r="F24" s="177"/>
      <c r="G24" s="177"/>
      <c r="H24" s="177"/>
      <c r="I24" s="177"/>
    </row>
    <row r="25" spans="1:12" ht="20.25" customHeight="1" thickBot="1">
      <c r="A25" s="177"/>
      <c r="B25" s="177"/>
      <c r="C25" s="177"/>
      <c r="D25" s="269" t="s">
        <v>226</v>
      </c>
      <c r="E25" s="269"/>
      <c r="F25" s="269"/>
      <c r="G25" s="269"/>
      <c r="H25" s="269"/>
      <c r="I25" s="269"/>
    </row>
    <row r="26" spans="1:12" ht="20.25" customHeight="1" thickTop="1">
      <c r="A26" s="179"/>
      <c r="B26" s="264" t="s">
        <v>229</v>
      </c>
      <c r="C26" s="264"/>
      <c r="D26" s="265">
        <f>L6</f>
        <v>500</v>
      </c>
      <c r="E26" s="266"/>
      <c r="F26" s="267">
        <f>L12</f>
        <v>16329.1</v>
      </c>
      <c r="G26" s="266"/>
      <c r="H26" s="268">
        <f>L18</f>
        <v>0</v>
      </c>
      <c r="I26" s="266"/>
      <c r="K26" s="155"/>
      <c r="L26" s="154"/>
    </row>
    <row r="27" spans="1:12" ht="20.25" customHeight="1" thickBot="1">
      <c r="A27" s="177"/>
      <c r="B27" s="269" t="s">
        <v>80</v>
      </c>
      <c r="C27" s="269"/>
      <c r="D27" s="270">
        <f>IF(OR(D12="HELOAN",D12="HELOC"),$Z$7-D26,IF($Z$7&gt;30000,$Z$3-$Z$4-D26,$Z$3-$Z$4))</f>
        <v>0</v>
      </c>
      <c r="E27" s="271"/>
      <c r="F27" s="270">
        <f t="shared" ref="F27" si="8">IF(OR(F12="HELOAN",F12="HELOC"),$Z$7-F26,IF($Z$7&gt;30000,$Z$3-$Z$4-F26,$Z$3-$Z$4))</f>
        <v>-16329.1</v>
      </c>
      <c r="G27" s="271"/>
      <c r="H27" s="270">
        <f t="shared" ref="H27" si="9">IF(OR(H12="HELOAN",H12="HELOC"),$Z$7-H26,IF($Z$7&gt;30000,$Z$3-$Z$4-H26,$Z$3-$Z$4))</f>
        <v>0</v>
      </c>
      <c r="I27" s="271"/>
      <c r="K27" s="155"/>
    </row>
    <row r="28" spans="1:12" ht="9.75" customHeight="1" thickTop="1">
      <c r="A28" s="171"/>
      <c r="B28" s="171"/>
      <c r="C28" s="171"/>
      <c r="K28" s="155"/>
    </row>
    <row r="29" spans="1:12">
      <c r="A29" s="173" t="s">
        <v>291</v>
      </c>
      <c r="B29" s="173"/>
      <c r="C29" s="173"/>
      <c r="D29" s="173"/>
      <c r="E29" s="173"/>
      <c r="F29" s="173"/>
      <c r="G29" s="173"/>
    </row>
    <row r="30" spans="1:12" ht="15" thickBot="1">
      <c r="A30" s="173" t="s">
        <v>248</v>
      </c>
      <c r="G30" s="272" t="s">
        <v>217</v>
      </c>
      <c r="H30" s="272"/>
      <c r="I30" s="272"/>
      <c r="J30" s="210"/>
    </row>
    <row r="31" spans="1:12">
      <c r="A31" s="173" t="s">
        <v>247</v>
      </c>
      <c r="B31" s="173"/>
      <c r="C31" s="173"/>
      <c r="D31" s="173"/>
      <c r="E31" s="173"/>
      <c r="F31" s="173"/>
      <c r="G31" s="279" t="s">
        <v>12</v>
      </c>
      <c r="H31" s="280"/>
      <c r="I31" s="205" t="e">
        <f>Z6</f>
        <v>#VALUE!</v>
      </c>
    </row>
    <row r="32" spans="1:12">
      <c r="A32" s="173" t="s">
        <v>246</v>
      </c>
      <c r="B32" s="173"/>
      <c r="C32" s="173"/>
      <c r="D32" s="173"/>
      <c r="E32" s="173"/>
      <c r="F32" s="173"/>
      <c r="G32" s="273" t="s">
        <v>79</v>
      </c>
      <c r="H32" s="274"/>
      <c r="I32" s="206">
        <f>Z4</f>
        <v>155000</v>
      </c>
    </row>
    <row r="33" spans="1:11">
      <c r="A33" s="173" t="s">
        <v>245</v>
      </c>
      <c r="B33" s="173"/>
      <c r="C33" s="173"/>
      <c r="D33" s="173"/>
      <c r="E33" s="173"/>
      <c r="F33" s="173"/>
      <c r="G33" s="273" t="s">
        <v>7</v>
      </c>
      <c r="H33" s="274"/>
      <c r="I33" s="207" t="str">
        <f>Z5</f>
        <v>HI</v>
      </c>
      <c r="K33" s="175"/>
    </row>
    <row r="34" spans="1:11">
      <c r="A34" s="173" t="s">
        <v>244</v>
      </c>
      <c r="B34" s="173"/>
      <c r="C34" s="173"/>
      <c r="D34" s="173"/>
      <c r="E34" s="173"/>
      <c r="F34" s="173"/>
      <c r="G34" s="275" t="s">
        <v>88</v>
      </c>
      <c r="H34" s="276"/>
      <c r="I34" s="208" t="s">
        <v>94</v>
      </c>
      <c r="K34" s="174"/>
    </row>
    <row r="35" spans="1:11" ht="15" thickBot="1">
      <c r="A35" s="173" t="s">
        <v>243</v>
      </c>
      <c r="B35" s="173"/>
      <c r="C35" s="173"/>
      <c r="D35" s="173"/>
      <c r="E35" s="173"/>
      <c r="F35" s="173"/>
      <c r="G35" s="277" t="s">
        <v>218</v>
      </c>
      <c r="H35" s="278"/>
      <c r="I35" s="209" t="s">
        <v>250</v>
      </c>
    </row>
    <row r="36" spans="1:11" ht="10.5" customHeight="1">
      <c r="A36" s="172"/>
      <c r="B36" s="172"/>
      <c r="C36" s="172"/>
      <c r="D36" s="172"/>
      <c r="E36" s="172"/>
      <c r="F36" s="172"/>
      <c r="G36" s="172"/>
    </row>
    <row r="40" spans="1:11" ht="15" customHeight="1">
      <c r="B40" s="152"/>
      <c r="C40" s="152"/>
      <c r="D40" s="152"/>
      <c r="E40" s="152"/>
      <c r="F40" s="152"/>
      <c r="G40" s="152"/>
      <c r="H40" s="152"/>
      <c r="I40" s="152"/>
    </row>
    <row r="41" spans="1:11" ht="15" customHeight="1">
      <c r="A41" s="152"/>
      <c r="B41" s="152"/>
      <c r="C41" s="152"/>
      <c r="D41" s="152"/>
      <c r="E41" s="152"/>
      <c r="F41" s="152"/>
      <c r="G41" s="152"/>
      <c r="H41" s="152"/>
      <c r="I41" s="152"/>
    </row>
    <row r="42" spans="1:11" ht="15" customHeight="1">
      <c r="A42" s="262"/>
      <c r="B42" s="262"/>
      <c r="C42" s="262"/>
      <c r="D42" s="262"/>
      <c r="E42" s="262"/>
      <c r="F42" s="262"/>
      <c r="G42" s="262"/>
      <c r="H42" s="262"/>
      <c r="I42" s="262"/>
    </row>
    <row r="43" spans="1:11" ht="15" customHeight="1">
      <c r="A43" s="262"/>
      <c r="B43" s="262"/>
      <c r="C43" s="262"/>
      <c r="D43" s="262"/>
      <c r="E43" s="262"/>
      <c r="F43" s="262"/>
      <c r="G43" s="262"/>
      <c r="H43" s="262"/>
      <c r="I43" s="262"/>
    </row>
    <row r="44" spans="1:11" ht="15.75" customHeight="1">
      <c r="A44" s="263"/>
      <c r="B44" s="263"/>
      <c r="C44" s="263"/>
      <c r="D44" s="263"/>
      <c r="E44" s="263"/>
      <c r="F44" s="263"/>
      <c r="G44" s="263"/>
      <c r="H44" s="263"/>
      <c r="I44" s="263"/>
    </row>
    <row r="45" spans="1:11" ht="15.75" customHeight="1">
      <c r="A45" s="263"/>
      <c r="B45" s="263"/>
      <c r="C45" s="263"/>
      <c r="D45" s="263"/>
      <c r="E45" s="263"/>
      <c r="F45" s="263"/>
      <c r="G45" s="263"/>
      <c r="H45" s="263"/>
      <c r="I45" s="263"/>
    </row>
    <row r="46" spans="1:11" ht="15" customHeight="1"/>
  </sheetData>
  <sheetProtection algorithmName="SHA-512" hashValue="L2etmlMLGrHlvWpEZ7VNFQ102uhwzU5q4nDptbWfKF/Di9a9rlsf/EQNSDnQuQWf3L4+8CP2G4qjSWyrT2zbcQ==" saltValue="fIjyDGeV+otBwbMMBFpxWA==" spinCount="100000" sheet="1" objects="1" scenarios="1" formatCells="0"/>
  <protectedRanges>
    <protectedRange sqref="K2:L4 K5 K6:L6 K8:L10 K11 K12:L12 K14:L16 K17 K18:L18" name="Range1"/>
  </protectedRanges>
  <mergeCells count="67">
    <mergeCell ref="K7:L7"/>
    <mergeCell ref="D25:I25"/>
    <mergeCell ref="D19:I19"/>
    <mergeCell ref="F8:I8"/>
    <mergeCell ref="D11:E11"/>
    <mergeCell ref="F11:G11"/>
    <mergeCell ref="H11:I11"/>
    <mergeCell ref="A42:I43"/>
    <mergeCell ref="A44:I45"/>
    <mergeCell ref="B26:C26"/>
    <mergeCell ref="D26:E26"/>
    <mergeCell ref="F26:G26"/>
    <mergeCell ref="H26:I26"/>
    <mergeCell ref="B27:C27"/>
    <mergeCell ref="D27:E27"/>
    <mergeCell ref="F27:G27"/>
    <mergeCell ref="H27:I27"/>
    <mergeCell ref="G30:I30"/>
    <mergeCell ref="G33:H33"/>
    <mergeCell ref="G34:H34"/>
    <mergeCell ref="G35:H35"/>
    <mergeCell ref="G31:H31"/>
    <mergeCell ref="G32:H32"/>
    <mergeCell ref="A23:C23"/>
    <mergeCell ref="D23:E23"/>
    <mergeCell ref="F23:G23"/>
    <mergeCell ref="H23:I23"/>
    <mergeCell ref="A21:C21"/>
    <mergeCell ref="D21:E21"/>
    <mergeCell ref="F21:G21"/>
    <mergeCell ref="H21:I21"/>
    <mergeCell ref="B22:C22"/>
    <mergeCell ref="D22:E22"/>
    <mergeCell ref="F22:G22"/>
    <mergeCell ref="H22:I22"/>
    <mergeCell ref="A20:C20"/>
    <mergeCell ref="D20:E20"/>
    <mergeCell ref="F20:G20"/>
    <mergeCell ref="H20:I20"/>
    <mergeCell ref="B16:C16"/>
    <mergeCell ref="D16:E16"/>
    <mergeCell ref="F16:G16"/>
    <mergeCell ref="H16:I16"/>
    <mergeCell ref="B14:C14"/>
    <mergeCell ref="D14:E14"/>
    <mergeCell ref="F14:G14"/>
    <mergeCell ref="H14:I14"/>
    <mergeCell ref="A15:C15"/>
    <mergeCell ref="D15:E15"/>
    <mergeCell ref="F15:G15"/>
    <mergeCell ref="H15:I15"/>
    <mergeCell ref="K1:L1"/>
    <mergeCell ref="B13:C13"/>
    <mergeCell ref="D13:E13"/>
    <mergeCell ref="F13:G13"/>
    <mergeCell ref="H13:I13"/>
    <mergeCell ref="B12:C12"/>
    <mergeCell ref="D12:E12"/>
    <mergeCell ref="F12:G12"/>
    <mergeCell ref="H12:I12"/>
    <mergeCell ref="H2:J2"/>
    <mergeCell ref="H3:J3"/>
    <mergeCell ref="H4:J4"/>
    <mergeCell ref="K13:L13"/>
    <mergeCell ref="H5:J5"/>
    <mergeCell ref="H6:J6"/>
    <mergeCell ref="H7:J7"/>
  </mergeCells>
  <dataValidations count="2">
    <dataValidation type="list" allowBlank="1" showInputMessage="1" showErrorMessage="1" sqref="L3 L9 L15" xr:uid="{00000000-0002-0000-0100-000000000000}">
      <formula1>$T$2:$T$7</formula1>
    </dataValidation>
    <dataValidation type="list" allowBlank="1" showInputMessage="1" showErrorMessage="1" sqref="L2 L8 L14" xr:uid="{D332363E-94F8-4BCB-8B3A-FF5D40B3B34A}">
      <formula1>$S$2:$S$6</formula1>
    </dataValidation>
  </dataValidations>
  <pageMargins left="0.25" right="0.25" top="0.25" bottom="0.25" header="0" footer="0"/>
  <pageSetup paperSize="9"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tabColor theme="4" tint="-0.249977111117893"/>
  </sheetPr>
  <dimension ref="A1:U7102"/>
  <sheetViews>
    <sheetView topLeftCell="B1" zoomScale="90" zoomScaleNormal="90" workbookViewId="0">
      <pane ySplit="3" topLeftCell="A4" activePane="bottomLeft" state="frozen"/>
      <selection activeCell="B1" sqref="B1"/>
      <selection pane="bottomLeft" activeCell="D4" sqref="D4"/>
    </sheetView>
  </sheetViews>
  <sheetFormatPr defaultRowHeight="14.4"/>
  <cols>
    <col min="1" max="1" width="6.6640625" hidden="1" customWidth="1"/>
    <col min="2" max="2" width="26.44140625" customWidth="1"/>
    <col min="3" max="3" width="12.109375" style="120" customWidth="1"/>
    <col min="4" max="4" width="32.33203125" customWidth="1"/>
    <col min="5" max="6" width="12.109375" customWidth="1"/>
    <col min="7" max="7" width="14" customWidth="1"/>
    <col min="8" max="8" width="29.44140625" bestFit="1" customWidth="1"/>
    <col min="9" max="9" width="7.44140625" customWidth="1"/>
    <col min="10" max="10" width="68.6640625" bestFit="1" customWidth="1"/>
    <col min="11" max="13" width="11" customWidth="1"/>
    <col min="14" max="14" width="32" bestFit="1" customWidth="1"/>
    <col min="15" max="15" width="12.33203125" style="120" bestFit="1" customWidth="1"/>
    <col min="16" max="16" width="20.109375" style="120" bestFit="1" customWidth="1"/>
    <col min="17" max="17" width="15.88671875" style="163" customWidth="1"/>
    <col min="18" max="18" width="15.88671875" style="163" bestFit="1" customWidth="1"/>
    <col min="19" max="19" width="14.109375" style="144" bestFit="1" customWidth="1"/>
    <col min="20" max="20" width="8.109375" style="144" customWidth="1"/>
    <col min="21" max="21" width="8.33203125" customWidth="1"/>
  </cols>
  <sheetData>
    <row r="1" spans="1:21" ht="37.5" customHeight="1">
      <c r="A1" s="284"/>
      <c r="B1" s="285"/>
      <c r="C1" s="285"/>
      <c r="D1" s="285"/>
      <c r="E1" s="285"/>
      <c r="F1" s="285"/>
      <c r="G1" s="285"/>
      <c r="H1" s="285"/>
      <c r="I1" s="285"/>
      <c r="J1" s="285"/>
      <c r="K1" s="285"/>
      <c r="L1" s="285"/>
      <c r="M1" s="285"/>
      <c r="N1" s="285"/>
      <c r="O1" s="285"/>
      <c r="P1" s="285"/>
      <c r="Q1" s="285"/>
      <c r="R1" s="285"/>
      <c r="S1" s="285"/>
      <c r="T1" s="285"/>
      <c r="U1" s="285"/>
    </row>
    <row r="2" spans="1:21" ht="23.4">
      <c r="A2" s="286"/>
      <c r="B2" s="287"/>
      <c r="C2" s="287"/>
      <c r="D2" s="287"/>
      <c r="E2" s="287"/>
      <c r="F2" s="287"/>
      <c r="G2" s="287"/>
      <c r="H2" s="287"/>
      <c r="I2" s="287"/>
      <c r="J2" s="287"/>
      <c r="K2" s="287"/>
      <c r="L2" s="287"/>
      <c r="M2" s="287"/>
      <c r="N2" s="287"/>
      <c r="O2" s="287"/>
      <c r="P2" s="287"/>
      <c r="Q2" s="287"/>
      <c r="R2" s="287"/>
      <c r="S2" s="287"/>
      <c r="T2" s="287"/>
      <c r="U2" s="287"/>
    </row>
    <row r="3" spans="1:21" ht="33.6" customHeight="1">
      <c r="A3" s="62" t="s">
        <v>27</v>
      </c>
      <c r="B3" s="62" t="s">
        <v>102</v>
      </c>
      <c r="C3" s="63" t="s">
        <v>1</v>
      </c>
      <c r="D3" s="62" t="s">
        <v>2</v>
      </c>
      <c r="E3" s="62" t="s">
        <v>3</v>
      </c>
      <c r="F3" s="62" t="s">
        <v>4</v>
      </c>
      <c r="G3" s="62" t="s">
        <v>5</v>
      </c>
      <c r="H3" s="62" t="s">
        <v>6</v>
      </c>
      <c r="I3" s="62" t="s">
        <v>7</v>
      </c>
      <c r="J3" s="62" t="s">
        <v>8</v>
      </c>
      <c r="K3" s="62" t="s">
        <v>18</v>
      </c>
      <c r="L3" s="62" t="s">
        <v>142</v>
      </c>
      <c r="M3" s="62" t="s">
        <v>153</v>
      </c>
      <c r="N3" s="62" t="s">
        <v>10</v>
      </c>
      <c r="O3" s="63" t="s">
        <v>143</v>
      </c>
      <c r="P3" s="63" t="s">
        <v>144</v>
      </c>
      <c r="Q3" s="162" t="s">
        <v>26</v>
      </c>
      <c r="R3" s="162" t="s">
        <v>81</v>
      </c>
      <c r="S3" s="143" t="s">
        <v>145</v>
      </c>
      <c r="T3" s="143" t="s">
        <v>131</v>
      </c>
      <c r="U3" s="62" t="s">
        <v>23</v>
      </c>
    </row>
    <row r="4" spans="1:21">
      <c r="A4" s="32"/>
      <c r="B4" s="1"/>
      <c r="C4" s="28">
        <v>45674</v>
      </c>
      <c r="D4" t="s">
        <v>103</v>
      </c>
      <c r="E4" t="s">
        <v>202</v>
      </c>
      <c r="F4" t="s">
        <v>156</v>
      </c>
      <c r="G4" s="29" t="s">
        <v>287</v>
      </c>
      <c r="H4" s="212" t="s">
        <v>288</v>
      </c>
      <c r="I4" s="1" t="s">
        <v>128</v>
      </c>
      <c r="J4" t="s">
        <v>289</v>
      </c>
      <c r="K4" s="30"/>
      <c r="L4" s="30"/>
      <c r="M4" s="1"/>
      <c r="N4" s="211"/>
      <c r="Q4" s="211"/>
      <c r="R4" s="211"/>
      <c r="S4" s="31"/>
      <c r="T4" s="165"/>
    </row>
    <row r="5" spans="1:21">
      <c r="A5" s="32"/>
      <c r="B5" s="1"/>
      <c r="C5" s="28"/>
      <c r="G5" s="29"/>
      <c r="H5" s="212"/>
      <c r="I5" s="1"/>
      <c r="K5" s="30"/>
      <c r="L5" s="30"/>
      <c r="M5" s="1"/>
      <c r="N5" s="211"/>
      <c r="Q5" s="211"/>
      <c r="R5" s="211"/>
      <c r="S5" s="31"/>
      <c r="T5" s="165"/>
    </row>
    <row r="6" spans="1:21">
      <c r="A6" s="32"/>
      <c r="B6" s="1"/>
      <c r="C6" s="28"/>
      <c r="G6" s="29"/>
      <c r="H6" s="212"/>
      <c r="I6" s="1"/>
      <c r="K6" s="30"/>
      <c r="L6" s="30"/>
      <c r="M6" s="1"/>
      <c r="N6" s="211"/>
      <c r="Q6" s="211"/>
      <c r="R6" s="211"/>
      <c r="S6" s="31"/>
      <c r="T6" s="165"/>
    </row>
    <row r="7" spans="1:21">
      <c r="A7" s="32"/>
      <c r="B7" s="1"/>
      <c r="C7" s="28"/>
      <c r="G7" s="29"/>
      <c r="H7" s="212"/>
      <c r="I7" s="1"/>
      <c r="K7" s="30"/>
      <c r="L7" s="30"/>
      <c r="M7" s="1"/>
      <c r="N7" s="211"/>
      <c r="Q7" s="211"/>
      <c r="R7" s="211"/>
      <c r="S7" s="31"/>
      <c r="T7" s="165"/>
    </row>
    <row r="8" spans="1:21">
      <c r="A8" s="32"/>
      <c r="B8" s="1"/>
      <c r="C8" s="28"/>
      <c r="G8" s="29"/>
      <c r="H8" s="212"/>
      <c r="I8" s="1"/>
      <c r="K8" s="30"/>
      <c r="L8" s="30"/>
      <c r="M8" s="1"/>
      <c r="N8" s="211"/>
      <c r="Q8" s="211"/>
      <c r="R8" s="211"/>
      <c r="S8" s="31"/>
      <c r="T8" s="165"/>
    </row>
    <row r="9" spans="1:21">
      <c r="A9" s="32"/>
      <c r="B9" s="1"/>
      <c r="C9" s="28"/>
      <c r="G9" s="29"/>
      <c r="H9" s="212"/>
      <c r="I9" s="1"/>
      <c r="K9" s="30"/>
      <c r="L9" s="30"/>
      <c r="M9" s="1"/>
      <c r="N9" s="211"/>
      <c r="Q9" s="211"/>
      <c r="R9" s="211"/>
      <c r="S9" s="31"/>
      <c r="T9" s="165"/>
    </row>
    <row r="10" spans="1:21">
      <c r="A10" s="32"/>
      <c r="B10" s="1"/>
      <c r="C10" s="28"/>
      <c r="G10" s="29"/>
      <c r="H10" s="212"/>
      <c r="I10" s="1"/>
      <c r="K10" s="30"/>
      <c r="L10" s="30"/>
      <c r="M10" s="1"/>
      <c r="N10" s="211"/>
      <c r="Q10" s="211"/>
      <c r="R10" s="211"/>
      <c r="S10" s="31"/>
      <c r="T10" s="165"/>
    </row>
    <row r="11" spans="1:21">
      <c r="A11" s="32"/>
      <c r="B11" s="1"/>
      <c r="C11" s="28"/>
      <c r="G11" s="29"/>
      <c r="H11" s="212"/>
      <c r="I11" s="1"/>
      <c r="K11" s="30"/>
      <c r="L11" s="30"/>
      <c r="M11" s="1"/>
      <c r="N11" s="211"/>
      <c r="Q11" s="211"/>
      <c r="R11" s="211"/>
      <c r="S11" s="31"/>
      <c r="T11" s="165"/>
    </row>
    <row r="12" spans="1:21">
      <c r="A12" s="32"/>
      <c r="B12" s="1"/>
      <c r="C12" s="28"/>
      <c r="G12" s="29"/>
      <c r="H12" s="212"/>
      <c r="I12" s="1"/>
      <c r="K12" s="30"/>
      <c r="L12" s="30"/>
      <c r="M12" s="1"/>
      <c r="N12" s="211"/>
      <c r="Q12" s="211"/>
      <c r="R12" s="211"/>
      <c r="S12" s="31"/>
      <c r="T12" s="165"/>
    </row>
    <row r="13" spans="1:21">
      <c r="A13" s="32"/>
      <c r="B13" s="1"/>
      <c r="C13" s="28"/>
      <c r="G13" s="29"/>
      <c r="H13" s="212"/>
      <c r="I13" s="1"/>
      <c r="K13" s="30"/>
      <c r="L13" s="30"/>
      <c r="M13" s="1"/>
      <c r="N13" s="211"/>
      <c r="Q13" s="211"/>
      <c r="R13" s="211"/>
      <c r="S13" s="31"/>
      <c r="T13" s="165"/>
    </row>
    <row r="14" spans="1:21">
      <c r="A14" s="32"/>
      <c r="B14" s="1"/>
      <c r="C14" s="28"/>
      <c r="G14" s="29"/>
      <c r="H14" s="212"/>
      <c r="I14" s="1"/>
      <c r="K14" s="30"/>
      <c r="L14" s="30"/>
      <c r="M14" s="1"/>
      <c r="N14" s="211"/>
      <c r="Q14" s="211"/>
      <c r="R14" s="211"/>
      <c r="S14" s="31"/>
      <c r="T14" s="165"/>
    </row>
    <row r="15" spans="1:21">
      <c r="A15" s="32"/>
      <c r="B15" s="1"/>
      <c r="C15" s="28"/>
      <c r="G15" s="29"/>
      <c r="H15" s="212"/>
      <c r="I15" s="1"/>
      <c r="K15" s="30"/>
      <c r="L15" s="30"/>
      <c r="M15" s="1"/>
      <c r="N15" s="211"/>
      <c r="Q15" s="211"/>
      <c r="R15" s="211"/>
      <c r="S15" s="31"/>
      <c r="T15" s="165"/>
    </row>
    <row r="16" spans="1:21">
      <c r="A16" s="32"/>
      <c r="B16" s="1"/>
      <c r="C16" s="28"/>
      <c r="G16" s="29"/>
      <c r="H16" s="212"/>
      <c r="I16" s="1"/>
      <c r="K16" s="30"/>
      <c r="L16" s="30"/>
      <c r="M16" s="1"/>
      <c r="N16" s="211"/>
      <c r="Q16" s="211"/>
      <c r="R16" s="211"/>
      <c r="S16" s="31"/>
      <c r="T16" s="165"/>
    </row>
    <row r="17" spans="1:20">
      <c r="A17" s="32"/>
      <c r="B17" s="1"/>
      <c r="C17" s="28"/>
      <c r="G17" s="29"/>
      <c r="H17" s="212"/>
      <c r="I17" s="1"/>
      <c r="K17" s="30"/>
      <c r="L17" s="30"/>
      <c r="M17" s="1"/>
      <c r="N17" s="211"/>
      <c r="Q17" s="211"/>
      <c r="R17" s="211"/>
      <c r="S17" s="31"/>
      <c r="T17" s="165"/>
    </row>
    <row r="18" spans="1:20">
      <c r="B18" s="1"/>
      <c r="C18" s="28"/>
      <c r="G18" s="29"/>
      <c r="H18" s="212"/>
      <c r="I18" s="1"/>
      <c r="K18" s="30"/>
      <c r="L18" s="30"/>
      <c r="M18" s="1"/>
      <c r="N18" s="211"/>
      <c r="Q18" s="211"/>
      <c r="R18" s="211"/>
      <c r="S18" s="31"/>
      <c r="T18" s="165"/>
    </row>
    <row r="19" spans="1:20">
      <c r="B19" s="1"/>
      <c r="C19" s="28"/>
      <c r="G19" s="29"/>
      <c r="H19" s="212"/>
      <c r="I19" s="1"/>
      <c r="K19" s="30"/>
      <c r="L19" s="30"/>
      <c r="M19" s="1"/>
      <c r="N19" s="211"/>
      <c r="Q19" s="211"/>
      <c r="R19" s="211"/>
      <c r="S19" s="31"/>
      <c r="T19" s="165"/>
    </row>
    <row r="20" spans="1:20">
      <c r="B20" s="1"/>
      <c r="C20" s="28"/>
      <c r="G20" s="29"/>
      <c r="H20" s="212"/>
      <c r="I20" s="1"/>
      <c r="K20" s="30"/>
      <c r="L20" s="30"/>
      <c r="M20" s="1"/>
      <c r="N20" s="211"/>
      <c r="Q20" s="211"/>
      <c r="R20" s="211"/>
      <c r="S20" s="31"/>
      <c r="T20" s="165"/>
    </row>
    <row r="21" spans="1:20">
      <c r="A21" s="32"/>
      <c r="B21" s="1"/>
      <c r="C21" s="217"/>
      <c r="D21" s="218"/>
      <c r="E21" s="218"/>
      <c r="F21" s="218"/>
      <c r="G21" s="219"/>
      <c r="H21" s="220"/>
      <c r="I21" s="221"/>
      <c r="J21" s="218"/>
      <c r="K21" s="30"/>
      <c r="L21" s="30"/>
      <c r="M21" s="1"/>
      <c r="N21" s="211"/>
      <c r="P21" s="31"/>
      <c r="Q21" s="211"/>
      <c r="R21" s="211"/>
      <c r="S21" s="31"/>
      <c r="T21" s="165"/>
    </row>
    <row r="22" spans="1:20">
      <c r="A22" s="32"/>
      <c r="B22" s="1"/>
      <c r="C22" s="28"/>
      <c r="D22" s="19"/>
      <c r="G22" s="29"/>
      <c r="H22" s="212"/>
      <c r="I22" s="1"/>
      <c r="K22" s="30"/>
      <c r="L22" s="30"/>
      <c r="M22" s="1"/>
      <c r="N22" s="211"/>
      <c r="P22" s="31"/>
      <c r="Q22" s="211"/>
      <c r="R22" s="211"/>
      <c r="S22" s="31"/>
      <c r="T22" s="165"/>
    </row>
    <row r="23" spans="1:20">
      <c r="A23" s="32"/>
      <c r="B23" s="1"/>
      <c r="C23" s="28"/>
      <c r="H23" s="212"/>
      <c r="K23" s="30"/>
      <c r="L23" s="30"/>
      <c r="M23" s="1"/>
      <c r="N23" s="211"/>
      <c r="P23" s="31"/>
      <c r="Q23" s="211"/>
      <c r="R23" s="211"/>
      <c r="S23" s="31"/>
      <c r="T23" s="165"/>
    </row>
    <row r="24" spans="1:20">
      <c r="A24" s="32"/>
      <c r="B24" s="1"/>
      <c r="C24" s="28"/>
      <c r="D24" s="19"/>
      <c r="G24" s="29"/>
      <c r="H24" s="212"/>
      <c r="I24" s="1"/>
      <c r="K24" s="30"/>
      <c r="L24" s="30"/>
      <c r="M24" s="1"/>
      <c r="N24" s="211"/>
      <c r="Q24" s="211"/>
      <c r="R24" s="211"/>
      <c r="S24" s="31"/>
      <c r="T24" s="165"/>
    </row>
    <row r="25" spans="1:20">
      <c r="A25" s="32"/>
      <c r="B25" s="1"/>
      <c r="C25" s="28"/>
      <c r="G25" s="29"/>
      <c r="H25" s="222"/>
      <c r="I25" s="1"/>
      <c r="K25" s="30"/>
      <c r="L25" s="30"/>
      <c r="M25" s="1"/>
      <c r="N25" s="211"/>
      <c r="O25" s="211"/>
      <c r="P25" s="31"/>
      <c r="Q25" s="211"/>
      <c r="R25" s="211"/>
      <c r="S25" s="31"/>
      <c r="T25" s="165"/>
    </row>
    <row r="26" spans="1:20">
      <c r="A26" s="32"/>
      <c r="B26" s="1"/>
      <c r="C26" s="28"/>
      <c r="D26" s="19"/>
      <c r="G26" s="29"/>
      <c r="H26" s="212"/>
      <c r="I26" s="1"/>
      <c r="K26" s="30"/>
      <c r="L26" s="30"/>
      <c r="M26" s="1"/>
      <c r="N26" s="211"/>
      <c r="O26" s="211"/>
      <c r="P26" s="31"/>
      <c r="Q26" s="211"/>
      <c r="R26" s="211"/>
      <c r="S26" s="31"/>
      <c r="T26" s="165"/>
    </row>
    <row r="27" spans="1:20">
      <c r="A27" s="32"/>
      <c r="B27" s="1"/>
      <c r="C27" s="28"/>
      <c r="G27" s="29"/>
      <c r="H27" s="212"/>
      <c r="I27" s="1"/>
      <c r="K27" s="30"/>
      <c r="L27" s="30"/>
      <c r="M27" s="1"/>
      <c r="N27" s="211"/>
      <c r="O27" s="211"/>
      <c r="P27" s="31"/>
      <c r="Q27" s="211"/>
      <c r="R27" s="211"/>
      <c r="S27" s="31"/>
      <c r="T27" s="165"/>
    </row>
    <row r="28" spans="1:20">
      <c r="A28" s="32"/>
      <c r="B28" s="1"/>
      <c r="C28" s="28"/>
      <c r="D28" s="19"/>
      <c r="G28" s="29"/>
      <c r="H28" s="212"/>
      <c r="I28" s="1"/>
      <c r="K28" s="30"/>
      <c r="L28" s="30"/>
      <c r="M28" s="1"/>
      <c r="N28" s="211"/>
      <c r="P28" s="31"/>
      <c r="Q28" s="211"/>
      <c r="R28" s="211"/>
      <c r="S28" s="31"/>
      <c r="T28" s="165"/>
    </row>
    <row r="29" spans="1:20">
      <c r="A29" s="32"/>
      <c r="B29" s="1"/>
      <c r="C29" s="28"/>
      <c r="G29" s="29"/>
      <c r="H29" s="212"/>
      <c r="I29" s="1"/>
      <c r="K29" s="30"/>
      <c r="L29" s="30"/>
      <c r="M29" s="1"/>
      <c r="N29" s="211"/>
      <c r="Q29" s="211"/>
      <c r="R29" s="211"/>
      <c r="S29" s="31"/>
      <c r="T29" s="165"/>
    </row>
    <row r="30" spans="1:20">
      <c r="A30" s="32"/>
      <c r="H30" s="212"/>
      <c r="K30" s="30"/>
      <c r="L30" s="30"/>
      <c r="M30" s="1"/>
      <c r="N30" s="211"/>
    </row>
    <row r="31" spans="1:20">
      <c r="A31" s="32"/>
    </row>
    <row r="32" spans="1:20">
      <c r="A32" s="32"/>
    </row>
    <row r="33" spans="1:1">
      <c r="A33" s="32"/>
    </row>
    <row r="34" spans="1:1">
      <c r="A34" s="32"/>
    </row>
    <row r="35" spans="1:1">
      <c r="A35" s="32"/>
    </row>
    <row r="36" spans="1:1">
      <c r="A36" s="32"/>
    </row>
    <row r="37" spans="1:1">
      <c r="A37" s="32"/>
    </row>
    <row r="38" spans="1:1">
      <c r="A38" s="32"/>
    </row>
    <row r="39" spans="1:1">
      <c r="A39" s="32"/>
    </row>
    <row r="40" spans="1:1">
      <c r="A40" s="32"/>
    </row>
    <row r="41" spans="1:1">
      <c r="A41" s="32"/>
    </row>
    <row r="42" spans="1:1">
      <c r="A42" s="32"/>
    </row>
    <row r="43" spans="1:1">
      <c r="A43" s="32"/>
    </row>
    <row r="44" spans="1:1">
      <c r="A44" s="32"/>
    </row>
    <row r="45" spans="1:1">
      <c r="A45" s="32"/>
    </row>
    <row r="46" spans="1:1">
      <c r="A46" s="32"/>
    </row>
    <row r="47" spans="1:1">
      <c r="A47" s="32"/>
    </row>
    <row r="48" spans="1:1">
      <c r="A48" s="32"/>
    </row>
    <row r="49" spans="1:1">
      <c r="A49" s="32"/>
    </row>
    <row r="50" spans="1:1">
      <c r="A50" s="32"/>
    </row>
    <row r="51" spans="1:1">
      <c r="A51" s="32"/>
    </row>
    <row r="52" spans="1:1">
      <c r="A52" s="32"/>
    </row>
    <row r="53" spans="1:1">
      <c r="A53" s="32"/>
    </row>
    <row r="54" spans="1:1">
      <c r="A54" s="32"/>
    </row>
    <row r="55" spans="1:1">
      <c r="A55" s="32"/>
    </row>
    <row r="56" spans="1:1">
      <c r="A56" s="32"/>
    </row>
    <row r="57" spans="1:1">
      <c r="A57" s="32"/>
    </row>
    <row r="58" spans="1:1">
      <c r="A58" s="32"/>
    </row>
    <row r="59" spans="1:1">
      <c r="A59" s="32"/>
    </row>
    <row r="60" spans="1:1">
      <c r="A60" s="32"/>
    </row>
    <row r="61" spans="1:1">
      <c r="A61" s="32"/>
    </row>
    <row r="62" spans="1:1">
      <c r="A62" s="32"/>
    </row>
    <row r="63" spans="1:1">
      <c r="A63" s="32"/>
    </row>
    <row r="64" spans="1:1">
      <c r="A64" s="32"/>
    </row>
    <row r="65" spans="1:1">
      <c r="A65" s="32"/>
    </row>
    <row r="66" spans="1:1">
      <c r="A66" s="32"/>
    </row>
    <row r="67" spans="1:1">
      <c r="A67" s="32"/>
    </row>
    <row r="68" spans="1:1">
      <c r="A68" s="32"/>
    </row>
    <row r="69" spans="1:1">
      <c r="A69" s="32"/>
    </row>
    <row r="70" spans="1:1">
      <c r="A70" s="32"/>
    </row>
    <row r="71" spans="1:1">
      <c r="A71" s="32"/>
    </row>
    <row r="72" spans="1:1">
      <c r="A72" s="32"/>
    </row>
    <row r="73" spans="1:1">
      <c r="A73" s="32"/>
    </row>
    <row r="74" spans="1:1">
      <c r="A74" s="32"/>
    </row>
    <row r="75" spans="1:1">
      <c r="A75" s="32"/>
    </row>
    <row r="76" spans="1:1">
      <c r="A76" s="32"/>
    </row>
    <row r="77" spans="1:1">
      <c r="A77" s="32"/>
    </row>
    <row r="78" spans="1:1">
      <c r="A78" s="32"/>
    </row>
    <row r="79" spans="1:1">
      <c r="A79" s="32"/>
    </row>
    <row r="80" spans="1:1">
      <c r="A80" s="32"/>
    </row>
    <row r="81" spans="1:1">
      <c r="A81" s="32"/>
    </row>
    <row r="82" spans="1:1">
      <c r="A82" s="32"/>
    </row>
    <row r="83" spans="1:1">
      <c r="A83" s="32"/>
    </row>
    <row r="84" spans="1:1">
      <c r="A84" s="32"/>
    </row>
    <row r="85" spans="1:1">
      <c r="A85" s="32"/>
    </row>
    <row r="86" spans="1:1">
      <c r="A86" s="32"/>
    </row>
    <row r="87" spans="1:1">
      <c r="A87" s="32"/>
    </row>
    <row r="88" spans="1:1">
      <c r="A88" s="32"/>
    </row>
    <row r="89" spans="1:1">
      <c r="A89" s="32"/>
    </row>
    <row r="90" spans="1:1">
      <c r="A90" s="32"/>
    </row>
    <row r="91" spans="1:1">
      <c r="A91" s="32"/>
    </row>
    <row r="92" spans="1:1">
      <c r="A92" s="32"/>
    </row>
    <row r="93" spans="1:1">
      <c r="A93" s="32"/>
    </row>
    <row r="94" spans="1:1">
      <c r="A94" s="32"/>
    </row>
    <row r="95" spans="1:1">
      <c r="A95" s="32"/>
    </row>
    <row r="96" spans="1:1">
      <c r="A96" s="32"/>
    </row>
    <row r="97" spans="1:1">
      <c r="A97" s="32"/>
    </row>
    <row r="98" spans="1:1">
      <c r="A98" s="32"/>
    </row>
    <row r="99" spans="1:1">
      <c r="A99" s="32"/>
    </row>
    <row r="100" spans="1:1">
      <c r="A100" s="32"/>
    </row>
    <row r="101" spans="1:1">
      <c r="A101" s="32"/>
    </row>
    <row r="102" spans="1:1">
      <c r="A102" s="32"/>
    </row>
    <row r="103" spans="1:1">
      <c r="A103" s="32"/>
    </row>
    <row r="104" spans="1:1">
      <c r="A104" s="32"/>
    </row>
    <row r="105" spans="1:1">
      <c r="A105" s="32"/>
    </row>
    <row r="106" spans="1:1">
      <c r="A106" s="32"/>
    </row>
    <row r="107" spans="1:1">
      <c r="A107" s="32"/>
    </row>
    <row r="108" spans="1:1">
      <c r="A108" s="32"/>
    </row>
    <row r="109" spans="1:1">
      <c r="A109" s="32"/>
    </row>
    <row r="110" spans="1:1">
      <c r="A110" s="32"/>
    </row>
    <row r="111" spans="1:1">
      <c r="A111" s="32"/>
    </row>
    <row r="112" spans="1:1">
      <c r="A112" s="32"/>
    </row>
    <row r="113" spans="1:1">
      <c r="A113" s="32"/>
    </row>
    <row r="114" spans="1:1">
      <c r="A114" s="32"/>
    </row>
    <row r="115" spans="1:1">
      <c r="A115" s="32"/>
    </row>
    <row r="116" spans="1:1">
      <c r="A116" s="32"/>
    </row>
    <row r="117" spans="1:1">
      <c r="A117" s="32"/>
    </row>
    <row r="118" spans="1:1">
      <c r="A118" s="32"/>
    </row>
    <row r="119" spans="1:1">
      <c r="A119" s="32"/>
    </row>
    <row r="120" spans="1:1">
      <c r="A120" s="32"/>
    </row>
    <row r="121" spans="1:1">
      <c r="A121" s="32"/>
    </row>
    <row r="122" spans="1:1">
      <c r="A122" s="32"/>
    </row>
    <row r="123" spans="1:1">
      <c r="A123" s="32"/>
    </row>
    <row r="124" spans="1:1">
      <c r="A124" s="32"/>
    </row>
    <row r="125" spans="1:1">
      <c r="A125" s="32"/>
    </row>
    <row r="126" spans="1:1">
      <c r="A126" s="32"/>
    </row>
    <row r="127" spans="1:1">
      <c r="A127" s="32"/>
    </row>
    <row r="128" spans="1:1">
      <c r="A128" s="32"/>
    </row>
    <row r="129" spans="1:1">
      <c r="A129" s="32"/>
    </row>
    <row r="130" spans="1:1">
      <c r="A130" s="32"/>
    </row>
    <row r="131" spans="1:1">
      <c r="A131" s="32"/>
    </row>
    <row r="132" spans="1:1">
      <c r="A132" s="32"/>
    </row>
    <row r="133" spans="1:1">
      <c r="A133" s="32"/>
    </row>
    <row r="134" spans="1:1">
      <c r="A134" s="32"/>
    </row>
    <row r="135" spans="1:1">
      <c r="A135" s="32"/>
    </row>
    <row r="136" spans="1:1">
      <c r="A136" s="32"/>
    </row>
    <row r="137" spans="1:1">
      <c r="A137" s="32"/>
    </row>
    <row r="138" spans="1:1">
      <c r="A138" s="32"/>
    </row>
    <row r="139" spans="1:1">
      <c r="A139" s="32"/>
    </row>
    <row r="140" spans="1:1">
      <c r="A140" s="32"/>
    </row>
    <row r="141" spans="1:1">
      <c r="A141" s="32"/>
    </row>
    <row r="142" spans="1:1">
      <c r="A142" s="32"/>
    </row>
    <row r="143" spans="1:1">
      <c r="A143" s="32"/>
    </row>
    <row r="144" spans="1:1">
      <c r="A144" s="32"/>
    </row>
    <row r="145" spans="1:1">
      <c r="A145" s="32"/>
    </row>
    <row r="146" spans="1:1">
      <c r="A146" s="32"/>
    </row>
    <row r="147" spans="1:1">
      <c r="A147" s="32"/>
    </row>
    <row r="148" spans="1:1">
      <c r="A148" s="32"/>
    </row>
    <row r="149" spans="1:1">
      <c r="A149" s="32"/>
    </row>
    <row r="150" spans="1:1">
      <c r="A150" s="32"/>
    </row>
    <row r="151" spans="1:1">
      <c r="A151" s="32"/>
    </row>
    <row r="152" spans="1:1">
      <c r="A152" s="32"/>
    </row>
    <row r="153" spans="1:1">
      <c r="A153" s="32"/>
    </row>
    <row r="154" spans="1:1">
      <c r="A154" s="32"/>
    </row>
    <row r="155" spans="1:1">
      <c r="A155" s="32"/>
    </row>
    <row r="156" spans="1:1">
      <c r="A156" s="32"/>
    </row>
    <row r="157" spans="1:1">
      <c r="A157" s="32"/>
    </row>
    <row r="158" spans="1:1">
      <c r="A158" s="32"/>
    </row>
    <row r="159" spans="1:1">
      <c r="A159" s="32"/>
    </row>
    <row r="160" spans="1:1">
      <c r="A160" s="32"/>
    </row>
    <row r="161" spans="1:1">
      <c r="A161" s="32"/>
    </row>
    <row r="162" spans="1:1">
      <c r="A162" s="32"/>
    </row>
    <row r="163" spans="1:1">
      <c r="A163" s="32"/>
    </row>
    <row r="164" spans="1:1">
      <c r="A164" s="32"/>
    </row>
    <row r="165" spans="1:1">
      <c r="A165" s="32"/>
    </row>
    <row r="166" spans="1:1">
      <c r="A166" s="32"/>
    </row>
    <row r="167" spans="1:1">
      <c r="A167" s="32"/>
    </row>
    <row r="168" spans="1:1">
      <c r="A168" s="32"/>
    </row>
    <row r="169" spans="1:1">
      <c r="A169" s="32"/>
    </row>
    <row r="170" spans="1:1">
      <c r="A170" s="32"/>
    </row>
    <row r="171" spans="1:1">
      <c r="A171" s="32"/>
    </row>
    <row r="172" spans="1:1">
      <c r="A172" s="32"/>
    </row>
    <row r="173" spans="1:1">
      <c r="A173" s="32"/>
    </row>
    <row r="174" spans="1:1">
      <c r="A174" s="32"/>
    </row>
    <row r="175" spans="1:1">
      <c r="A175" s="32"/>
    </row>
    <row r="176" spans="1:1">
      <c r="A176" s="32"/>
    </row>
    <row r="177" spans="1:1">
      <c r="A177" s="32"/>
    </row>
    <row r="178" spans="1:1">
      <c r="A178" s="32"/>
    </row>
    <row r="179" spans="1:1">
      <c r="A179" s="32"/>
    </row>
    <row r="180" spans="1:1">
      <c r="A180" s="32"/>
    </row>
    <row r="181" spans="1:1">
      <c r="A181" s="32"/>
    </row>
    <row r="182" spans="1:1">
      <c r="A182" s="32"/>
    </row>
    <row r="183" spans="1:1">
      <c r="A183" s="32"/>
    </row>
    <row r="184" spans="1:1">
      <c r="A184" s="32"/>
    </row>
    <row r="185" spans="1:1">
      <c r="A185" s="32"/>
    </row>
    <row r="186" spans="1:1">
      <c r="A186" s="32"/>
    </row>
    <row r="187" spans="1:1">
      <c r="A187" s="32"/>
    </row>
    <row r="188" spans="1:1">
      <c r="A188" s="32"/>
    </row>
    <row r="189" spans="1:1">
      <c r="A189" s="32"/>
    </row>
    <row r="190" spans="1:1">
      <c r="A190" s="32"/>
    </row>
    <row r="191" spans="1:1">
      <c r="A191" s="32"/>
    </row>
    <row r="192" spans="1:1">
      <c r="A192" s="32"/>
    </row>
    <row r="193" spans="1:1">
      <c r="A193" s="32"/>
    </row>
    <row r="194" spans="1:1">
      <c r="A194" s="32"/>
    </row>
    <row r="195" spans="1:1">
      <c r="A195" s="32"/>
    </row>
    <row r="196" spans="1:1">
      <c r="A196" s="32"/>
    </row>
    <row r="197" spans="1:1">
      <c r="A197" s="32"/>
    </row>
    <row r="198" spans="1:1">
      <c r="A198" s="32"/>
    </row>
    <row r="199" spans="1:1">
      <c r="A199" s="32"/>
    </row>
    <row r="200" spans="1:1">
      <c r="A200" s="32"/>
    </row>
    <row r="201" spans="1:1">
      <c r="A201" s="32"/>
    </row>
    <row r="202" spans="1:1">
      <c r="A202" s="32"/>
    </row>
    <row r="203" spans="1:1">
      <c r="A203" s="32"/>
    </row>
    <row r="204" spans="1:1">
      <c r="A204" s="32"/>
    </row>
    <row r="205" spans="1:1">
      <c r="A205" s="32"/>
    </row>
    <row r="206" spans="1:1">
      <c r="A206" s="32"/>
    </row>
    <row r="207" spans="1:1">
      <c r="A207" s="32"/>
    </row>
    <row r="208" spans="1:1">
      <c r="A208" s="32"/>
    </row>
    <row r="209" spans="1:1">
      <c r="A209" s="32"/>
    </row>
    <row r="210" spans="1:1">
      <c r="A210" s="32"/>
    </row>
    <row r="211" spans="1:1">
      <c r="A211" s="32"/>
    </row>
    <row r="212" spans="1:1">
      <c r="A212" s="32"/>
    </row>
    <row r="213" spans="1:1">
      <c r="A213" s="32"/>
    </row>
    <row r="214" spans="1:1">
      <c r="A214" s="32"/>
    </row>
    <row r="215" spans="1:1">
      <c r="A215" s="32"/>
    </row>
    <row r="216" spans="1:1">
      <c r="A216" s="32"/>
    </row>
    <row r="217" spans="1:1">
      <c r="A217" s="32"/>
    </row>
    <row r="218" spans="1:1">
      <c r="A218" s="32"/>
    </row>
    <row r="219" spans="1:1">
      <c r="A219" s="32"/>
    </row>
    <row r="220" spans="1:1">
      <c r="A220" s="32"/>
    </row>
    <row r="221" spans="1:1">
      <c r="A221" s="32"/>
    </row>
    <row r="222" spans="1:1">
      <c r="A222" s="32"/>
    </row>
    <row r="223" spans="1:1">
      <c r="A223" s="32"/>
    </row>
    <row r="224" spans="1:1">
      <c r="A224" s="32"/>
    </row>
    <row r="225" spans="1:1">
      <c r="A225" s="32"/>
    </row>
    <row r="226" spans="1:1">
      <c r="A226" s="32"/>
    </row>
    <row r="227" spans="1:1">
      <c r="A227" s="32"/>
    </row>
    <row r="228" spans="1:1">
      <c r="A228" s="32"/>
    </row>
    <row r="229" spans="1:1">
      <c r="A229" s="32"/>
    </row>
    <row r="230" spans="1:1">
      <c r="A230" s="32"/>
    </row>
    <row r="231" spans="1:1">
      <c r="A231" s="32"/>
    </row>
    <row r="232" spans="1:1">
      <c r="A232" s="32"/>
    </row>
    <row r="233" spans="1:1">
      <c r="A233" s="32"/>
    </row>
    <row r="234" spans="1:1">
      <c r="A234" s="32"/>
    </row>
    <row r="235" spans="1:1">
      <c r="A235" s="32"/>
    </row>
    <row r="236" spans="1:1">
      <c r="A236" s="32"/>
    </row>
    <row r="237" spans="1:1">
      <c r="A237" s="32"/>
    </row>
    <row r="238" spans="1:1">
      <c r="A238" s="32"/>
    </row>
    <row r="239" spans="1:1">
      <c r="A239" s="32"/>
    </row>
    <row r="240" spans="1:1">
      <c r="A240" s="32"/>
    </row>
    <row r="241" spans="1:1">
      <c r="A241" s="32"/>
    </row>
    <row r="242" spans="1:1">
      <c r="A242" s="32"/>
    </row>
    <row r="243" spans="1:1">
      <c r="A243" s="32"/>
    </row>
    <row r="244" spans="1:1">
      <c r="A244" s="32"/>
    </row>
    <row r="245" spans="1:1">
      <c r="A245" s="32"/>
    </row>
    <row r="246" spans="1:1">
      <c r="A246" s="32"/>
    </row>
    <row r="247" spans="1:1">
      <c r="A247" s="32"/>
    </row>
    <row r="248" spans="1:1">
      <c r="A248" s="32"/>
    </row>
    <row r="249" spans="1:1">
      <c r="A249" s="32"/>
    </row>
    <row r="250" spans="1:1">
      <c r="A250" s="32"/>
    </row>
    <row r="251" spans="1:1">
      <c r="A251" s="32"/>
    </row>
    <row r="252" spans="1:1">
      <c r="A252" s="32"/>
    </row>
    <row r="253" spans="1:1">
      <c r="A253" s="32"/>
    </row>
    <row r="254" spans="1:1">
      <c r="A254" s="32"/>
    </row>
    <row r="255" spans="1:1">
      <c r="A255" s="32"/>
    </row>
    <row r="256" spans="1:1">
      <c r="A256" s="32"/>
    </row>
    <row r="257" spans="1:1">
      <c r="A257" s="32"/>
    </row>
    <row r="258" spans="1:1">
      <c r="A258" s="32"/>
    </row>
    <row r="259" spans="1:1">
      <c r="A259" s="32"/>
    </row>
    <row r="260" spans="1:1">
      <c r="A260" s="32"/>
    </row>
    <row r="261" spans="1:1">
      <c r="A261" s="32"/>
    </row>
    <row r="262" spans="1:1">
      <c r="A262" s="32"/>
    </row>
    <row r="263" spans="1:1">
      <c r="A263" s="32"/>
    </row>
    <row r="264" spans="1:1">
      <c r="A264" s="32"/>
    </row>
    <row r="265" spans="1:1">
      <c r="A265" s="32"/>
    </row>
    <row r="266" spans="1:1">
      <c r="A266" s="32"/>
    </row>
    <row r="267" spans="1:1">
      <c r="A267" s="32"/>
    </row>
    <row r="268" spans="1:1">
      <c r="A268" s="32"/>
    </row>
    <row r="269" spans="1:1">
      <c r="A269" s="32"/>
    </row>
    <row r="270" spans="1:1">
      <c r="A270" s="32"/>
    </row>
    <row r="271" spans="1:1">
      <c r="A271" s="32"/>
    </row>
    <row r="272" spans="1:1">
      <c r="A272" s="32"/>
    </row>
    <row r="273" spans="1:1">
      <c r="A273" s="32"/>
    </row>
    <row r="274" spans="1:1">
      <c r="A274" s="32"/>
    </row>
    <row r="275" spans="1:1">
      <c r="A275" s="32"/>
    </row>
    <row r="276" spans="1:1">
      <c r="A276" s="32"/>
    </row>
    <row r="277" spans="1:1">
      <c r="A277" s="32"/>
    </row>
    <row r="278" spans="1:1">
      <c r="A278" s="32"/>
    </row>
    <row r="279" spans="1:1">
      <c r="A279" s="32"/>
    </row>
    <row r="280" spans="1:1">
      <c r="A280" s="32"/>
    </row>
    <row r="281" spans="1:1">
      <c r="A281" s="32"/>
    </row>
    <row r="282" spans="1:1">
      <c r="A282" s="32"/>
    </row>
    <row r="283" spans="1:1">
      <c r="A283" s="32"/>
    </row>
    <row r="284" spans="1:1">
      <c r="A284" s="32"/>
    </row>
    <row r="285" spans="1:1">
      <c r="A285" s="32"/>
    </row>
    <row r="286" spans="1:1">
      <c r="A286" s="32"/>
    </row>
    <row r="287" spans="1:1">
      <c r="A287" s="32"/>
    </row>
    <row r="288" spans="1:1">
      <c r="A288" s="32"/>
    </row>
    <row r="289" spans="1:1">
      <c r="A289" s="32"/>
    </row>
    <row r="290" spans="1:1">
      <c r="A290" s="32"/>
    </row>
    <row r="291" spans="1:1">
      <c r="A291" s="32"/>
    </row>
    <row r="292" spans="1:1">
      <c r="A292" s="32"/>
    </row>
    <row r="293" spans="1:1">
      <c r="A293" s="32"/>
    </row>
    <row r="294" spans="1:1">
      <c r="A294" s="32"/>
    </row>
    <row r="295" spans="1:1">
      <c r="A295" s="32"/>
    </row>
    <row r="296" spans="1:1">
      <c r="A296" s="32"/>
    </row>
    <row r="297" spans="1:1">
      <c r="A297" s="32"/>
    </row>
    <row r="298" spans="1:1">
      <c r="A298" s="32"/>
    </row>
    <row r="299" spans="1:1">
      <c r="A299" s="32"/>
    </row>
    <row r="300" spans="1:1">
      <c r="A300" s="32"/>
    </row>
    <row r="301" spans="1:1">
      <c r="A301" s="32"/>
    </row>
    <row r="302" spans="1:1">
      <c r="A302" s="32"/>
    </row>
    <row r="303" spans="1:1">
      <c r="A303" s="32"/>
    </row>
    <row r="304" spans="1:1">
      <c r="A304" s="32"/>
    </row>
    <row r="305" spans="1:1">
      <c r="A305" s="32"/>
    </row>
    <row r="306" spans="1:1">
      <c r="A306" s="32"/>
    </row>
    <row r="307" spans="1:1">
      <c r="A307" s="32"/>
    </row>
    <row r="308" spans="1:1">
      <c r="A308" s="32"/>
    </row>
    <row r="309" spans="1:1">
      <c r="A309" s="32"/>
    </row>
    <row r="310" spans="1:1">
      <c r="A310" s="32"/>
    </row>
    <row r="311" spans="1:1">
      <c r="A311" s="32"/>
    </row>
    <row r="312" spans="1:1">
      <c r="A312" s="32"/>
    </row>
    <row r="313" spans="1:1">
      <c r="A313" s="32"/>
    </row>
    <row r="314" spans="1:1">
      <c r="A314" s="32"/>
    </row>
    <row r="315" spans="1:1">
      <c r="A315" s="32"/>
    </row>
    <row r="316" spans="1:1">
      <c r="A316" s="32"/>
    </row>
    <row r="317" spans="1:1">
      <c r="A317" s="32"/>
    </row>
    <row r="318" spans="1:1">
      <c r="A318" s="32"/>
    </row>
    <row r="319" spans="1:1">
      <c r="A319" s="32"/>
    </row>
    <row r="320" spans="1:1">
      <c r="A320" s="32"/>
    </row>
    <row r="321" spans="1:1">
      <c r="A321" s="32"/>
    </row>
    <row r="322" spans="1:1">
      <c r="A322" s="32"/>
    </row>
    <row r="323" spans="1:1">
      <c r="A323" s="32"/>
    </row>
    <row r="324" spans="1:1">
      <c r="A324" s="32"/>
    </row>
    <row r="325" spans="1:1">
      <c r="A325" s="32"/>
    </row>
    <row r="326" spans="1:1">
      <c r="A326" s="32"/>
    </row>
    <row r="327" spans="1:1">
      <c r="A327" s="32"/>
    </row>
    <row r="328" spans="1:1">
      <c r="A328" s="32"/>
    </row>
    <row r="329" spans="1:1">
      <c r="A329" s="32"/>
    </row>
    <row r="330" spans="1:1">
      <c r="A330" s="32"/>
    </row>
    <row r="331" spans="1:1">
      <c r="A331" s="32"/>
    </row>
    <row r="332" spans="1:1">
      <c r="A332" s="32"/>
    </row>
    <row r="333" spans="1:1">
      <c r="A333" s="32"/>
    </row>
    <row r="334" spans="1:1">
      <c r="A334" s="32"/>
    </row>
    <row r="335" spans="1:1">
      <c r="A335" s="32"/>
    </row>
    <row r="336" spans="1:1">
      <c r="A336" s="32"/>
    </row>
    <row r="337" spans="1:1">
      <c r="A337" s="32"/>
    </row>
    <row r="338" spans="1:1">
      <c r="A338" s="32"/>
    </row>
    <row r="339" spans="1:1">
      <c r="A339" s="32"/>
    </row>
    <row r="340" spans="1:1">
      <c r="A340" s="32"/>
    </row>
    <row r="341" spans="1:1">
      <c r="A341" s="32"/>
    </row>
    <row r="342" spans="1:1">
      <c r="A342" s="32"/>
    </row>
    <row r="343" spans="1:1">
      <c r="A343" s="32"/>
    </row>
    <row r="344" spans="1:1">
      <c r="A344" s="32"/>
    </row>
    <row r="345" spans="1:1">
      <c r="A345" s="32"/>
    </row>
    <row r="346" spans="1:1">
      <c r="A346" s="32"/>
    </row>
    <row r="347" spans="1:1">
      <c r="A347" s="32"/>
    </row>
    <row r="348" spans="1:1">
      <c r="A348" s="32"/>
    </row>
    <row r="349" spans="1:1">
      <c r="A349" s="32"/>
    </row>
    <row r="350" spans="1:1">
      <c r="A350" s="32"/>
    </row>
    <row r="351" spans="1:1">
      <c r="A351" s="32"/>
    </row>
    <row r="352" spans="1:1">
      <c r="A352" s="32"/>
    </row>
    <row r="353" spans="1:1">
      <c r="A353" s="32"/>
    </row>
    <row r="354" spans="1:1">
      <c r="A354" s="32"/>
    </row>
    <row r="355" spans="1:1">
      <c r="A355" s="32"/>
    </row>
    <row r="356" spans="1:1">
      <c r="A356" s="32"/>
    </row>
    <row r="357" spans="1:1">
      <c r="A357" s="32"/>
    </row>
    <row r="358" spans="1:1">
      <c r="A358" s="32"/>
    </row>
    <row r="359" spans="1:1">
      <c r="A359" s="32"/>
    </row>
    <row r="360" spans="1:1">
      <c r="A360" s="32"/>
    </row>
    <row r="361" spans="1:1">
      <c r="A361" s="32"/>
    </row>
    <row r="362" spans="1:1">
      <c r="A362" s="32"/>
    </row>
    <row r="363" spans="1:1">
      <c r="A363" s="32"/>
    </row>
    <row r="364" spans="1:1">
      <c r="A364" s="32"/>
    </row>
    <row r="365" spans="1:1">
      <c r="A365" s="32"/>
    </row>
    <row r="366" spans="1:1">
      <c r="A366" s="32"/>
    </row>
    <row r="367" spans="1:1">
      <c r="A367" s="32"/>
    </row>
    <row r="368" spans="1:1">
      <c r="A368" s="32"/>
    </row>
    <row r="369" spans="1:1">
      <c r="A369" s="32"/>
    </row>
    <row r="370" spans="1:1">
      <c r="A370" s="32"/>
    </row>
    <row r="371" spans="1:1">
      <c r="A371" s="32"/>
    </row>
    <row r="372" spans="1:1">
      <c r="A372" s="32"/>
    </row>
    <row r="373" spans="1:1">
      <c r="A373" s="32"/>
    </row>
    <row r="374" spans="1:1">
      <c r="A374" s="32"/>
    </row>
    <row r="375" spans="1:1">
      <c r="A375" s="32"/>
    </row>
    <row r="376" spans="1:1">
      <c r="A376" s="32"/>
    </row>
    <row r="377" spans="1:1">
      <c r="A377" s="32"/>
    </row>
    <row r="378" spans="1:1">
      <c r="A378" s="32"/>
    </row>
    <row r="379" spans="1:1">
      <c r="A379" s="32"/>
    </row>
    <row r="380" spans="1:1">
      <c r="A380" s="32"/>
    </row>
    <row r="381" spans="1:1">
      <c r="A381" s="32"/>
    </row>
    <row r="382" spans="1:1">
      <c r="A382" s="32"/>
    </row>
    <row r="383" spans="1:1">
      <c r="A383" s="32"/>
    </row>
    <row r="384" spans="1:1">
      <c r="A384" s="32"/>
    </row>
    <row r="385" spans="1:1">
      <c r="A385" s="32"/>
    </row>
    <row r="386" spans="1:1">
      <c r="A386" s="32"/>
    </row>
    <row r="387" spans="1:1">
      <c r="A387" s="32"/>
    </row>
    <row r="388" spans="1:1">
      <c r="A388" s="32"/>
    </row>
    <row r="389" spans="1:1">
      <c r="A389" s="32"/>
    </row>
    <row r="390" spans="1:1">
      <c r="A390" s="32"/>
    </row>
    <row r="391" spans="1:1">
      <c r="A391" s="32"/>
    </row>
    <row r="392" spans="1:1">
      <c r="A392" s="32"/>
    </row>
    <row r="393" spans="1:1">
      <c r="A393" s="32"/>
    </row>
    <row r="394" spans="1:1">
      <c r="A394" s="32"/>
    </row>
    <row r="395" spans="1:1">
      <c r="A395" s="32"/>
    </row>
    <row r="396" spans="1:1">
      <c r="A396" s="32"/>
    </row>
    <row r="397" spans="1:1">
      <c r="A397" s="32"/>
    </row>
    <row r="398" spans="1:1">
      <c r="A398" s="32"/>
    </row>
    <row r="399" spans="1:1">
      <c r="A399" s="32"/>
    </row>
    <row r="400" spans="1:1">
      <c r="A400" s="32"/>
    </row>
    <row r="401" spans="1:1">
      <c r="A401" s="32"/>
    </row>
    <row r="402" spans="1:1">
      <c r="A402" s="32"/>
    </row>
    <row r="403" spans="1:1">
      <c r="A403" s="32"/>
    </row>
    <row r="404" spans="1:1">
      <c r="A404" s="32"/>
    </row>
    <row r="405" spans="1:1">
      <c r="A405" s="32"/>
    </row>
    <row r="406" spans="1:1">
      <c r="A406" s="32"/>
    </row>
    <row r="407" spans="1:1">
      <c r="A407" s="32"/>
    </row>
    <row r="408" spans="1:1">
      <c r="A408" s="32"/>
    </row>
    <row r="409" spans="1:1">
      <c r="A409" s="32"/>
    </row>
    <row r="410" spans="1:1">
      <c r="A410" s="32"/>
    </row>
    <row r="411" spans="1:1">
      <c r="A411" s="32"/>
    </row>
    <row r="412" spans="1:1">
      <c r="A412" s="32"/>
    </row>
    <row r="413" spans="1:1">
      <c r="A413" s="32"/>
    </row>
    <row r="414" spans="1:1">
      <c r="A414" s="32"/>
    </row>
    <row r="415" spans="1:1">
      <c r="A415" s="32"/>
    </row>
    <row r="416" spans="1:1">
      <c r="A416" s="32"/>
    </row>
    <row r="417" spans="1:1">
      <c r="A417" s="32"/>
    </row>
    <row r="418" spans="1:1">
      <c r="A418" s="32"/>
    </row>
    <row r="419" spans="1:1">
      <c r="A419" s="32"/>
    </row>
    <row r="420" spans="1:1">
      <c r="A420" s="32"/>
    </row>
    <row r="421" spans="1:1">
      <c r="A421" s="32"/>
    </row>
    <row r="422" spans="1:1">
      <c r="A422" s="32"/>
    </row>
    <row r="423" spans="1:1">
      <c r="A423" s="32"/>
    </row>
    <row r="424" spans="1:1">
      <c r="A424" s="32"/>
    </row>
    <row r="425" spans="1:1">
      <c r="A425" s="32"/>
    </row>
    <row r="426" spans="1:1">
      <c r="A426" s="32"/>
    </row>
    <row r="427" spans="1:1">
      <c r="A427" s="32"/>
    </row>
    <row r="428" spans="1:1">
      <c r="A428" s="32"/>
    </row>
    <row r="429" spans="1:1">
      <c r="A429" s="32"/>
    </row>
    <row r="430" spans="1:1">
      <c r="A430" s="32"/>
    </row>
    <row r="431" spans="1:1">
      <c r="A431" s="32"/>
    </row>
    <row r="432" spans="1:1">
      <c r="A432" s="32"/>
    </row>
    <row r="433" spans="1:1">
      <c r="A433" s="32"/>
    </row>
    <row r="434" spans="1:1">
      <c r="A434" s="32"/>
    </row>
    <row r="435" spans="1:1">
      <c r="A435" s="32"/>
    </row>
    <row r="436" spans="1:1">
      <c r="A436" s="32"/>
    </row>
    <row r="437" spans="1:1">
      <c r="A437" s="32"/>
    </row>
    <row r="438" spans="1:1">
      <c r="A438" s="32"/>
    </row>
    <row r="439" spans="1:1">
      <c r="A439" s="32"/>
    </row>
    <row r="440" spans="1:1">
      <c r="A440" s="32"/>
    </row>
    <row r="441" spans="1:1">
      <c r="A441" s="32"/>
    </row>
    <row r="442" spans="1:1">
      <c r="A442" s="32"/>
    </row>
    <row r="443" spans="1:1">
      <c r="A443" s="32"/>
    </row>
    <row r="444" spans="1:1">
      <c r="A444" s="32"/>
    </row>
    <row r="445" spans="1:1">
      <c r="A445" s="32"/>
    </row>
    <row r="446" spans="1:1">
      <c r="A446" s="32"/>
    </row>
    <row r="447" spans="1:1">
      <c r="A447" s="32"/>
    </row>
    <row r="448" spans="1:1">
      <c r="A448" s="32"/>
    </row>
    <row r="449" spans="1:1">
      <c r="A449" s="32"/>
    </row>
    <row r="450" spans="1:1">
      <c r="A450" s="32"/>
    </row>
    <row r="451" spans="1:1">
      <c r="A451" s="32"/>
    </row>
    <row r="452" spans="1:1">
      <c r="A452" s="32"/>
    </row>
    <row r="453" spans="1:1">
      <c r="A453" s="32"/>
    </row>
    <row r="454" spans="1:1">
      <c r="A454" s="32"/>
    </row>
    <row r="455" spans="1:1">
      <c r="A455" s="32"/>
    </row>
    <row r="456" spans="1:1">
      <c r="A456" s="32"/>
    </row>
    <row r="457" spans="1:1">
      <c r="A457" s="32"/>
    </row>
    <row r="458" spans="1:1">
      <c r="A458" s="32"/>
    </row>
    <row r="459" spans="1:1">
      <c r="A459" s="32"/>
    </row>
    <row r="460" spans="1:1">
      <c r="A460" s="32"/>
    </row>
    <row r="461" spans="1:1">
      <c r="A461" s="32"/>
    </row>
    <row r="462" spans="1:1">
      <c r="A462" s="32"/>
    </row>
    <row r="463" spans="1:1">
      <c r="A463" s="32"/>
    </row>
    <row r="464" spans="1:1">
      <c r="A464" s="32"/>
    </row>
    <row r="465" spans="1:1">
      <c r="A465" s="32"/>
    </row>
    <row r="466" spans="1:1">
      <c r="A466" s="32"/>
    </row>
    <row r="467" spans="1:1">
      <c r="A467" s="32"/>
    </row>
    <row r="468" spans="1:1">
      <c r="A468" s="32"/>
    </row>
    <row r="469" spans="1:1">
      <c r="A469" s="32"/>
    </row>
    <row r="470" spans="1:1">
      <c r="A470" s="32"/>
    </row>
    <row r="471" spans="1:1">
      <c r="A471" s="32"/>
    </row>
    <row r="472" spans="1:1">
      <c r="A472" s="32"/>
    </row>
    <row r="473" spans="1:1">
      <c r="A473" s="32"/>
    </row>
    <row r="474" spans="1:1">
      <c r="A474" s="32"/>
    </row>
    <row r="475" spans="1:1">
      <c r="A475" s="32"/>
    </row>
    <row r="476" spans="1:1">
      <c r="A476" s="32"/>
    </row>
    <row r="477" spans="1:1">
      <c r="A477" s="32"/>
    </row>
    <row r="478" spans="1:1">
      <c r="A478" s="32"/>
    </row>
    <row r="479" spans="1:1">
      <c r="A479" s="32"/>
    </row>
    <row r="480" spans="1:1">
      <c r="A480" s="32"/>
    </row>
    <row r="481" spans="1:1">
      <c r="A481" s="32"/>
    </row>
    <row r="482" spans="1:1">
      <c r="A482" s="32"/>
    </row>
    <row r="483" spans="1:1">
      <c r="A483" s="32"/>
    </row>
    <row r="484" spans="1:1">
      <c r="A484" s="32"/>
    </row>
    <row r="485" spans="1:1">
      <c r="A485" s="32"/>
    </row>
    <row r="486" spans="1:1">
      <c r="A486" s="32"/>
    </row>
    <row r="487" spans="1:1">
      <c r="A487" s="32"/>
    </row>
    <row r="488" spans="1:1">
      <c r="A488" s="32"/>
    </row>
    <row r="489" spans="1:1">
      <c r="A489" s="32"/>
    </row>
    <row r="490" spans="1:1">
      <c r="A490" s="32"/>
    </row>
    <row r="491" spans="1:1">
      <c r="A491" s="32"/>
    </row>
    <row r="492" spans="1:1">
      <c r="A492" s="32"/>
    </row>
    <row r="493" spans="1:1">
      <c r="A493" s="32"/>
    </row>
    <row r="494" spans="1:1">
      <c r="A494" s="32"/>
    </row>
    <row r="495" spans="1:1">
      <c r="A495" s="32"/>
    </row>
    <row r="496" spans="1:1">
      <c r="A496" s="32"/>
    </row>
    <row r="497" spans="1:1">
      <c r="A497" s="32"/>
    </row>
    <row r="498" spans="1:1">
      <c r="A498" s="32"/>
    </row>
    <row r="499" spans="1:1">
      <c r="A499" s="32"/>
    </row>
    <row r="500" spans="1:1">
      <c r="A500" s="32"/>
    </row>
    <row r="501" spans="1:1">
      <c r="A501" s="32"/>
    </row>
    <row r="502" spans="1:1">
      <c r="A502" s="32"/>
    </row>
    <row r="503" spans="1:1">
      <c r="A503" s="32"/>
    </row>
    <row r="504" spans="1:1">
      <c r="A504" s="32"/>
    </row>
    <row r="505" spans="1:1">
      <c r="A505" s="32"/>
    </row>
    <row r="506" spans="1:1">
      <c r="A506" s="32"/>
    </row>
    <row r="507" spans="1:1">
      <c r="A507" s="32"/>
    </row>
    <row r="508" spans="1:1">
      <c r="A508" s="32"/>
    </row>
    <row r="509" spans="1:1">
      <c r="A509" s="32"/>
    </row>
    <row r="510" spans="1:1">
      <c r="A510" s="32"/>
    </row>
    <row r="511" spans="1:1">
      <c r="A511" s="32"/>
    </row>
    <row r="512" spans="1:1">
      <c r="A512" s="32"/>
    </row>
    <row r="513" spans="1:1">
      <c r="A513" s="32"/>
    </row>
    <row r="514" spans="1:1">
      <c r="A514" s="32"/>
    </row>
    <row r="515" spans="1:1">
      <c r="A515" s="32"/>
    </row>
    <row r="516" spans="1:1">
      <c r="A516" s="32"/>
    </row>
    <row r="517" spans="1:1">
      <c r="A517" s="32"/>
    </row>
    <row r="518" spans="1:1">
      <c r="A518" s="32"/>
    </row>
    <row r="519" spans="1:1">
      <c r="A519" s="32"/>
    </row>
    <row r="520" spans="1:1">
      <c r="A520" s="32"/>
    </row>
    <row r="521" spans="1:1">
      <c r="A521" s="32"/>
    </row>
    <row r="522" spans="1:1">
      <c r="A522" s="32"/>
    </row>
    <row r="523" spans="1:1">
      <c r="A523" s="32"/>
    </row>
    <row r="524" spans="1:1">
      <c r="A524" s="32"/>
    </row>
    <row r="525" spans="1:1">
      <c r="A525" s="32"/>
    </row>
    <row r="526" spans="1:1">
      <c r="A526" s="32"/>
    </row>
    <row r="527" spans="1:1">
      <c r="A527" s="32"/>
    </row>
    <row r="528" spans="1:1">
      <c r="A528" s="32"/>
    </row>
    <row r="529" spans="1:1">
      <c r="A529" s="32"/>
    </row>
    <row r="530" spans="1:1">
      <c r="A530" s="32"/>
    </row>
    <row r="531" spans="1:1">
      <c r="A531" s="32"/>
    </row>
    <row r="532" spans="1:1">
      <c r="A532" s="32"/>
    </row>
    <row r="533" spans="1:1">
      <c r="A533" s="32"/>
    </row>
    <row r="534" spans="1:1">
      <c r="A534" s="32"/>
    </row>
    <row r="535" spans="1:1">
      <c r="A535" s="32"/>
    </row>
    <row r="536" spans="1:1">
      <c r="A536" s="32"/>
    </row>
    <row r="537" spans="1:1">
      <c r="A537" s="32"/>
    </row>
    <row r="538" spans="1:1">
      <c r="A538" s="32"/>
    </row>
    <row r="539" spans="1:1">
      <c r="A539" s="32"/>
    </row>
    <row r="540" spans="1:1">
      <c r="A540" s="32"/>
    </row>
    <row r="541" spans="1:1">
      <c r="A541" s="32"/>
    </row>
    <row r="542" spans="1:1">
      <c r="A542" s="32"/>
    </row>
    <row r="543" spans="1:1">
      <c r="A543" s="32"/>
    </row>
    <row r="544" spans="1:1">
      <c r="A544" s="32"/>
    </row>
    <row r="545" spans="1:1">
      <c r="A545" s="32"/>
    </row>
    <row r="546" spans="1:1">
      <c r="A546" s="32"/>
    </row>
    <row r="547" spans="1:1">
      <c r="A547" s="32"/>
    </row>
    <row r="548" spans="1:1">
      <c r="A548" s="32"/>
    </row>
    <row r="549" spans="1:1">
      <c r="A549" s="32"/>
    </row>
    <row r="550" spans="1:1">
      <c r="A550" s="32"/>
    </row>
    <row r="551" spans="1:1">
      <c r="A551" s="32"/>
    </row>
    <row r="552" spans="1:1">
      <c r="A552" s="32"/>
    </row>
    <row r="553" spans="1:1">
      <c r="A553" s="32"/>
    </row>
    <row r="554" spans="1:1">
      <c r="A554" s="32"/>
    </row>
    <row r="555" spans="1:1">
      <c r="A555" s="32"/>
    </row>
    <row r="556" spans="1:1">
      <c r="A556" s="32"/>
    </row>
    <row r="557" spans="1:1">
      <c r="A557" s="32"/>
    </row>
    <row r="558" spans="1:1">
      <c r="A558" s="32"/>
    </row>
    <row r="559" spans="1:1">
      <c r="A559" s="32"/>
    </row>
    <row r="560" spans="1:1">
      <c r="A560" s="32"/>
    </row>
    <row r="561" spans="1:1">
      <c r="A561" s="32"/>
    </row>
    <row r="562" spans="1:1">
      <c r="A562" s="32"/>
    </row>
    <row r="563" spans="1:1">
      <c r="A563" s="32"/>
    </row>
    <row r="564" spans="1:1">
      <c r="A564" s="32"/>
    </row>
    <row r="565" spans="1:1">
      <c r="A565" s="32"/>
    </row>
    <row r="566" spans="1:1">
      <c r="A566" s="32"/>
    </row>
    <row r="567" spans="1:1">
      <c r="A567" s="32"/>
    </row>
    <row r="568" spans="1:1">
      <c r="A568" s="32"/>
    </row>
    <row r="569" spans="1:1">
      <c r="A569" s="32"/>
    </row>
    <row r="570" spans="1:1">
      <c r="A570" s="32"/>
    </row>
    <row r="571" spans="1:1">
      <c r="A571" s="32"/>
    </row>
    <row r="572" spans="1:1">
      <c r="A572" s="32"/>
    </row>
    <row r="573" spans="1:1">
      <c r="A573" s="32"/>
    </row>
    <row r="574" spans="1:1">
      <c r="A574" s="32"/>
    </row>
    <row r="575" spans="1:1">
      <c r="A575" s="32"/>
    </row>
    <row r="576" spans="1:1">
      <c r="A576" s="32"/>
    </row>
    <row r="577" spans="1:1">
      <c r="A577" s="32"/>
    </row>
    <row r="578" spans="1:1">
      <c r="A578" s="32"/>
    </row>
    <row r="579" spans="1:1">
      <c r="A579" s="32"/>
    </row>
    <row r="580" spans="1:1">
      <c r="A580" s="32"/>
    </row>
    <row r="581" spans="1:1">
      <c r="A581" s="32"/>
    </row>
    <row r="582" spans="1:1">
      <c r="A582" s="32"/>
    </row>
    <row r="583" spans="1:1">
      <c r="A583" s="32"/>
    </row>
    <row r="584" spans="1:1">
      <c r="A584" s="32"/>
    </row>
    <row r="585" spans="1:1">
      <c r="A585" s="32"/>
    </row>
    <row r="586" spans="1:1">
      <c r="A586" s="32"/>
    </row>
    <row r="587" spans="1:1">
      <c r="A587" s="32"/>
    </row>
    <row r="588" spans="1:1">
      <c r="A588" s="32"/>
    </row>
    <row r="589" spans="1:1">
      <c r="A589" s="32"/>
    </row>
    <row r="590" spans="1:1">
      <c r="A590" s="32"/>
    </row>
    <row r="591" spans="1:1">
      <c r="A591" s="32"/>
    </row>
    <row r="592" spans="1:1">
      <c r="A592" s="32"/>
    </row>
    <row r="593" spans="1:1">
      <c r="A593" s="32"/>
    </row>
    <row r="594" spans="1:1">
      <c r="A594" s="32"/>
    </row>
    <row r="595" spans="1:1">
      <c r="A595" s="32"/>
    </row>
    <row r="596" spans="1:1">
      <c r="A596" s="32"/>
    </row>
    <row r="597" spans="1:1">
      <c r="A597" s="32"/>
    </row>
    <row r="598" spans="1:1">
      <c r="A598" s="32"/>
    </row>
    <row r="599" spans="1:1">
      <c r="A599" s="32"/>
    </row>
    <row r="600" spans="1:1">
      <c r="A600" s="32"/>
    </row>
    <row r="601" spans="1:1">
      <c r="A601" s="32"/>
    </row>
    <row r="602" spans="1:1">
      <c r="A602" s="32"/>
    </row>
    <row r="603" spans="1:1">
      <c r="A603" s="32"/>
    </row>
    <row r="604" spans="1:1">
      <c r="A604" s="32"/>
    </row>
    <row r="605" spans="1:1">
      <c r="A605" s="32"/>
    </row>
    <row r="606" spans="1:1">
      <c r="A606" s="32"/>
    </row>
    <row r="607" spans="1:1">
      <c r="A607" s="32"/>
    </row>
    <row r="608" spans="1:1">
      <c r="A608" s="32"/>
    </row>
    <row r="609" spans="1:1">
      <c r="A609" s="32"/>
    </row>
    <row r="610" spans="1:1">
      <c r="A610" s="32"/>
    </row>
    <row r="611" spans="1:1">
      <c r="A611" s="32"/>
    </row>
    <row r="612" spans="1:1">
      <c r="A612" s="32"/>
    </row>
    <row r="613" spans="1:1">
      <c r="A613" s="32"/>
    </row>
    <row r="614" spans="1:1">
      <c r="A614" s="32"/>
    </row>
    <row r="615" spans="1:1">
      <c r="A615" s="32"/>
    </row>
    <row r="616" spans="1:1">
      <c r="A616" s="32"/>
    </row>
    <row r="617" spans="1:1">
      <c r="A617" s="32"/>
    </row>
    <row r="618" spans="1:1">
      <c r="A618" s="32"/>
    </row>
    <row r="619" spans="1:1">
      <c r="A619" s="32"/>
    </row>
    <row r="620" spans="1:1">
      <c r="A620" s="32"/>
    </row>
    <row r="621" spans="1:1">
      <c r="A621" s="32"/>
    </row>
    <row r="622" spans="1:1">
      <c r="A622" s="32"/>
    </row>
    <row r="623" spans="1:1">
      <c r="A623" s="32"/>
    </row>
    <row r="624" spans="1:1">
      <c r="A624" s="32"/>
    </row>
    <row r="625" spans="1:1">
      <c r="A625" s="32"/>
    </row>
    <row r="626" spans="1:1">
      <c r="A626" s="32"/>
    </row>
    <row r="627" spans="1:1">
      <c r="A627" s="32"/>
    </row>
    <row r="628" spans="1:1">
      <c r="A628" s="32"/>
    </row>
    <row r="629" spans="1:1">
      <c r="A629" s="32"/>
    </row>
    <row r="630" spans="1:1">
      <c r="A630" s="32"/>
    </row>
    <row r="631" spans="1:1">
      <c r="A631" s="32"/>
    </row>
    <row r="632" spans="1:1">
      <c r="A632" s="32"/>
    </row>
    <row r="633" spans="1:1">
      <c r="A633" s="32"/>
    </row>
    <row r="634" spans="1:1">
      <c r="A634" s="32"/>
    </row>
    <row r="635" spans="1:1">
      <c r="A635" s="32"/>
    </row>
    <row r="636" spans="1:1">
      <c r="A636" s="32"/>
    </row>
    <row r="637" spans="1:1">
      <c r="A637" s="32"/>
    </row>
    <row r="638" spans="1:1">
      <c r="A638" s="32"/>
    </row>
    <row r="639" spans="1:1">
      <c r="A639" s="32"/>
    </row>
    <row r="640" spans="1:1">
      <c r="A640" s="32"/>
    </row>
    <row r="641" spans="1:1">
      <c r="A641" s="32"/>
    </row>
    <row r="642" spans="1:1">
      <c r="A642" s="32"/>
    </row>
    <row r="643" spans="1:1">
      <c r="A643" s="32"/>
    </row>
    <row r="644" spans="1:1">
      <c r="A644" s="32"/>
    </row>
    <row r="645" spans="1:1">
      <c r="A645" s="32"/>
    </row>
    <row r="646" spans="1:1">
      <c r="A646" s="32"/>
    </row>
    <row r="647" spans="1:1">
      <c r="A647" s="32"/>
    </row>
    <row r="648" spans="1:1">
      <c r="A648" s="32"/>
    </row>
    <row r="649" spans="1:1">
      <c r="A649" s="32"/>
    </row>
    <row r="650" spans="1:1">
      <c r="A650" s="32"/>
    </row>
    <row r="651" spans="1:1">
      <c r="A651" s="32"/>
    </row>
    <row r="652" spans="1:1">
      <c r="A652" s="32"/>
    </row>
    <row r="653" spans="1:1">
      <c r="A653" s="32"/>
    </row>
    <row r="654" spans="1:1">
      <c r="A654" s="32"/>
    </row>
    <row r="655" spans="1:1">
      <c r="A655" s="32"/>
    </row>
    <row r="656" spans="1:1">
      <c r="A656" s="32"/>
    </row>
    <row r="657" spans="1:1">
      <c r="A657" s="32"/>
    </row>
    <row r="658" spans="1:1">
      <c r="A658" s="32"/>
    </row>
    <row r="659" spans="1:1">
      <c r="A659" s="32"/>
    </row>
    <row r="660" spans="1:1">
      <c r="A660" s="32"/>
    </row>
    <row r="661" spans="1:1">
      <c r="A661" s="32"/>
    </row>
    <row r="662" spans="1:1">
      <c r="A662" s="32"/>
    </row>
    <row r="663" spans="1:1">
      <c r="A663" s="32"/>
    </row>
    <row r="664" spans="1:1">
      <c r="A664" s="32"/>
    </row>
    <row r="665" spans="1:1">
      <c r="A665" s="32"/>
    </row>
    <row r="666" spans="1:1">
      <c r="A666" s="32"/>
    </row>
    <row r="667" spans="1:1">
      <c r="A667" s="32"/>
    </row>
    <row r="668" spans="1:1">
      <c r="A668" s="32"/>
    </row>
    <row r="669" spans="1:1">
      <c r="A669" s="32"/>
    </row>
    <row r="670" spans="1:1">
      <c r="A670" s="32"/>
    </row>
    <row r="671" spans="1:1">
      <c r="A671" s="32"/>
    </row>
    <row r="672" spans="1:1">
      <c r="A672" s="32"/>
    </row>
    <row r="673" spans="1:1">
      <c r="A673" s="32"/>
    </row>
    <row r="674" spans="1:1">
      <c r="A674" s="32"/>
    </row>
    <row r="675" spans="1:1">
      <c r="A675" s="32"/>
    </row>
    <row r="676" spans="1:1">
      <c r="A676" s="32"/>
    </row>
    <row r="677" spans="1:1">
      <c r="A677" s="32"/>
    </row>
    <row r="678" spans="1:1">
      <c r="A678" s="32"/>
    </row>
    <row r="679" spans="1:1">
      <c r="A679" s="32"/>
    </row>
    <row r="680" spans="1:1">
      <c r="A680" s="32"/>
    </row>
    <row r="681" spans="1:1">
      <c r="A681" s="32"/>
    </row>
    <row r="682" spans="1:1">
      <c r="A682" s="32"/>
    </row>
    <row r="683" spans="1:1">
      <c r="A683" s="32"/>
    </row>
    <row r="684" spans="1:1">
      <c r="A684" s="32"/>
    </row>
    <row r="685" spans="1:1">
      <c r="A685" s="32"/>
    </row>
    <row r="686" spans="1:1">
      <c r="A686" s="32"/>
    </row>
    <row r="687" spans="1:1">
      <c r="A687" s="32"/>
    </row>
    <row r="688" spans="1:1">
      <c r="A688" s="32"/>
    </row>
    <row r="689" spans="1:1">
      <c r="A689" s="32"/>
    </row>
    <row r="690" spans="1:1">
      <c r="A690" s="32"/>
    </row>
    <row r="691" spans="1:1">
      <c r="A691" s="32"/>
    </row>
    <row r="692" spans="1:1">
      <c r="A692" s="32"/>
    </row>
    <row r="693" spans="1:1">
      <c r="A693" s="32"/>
    </row>
    <row r="694" spans="1:1">
      <c r="A694" s="32"/>
    </row>
    <row r="695" spans="1:1">
      <c r="A695" s="32"/>
    </row>
    <row r="696" spans="1:1">
      <c r="A696" s="32"/>
    </row>
    <row r="697" spans="1:1">
      <c r="A697" s="32"/>
    </row>
    <row r="698" spans="1:1">
      <c r="A698" s="32"/>
    </row>
    <row r="699" spans="1:1">
      <c r="A699" s="32"/>
    </row>
    <row r="700" spans="1:1">
      <c r="A700" s="32"/>
    </row>
    <row r="701" spans="1:1">
      <c r="A701" s="32"/>
    </row>
    <row r="702" spans="1:1">
      <c r="A702" s="32"/>
    </row>
    <row r="703" spans="1:1">
      <c r="A703" s="32"/>
    </row>
    <row r="704" spans="1:1">
      <c r="A704" s="32"/>
    </row>
    <row r="705" spans="1:1">
      <c r="A705" s="32"/>
    </row>
    <row r="706" spans="1:1">
      <c r="A706" s="32"/>
    </row>
    <row r="707" spans="1:1">
      <c r="A707" s="32"/>
    </row>
    <row r="708" spans="1:1">
      <c r="A708" s="32"/>
    </row>
    <row r="709" spans="1:1">
      <c r="A709" s="32"/>
    </row>
    <row r="710" spans="1:1">
      <c r="A710" s="32"/>
    </row>
    <row r="711" spans="1:1">
      <c r="A711" s="32"/>
    </row>
    <row r="712" spans="1:1">
      <c r="A712" s="32"/>
    </row>
    <row r="713" spans="1:1">
      <c r="A713" s="32"/>
    </row>
    <row r="714" spans="1:1">
      <c r="A714" s="32"/>
    </row>
    <row r="715" spans="1:1">
      <c r="A715" s="32"/>
    </row>
    <row r="716" spans="1:1">
      <c r="A716" s="32"/>
    </row>
    <row r="717" spans="1:1">
      <c r="A717" s="32"/>
    </row>
    <row r="718" spans="1:1">
      <c r="A718" s="32"/>
    </row>
    <row r="719" spans="1:1">
      <c r="A719" s="32"/>
    </row>
    <row r="720" spans="1:1">
      <c r="A720" s="32"/>
    </row>
    <row r="721" spans="1:1">
      <c r="A721" s="32"/>
    </row>
    <row r="722" spans="1:1">
      <c r="A722" s="32"/>
    </row>
    <row r="723" spans="1:1">
      <c r="A723" s="32"/>
    </row>
    <row r="724" spans="1:1">
      <c r="A724" s="32"/>
    </row>
    <row r="725" spans="1:1">
      <c r="A725" s="32"/>
    </row>
    <row r="726" spans="1:1">
      <c r="A726" s="32"/>
    </row>
    <row r="727" spans="1:1">
      <c r="A727" s="32"/>
    </row>
    <row r="728" spans="1:1">
      <c r="A728" s="32"/>
    </row>
    <row r="729" spans="1:1">
      <c r="A729" s="32"/>
    </row>
    <row r="730" spans="1:1">
      <c r="A730" s="32"/>
    </row>
    <row r="731" spans="1:1">
      <c r="A731" s="32"/>
    </row>
    <row r="732" spans="1:1">
      <c r="A732" s="32"/>
    </row>
    <row r="733" spans="1:1">
      <c r="A733" s="32"/>
    </row>
    <row r="734" spans="1:1">
      <c r="A734" s="32"/>
    </row>
    <row r="735" spans="1:1">
      <c r="A735" s="32"/>
    </row>
    <row r="736" spans="1:1">
      <c r="A736" s="32"/>
    </row>
    <row r="737" spans="1:1">
      <c r="A737" s="32"/>
    </row>
    <row r="738" spans="1:1">
      <c r="A738" s="32"/>
    </row>
    <row r="739" spans="1:1">
      <c r="A739" s="32"/>
    </row>
    <row r="740" spans="1:1">
      <c r="A740" s="32"/>
    </row>
    <row r="741" spans="1:1">
      <c r="A741" s="32"/>
    </row>
    <row r="742" spans="1:1">
      <c r="A742" s="32"/>
    </row>
    <row r="743" spans="1:1">
      <c r="A743" s="32"/>
    </row>
    <row r="744" spans="1:1">
      <c r="A744" s="32"/>
    </row>
    <row r="745" spans="1:1">
      <c r="A745" s="32"/>
    </row>
    <row r="746" spans="1:1">
      <c r="A746" s="32"/>
    </row>
    <row r="747" spans="1:1">
      <c r="A747" s="32"/>
    </row>
    <row r="748" spans="1:1">
      <c r="A748" s="32"/>
    </row>
    <row r="749" spans="1:1">
      <c r="A749" s="32"/>
    </row>
    <row r="750" spans="1:1">
      <c r="A750" s="32"/>
    </row>
    <row r="751" spans="1:1">
      <c r="A751" s="32"/>
    </row>
    <row r="752" spans="1:1">
      <c r="A752" s="32"/>
    </row>
    <row r="753" spans="1:1">
      <c r="A753" s="32"/>
    </row>
    <row r="754" spans="1:1">
      <c r="A754" s="32"/>
    </row>
    <row r="755" spans="1:1">
      <c r="A755" s="32"/>
    </row>
    <row r="756" spans="1:1">
      <c r="A756" s="32"/>
    </row>
    <row r="757" spans="1:1">
      <c r="A757" s="32"/>
    </row>
    <row r="758" spans="1:1">
      <c r="A758" s="32"/>
    </row>
    <row r="759" spans="1:1">
      <c r="A759" s="32"/>
    </row>
    <row r="760" spans="1:1">
      <c r="A760" s="32"/>
    </row>
    <row r="761" spans="1:1">
      <c r="A761" s="32"/>
    </row>
    <row r="762" spans="1:1">
      <c r="A762" s="32"/>
    </row>
    <row r="763" spans="1:1">
      <c r="A763" s="32"/>
    </row>
    <row r="764" spans="1:1">
      <c r="A764" s="32"/>
    </row>
    <row r="765" spans="1:1">
      <c r="A765" s="32"/>
    </row>
    <row r="766" spans="1:1">
      <c r="A766" s="32"/>
    </row>
    <row r="767" spans="1:1">
      <c r="A767" s="32"/>
    </row>
    <row r="768" spans="1:1">
      <c r="A768" s="32"/>
    </row>
    <row r="769" spans="1:1">
      <c r="A769" s="32"/>
    </row>
    <row r="770" spans="1:1">
      <c r="A770" s="32"/>
    </row>
    <row r="771" spans="1:1">
      <c r="A771" s="32"/>
    </row>
    <row r="772" spans="1:1">
      <c r="A772" s="32"/>
    </row>
    <row r="773" spans="1:1">
      <c r="A773" s="32"/>
    </row>
    <row r="774" spans="1:1">
      <c r="A774" s="32"/>
    </row>
    <row r="775" spans="1:1">
      <c r="A775" s="32"/>
    </row>
    <row r="776" spans="1:1">
      <c r="A776" s="32"/>
    </row>
    <row r="777" spans="1:1">
      <c r="A777" s="32"/>
    </row>
    <row r="778" spans="1:1">
      <c r="A778" s="32"/>
    </row>
    <row r="779" spans="1:1">
      <c r="A779" s="32"/>
    </row>
    <row r="780" spans="1:1">
      <c r="A780" s="32"/>
    </row>
    <row r="781" spans="1:1">
      <c r="A781" s="32"/>
    </row>
    <row r="782" spans="1:1">
      <c r="A782" s="32"/>
    </row>
    <row r="783" spans="1:1">
      <c r="A783" s="32"/>
    </row>
    <row r="784" spans="1:1">
      <c r="A784" s="32"/>
    </row>
    <row r="785" spans="1:1">
      <c r="A785" s="32"/>
    </row>
    <row r="786" spans="1:1">
      <c r="A786" s="32"/>
    </row>
    <row r="787" spans="1:1">
      <c r="A787" s="32"/>
    </row>
    <row r="788" spans="1:1">
      <c r="A788" s="32"/>
    </row>
    <row r="789" spans="1:1">
      <c r="A789" s="32"/>
    </row>
    <row r="790" spans="1:1">
      <c r="A790" s="32"/>
    </row>
    <row r="791" spans="1:1">
      <c r="A791" s="32"/>
    </row>
    <row r="792" spans="1:1">
      <c r="A792" s="32"/>
    </row>
    <row r="793" spans="1:1">
      <c r="A793" s="32"/>
    </row>
    <row r="794" spans="1:1">
      <c r="A794" s="32"/>
    </row>
    <row r="795" spans="1:1">
      <c r="A795" s="32"/>
    </row>
    <row r="796" spans="1:1">
      <c r="A796" s="32"/>
    </row>
    <row r="797" spans="1:1">
      <c r="A797" s="32"/>
    </row>
    <row r="798" spans="1:1">
      <c r="A798" s="32"/>
    </row>
    <row r="799" spans="1:1">
      <c r="A799" s="32"/>
    </row>
    <row r="800" spans="1:1">
      <c r="A800" s="32"/>
    </row>
    <row r="801" spans="1:1">
      <c r="A801" s="32"/>
    </row>
    <row r="802" spans="1:1">
      <c r="A802" s="32"/>
    </row>
    <row r="803" spans="1:1">
      <c r="A803" s="32"/>
    </row>
    <row r="804" spans="1:1">
      <c r="A804" s="32"/>
    </row>
    <row r="805" spans="1:1">
      <c r="A805" s="32"/>
    </row>
    <row r="806" spans="1:1">
      <c r="A806" s="32"/>
    </row>
    <row r="807" spans="1:1">
      <c r="A807" s="32"/>
    </row>
    <row r="808" spans="1:1">
      <c r="A808" s="32"/>
    </row>
    <row r="809" spans="1:1">
      <c r="A809" s="32"/>
    </row>
    <row r="810" spans="1:1">
      <c r="A810" s="32"/>
    </row>
    <row r="811" spans="1:1">
      <c r="A811" s="32"/>
    </row>
    <row r="812" spans="1:1">
      <c r="A812" s="32"/>
    </row>
    <row r="813" spans="1:1">
      <c r="A813" s="32"/>
    </row>
    <row r="814" spans="1:1">
      <c r="A814" s="32"/>
    </row>
    <row r="815" spans="1:1">
      <c r="A815" s="32"/>
    </row>
    <row r="816" spans="1:1">
      <c r="A816" s="32"/>
    </row>
    <row r="817" spans="1:1">
      <c r="A817" s="32"/>
    </row>
    <row r="818" spans="1:1">
      <c r="A818" s="32"/>
    </row>
    <row r="819" spans="1:1">
      <c r="A819" s="32"/>
    </row>
    <row r="820" spans="1:1">
      <c r="A820" s="32"/>
    </row>
    <row r="821" spans="1:1">
      <c r="A821" s="32"/>
    </row>
    <row r="822" spans="1:1">
      <c r="A822" s="32"/>
    </row>
    <row r="823" spans="1:1">
      <c r="A823" s="32"/>
    </row>
    <row r="824" spans="1:1">
      <c r="A824" s="32"/>
    </row>
    <row r="825" spans="1:1">
      <c r="A825" s="32"/>
    </row>
    <row r="826" spans="1:1">
      <c r="A826" s="32"/>
    </row>
    <row r="827" spans="1:1">
      <c r="A827" s="32"/>
    </row>
    <row r="828" spans="1:1">
      <c r="A828" s="32"/>
    </row>
    <row r="829" spans="1:1">
      <c r="A829" s="32"/>
    </row>
    <row r="830" spans="1:1">
      <c r="A830" s="32"/>
    </row>
    <row r="831" spans="1:1">
      <c r="A831" s="32"/>
    </row>
    <row r="832" spans="1:1">
      <c r="A832" s="32"/>
    </row>
    <row r="833" spans="1:1">
      <c r="A833" s="32"/>
    </row>
    <row r="834" spans="1:1">
      <c r="A834" s="32"/>
    </row>
    <row r="835" spans="1:1">
      <c r="A835" s="32"/>
    </row>
    <row r="836" spans="1:1">
      <c r="A836" s="32"/>
    </row>
    <row r="837" spans="1:1">
      <c r="A837" s="32"/>
    </row>
    <row r="838" spans="1:1">
      <c r="A838" s="32"/>
    </row>
    <row r="839" spans="1:1">
      <c r="A839" s="32"/>
    </row>
    <row r="840" spans="1:1">
      <c r="A840" s="32"/>
    </row>
    <row r="841" spans="1:1">
      <c r="A841" s="32"/>
    </row>
    <row r="842" spans="1:1">
      <c r="A842" s="32"/>
    </row>
    <row r="843" spans="1:1">
      <c r="A843" s="32"/>
    </row>
    <row r="844" spans="1:1">
      <c r="A844" s="32"/>
    </row>
    <row r="845" spans="1:1">
      <c r="A845" s="32"/>
    </row>
    <row r="846" spans="1:1">
      <c r="A846" s="32"/>
    </row>
    <row r="847" spans="1:1">
      <c r="A847" s="32"/>
    </row>
    <row r="848" spans="1:1">
      <c r="A848" s="32"/>
    </row>
    <row r="849" spans="1:1">
      <c r="A849" s="32"/>
    </row>
    <row r="850" spans="1:1">
      <c r="A850" s="32"/>
    </row>
    <row r="851" spans="1:1">
      <c r="A851" s="32"/>
    </row>
    <row r="852" spans="1:1">
      <c r="A852" s="32"/>
    </row>
    <row r="853" spans="1:1">
      <c r="A853" s="32"/>
    </row>
    <row r="854" spans="1:1">
      <c r="A854" s="32"/>
    </row>
    <row r="855" spans="1:1">
      <c r="A855" s="32"/>
    </row>
    <row r="856" spans="1:1">
      <c r="A856" s="32"/>
    </row>
    <row r="857" spans="1:1">
      <c r="A857" s="32"/>
    </row>
    <row r="858" spans="1:1">
      <c r="A858" s="32"/>
    </row>
    <row r="859" spans="1:1">
      <c r="A859" s="32"/>
    </row>
    <row r="860" spans="1:1">
      <c r="A860" s="32"/>
    </row>
    <row r="861" spans="1:1">
      <c r="A861" s="32"/>
    </row>
    <row r="862" spans="1:1">
      <c r="A862" s="32"/>
    </row>
    <row r="863" spans="1:1">
      <c r="A863" s="32"/>
    </row>
    <row r="864" spans="1:1">
      <c r="A864" s="32"/>
    </row>
    <row r="865" spans="1:1">
      <c r="A865" s="32"/>
    </row>
    <row r="866" spans="1:1">
      <c r="A866" s="32"/>
    </row>
    <row r="867" spans="1:1">
      <c r="A867" s="32"/>
    </row>
    <row r="868" spans="1:1">
      <c r="A868" s="32"/>
    </row>
    <row r="869" spans="1:1">
      <c r="A869" s="32"/>
    </row>
    <row r="870" spans="1:1">
      <c r="A870" s="32"/>
    </row>
    <row r="871" spans="1:1">
      <c r="A871" s="32"/>
    </row>
    <row r="872" spans="1:1">
      <c r="A872" s="32"/>
    </row>
    <row r="873" spans="1:1">
      <c r="A873" s="32"/>
    </row>
    <row r="874" spans="1:1">
      <c r="A874" s="32"/>
    </row>
    <row r="875" spans="1:1">
      <c r="A875" s="32"/>
    </row>
    <row r="876" spans="1:1">
      <c r="A876" s="32"/>
    </row>
    <row r="877" spans="1:1">
      <c r="A877" s="32"/>
    </row>
    <row r="878" spans="1:1">
      <c r="A878" s="32"/>
    </row>
    <row r="879" spans="1:1">
      <c r="A879" s="32"/>
    </row>
    <row r="880" spans="1:1">
      <c r="A880" s="32"/>
    </row>
    <row r="881" spans="1:1">
      <c r="A881" s="32"/>
    </row>
    <row r="882" spans="1:1">
      <c r="A882" s="32"/>
    </row>
    <row r="883" spans="1:1">
      <c r="A883" s="32"/>
    </row>
    <row r="884" spans="1:1">
      <c r="A884" s="32"/>
    </row>
    <row r="885" spans="1:1">
      <c r="A885" s="32"/>
    </row>
    <row r="886" spans="1:1">
      <c r="A886" s="32"/>
    </row>
    <row r="887" spans="1:1">
      <c r="A887" s="32"/>
    </row>
    <row r="888" spans="1:1">
      <c r="A888" s="32"/>
    </row>
    <row r="889" spans="1:1">
      <c r="A889" s="32"/>
    </row>
    <row r="890" spans="1:1">
      <c r="A890" s="32"/>
    </row>
    <row r="891" spans="1:1">
      <c r="A891" s="32"/>
    </row>
    <row r="892" spans="1:1">
      <c r="A892" s="32"/>
    </row>
    <row r="893" spans="1:1">
      <c r="A893" s="32"/>
    </row>
    <row r="894" spans="1:1">
      <c r="A894" s="32"/>
    </row>
    <row r="895" spans="1:1">
      <c r="A895" s="32"/>
    </row>
    <row r="896" spans="1:1">
      <c r="A896" s="32"/>
    </row>
    <row r="897" spans="1:1">
      <c r="A897" s="32"/>
    </row>
    <row r="898" spans="1:1">
      <c r="A898" s="32"/>
    </row>
    <row r="899" spans="1:1">
      <c r="A899" s="32"/>
    </row>
    <row r="900" spans="1:1">
      <c r="A900" s="32"/>
    </row>
    <row r="901" spans="1:1">
      <c r="A901" s="32"/>
    </row>
    <row r="902" spans="1:1">
      <c r="A902" s="32"/>
    </row>
    <row r="903" spans="1:1">
      <c r="A903" s="32"/>
    </row>
    <row r="904" spans="1:1">
      <c r="A904" s="32"/>
    </row>
    <row r="905" spans="1:1">
      <c r="A905" s="32"/>
    </row>
    <row r="906" spans="1:1">
      <c r="A906" s="32"/>
    </row>
    <row r="907" spans="1:1">
      <c r="A907" s="32"/>
    </row>
    <row r="908" spans="1:1">
      <c r="A908" s="32"/>
    </row>
    <row r="909" spans="1:1">
      <c r="A909" s="32"/>
    </row>
    <row r="910" spans="1:1">
      <c r="A910" s="32"/>
    </row>
    <row r="911" spans="1:1">
      <c r="A911" s="32"/>
    </row>
    <row r="912" spans="1:1">
      <c r="A912" s="32"/>
    </row>
    <row r="913" spans="1:1">
      <c r="A913" s="32"/>
    </row>
    <row r="914" spans="1:1">
      <c r="A914" s="32"/>
    </row>
    <row r="915" spans="1:1">
      <c r="A915" s="32"/>
    </row>
    <row r="916" spans="1:1">
      <c r="A916" s="32"/>
    </row>
    <row r="917" spans="1:1">
      <c r="A917" s="32"/>
    </row>
    <row r="918" spans="1:1">
      <c r="A918" s="32"/>
    </row>
    <row r="919" spans="1:1">
      <c r="A919" s="32"/>
    </row>
    <row r="920" spans="1:1">
      <c r="A920" s="32"/>
    </row>
    <row r="921" spans="1:1">
      <c r="A921" s="32"/>
    </row>
    <row r="922" spans="1:1">
      <c r="A922" s="32"/>
    </row>
    <row r="923" spans="1:1">
      <c r="A923" s="32"/>
    </row>
    <row r="924" spans="1:1">
      <c r="A924" s="32"/>
    </row>
    <row r="925" spans="1:1">
      <c r="A925" s="32"/>
    </row>
    <row r="926" spans="1:1">
      <c r="A926" s="32"/>
    </row>
    <row r="927" spans="1:1">
      <c r="A927" s="32"/>
    </row>
    <row r="928" spans="1:1">
      <c r="A928" s="32"/>
    </row>
    <row r="929" spans="1:1">
      <c r="A929" s="32"/>
    </row>
    <row r="930" spans="1:1">
      <c r="A930" s="32"/>
    </row>
    <row r="931" spans="1:1">
      <c r="A931" s="32"/>
    </row>
    <row r="932" spans="1:1">
      <c r="A932" s="32"/>
    </row>
    <row r="933" spans="1:1">
      <c r="A933" s="32"/>
    </row>
    <row r="934" spans="1:1">
      <c r="A934" s="32"/>
    </row>
    <row r="935" spans="1:1">
      <c r="A935" s="32"/>
    </row>
    <row r="936" spans="1:1">
      <c r="A936" s="32"/>
    </row>
    <row r="937" spans="1:1">
      <c r="A937" s="32"/>
    </row>
    <row r="938" spans="1:1">
      <c r="A938" s="32"/>
    </row>
    <row r="939" spans="1:1">
      <c r="A939" s="32"/>
    </row>
    <row r="940" spans="1:1">
      <c r="A940" s="32"/>
    </row>
    <row r="941" spans="1:1">
      <c r="A941" s="32"/>
    </row>
    <row r="942" spans="1:1">
      <c r="A942" s="32"/>
    </row>
    <row r="943" spans="1:1">
      <c r="A943" s="32"/>
    </row>
    <row r="944" spans="1:1">
      <c r="A944" s="32"/>
    </row>
    <row r="945" spans="1:1">
      <c r="A945" s="32"/>
    </row>
    <row r="946" spans="1:1">
      <c r="A946" s="32"/>
    </row>
    <row r="947" spans="1:1">
      <c r="A947" s="32"/>
    </row>
    <row r="948" spans="1:1">
      <c r="A948" s="32"/>
    </row>
    <row r="949" spans="1:1">
      <c r="A949" s="32"/>
    </row>
    <row r="950" spans="1:1">
      <c r="A950" s="32"/>
    </row>
    <row r="951" spans="1:1">
      <c r="A951" s="32"/>
    </row>
    <row r="952" spans="1:1">
      <c r="A952" s="32"/>
    </row>
    <row r="953" spans="1:1">
      <c r="A953" s="32"/>
    </row>
    <row r="954" spans="1:1">
      <c r="A954" s="32"/>
    </row>
    <row r="955" spans="1:1">
      <c r="A955" s="32"/>
    </row>
    <row r="956" spans="1:1">
      <c r="A956" s="32"/>
    </row>
    <row r="957" spans="1:1">
      <c r="A957" s="32"/>
    </row>
    <row r="958" spans="1:1">
      <c r="A958" s="32"/>
    </row>
    <row r="959" spans="1:1">
      <c r="A959" s="32"/>
    </row>
    <row r="960" spans="1:1">
      <c r="A960" s="32"/>
    </row>
    <row r="961" spans="1:1">
      <c r="A961" s="32"/>
    </row>
    <row r="962" spans="1:1">
      <c r="A962" s="32"/>
    </row>
    <row r="963" spans="1:1">
      <c r="A963" s="32"/>
    </row>
    <row r="964" spans="1:1">
      <c r="A964" s="32"/>
    </row>
    <row r="965" spans="1:1">
      <c r="A965" s="32"/>
    </row>
    <row r="966" spans="1:1">
      <c r="A966" s="32"/>
    </row>
    <row r="967" spans="1:1">
      <c r="A967" s="32"/>
    </row>
    <row r="968" spans="1:1">
      <c r="A968" s="32"/>
    </row>
    <row r="969" spans="1:1">
      <c r="A969" s="32"/>
    </row>
    <row r="970" spans="1:1">
      <c r="A970" s="32"/>
    </row>
    <row r="971" spans="1:1">
      <c r="A971" s="32"/>
    </row>
    <row r="972" spans="1:1">
      <c r="A972" s="32"/>
    </row>
    <row r="973" spans="1:1">
      <c r="A973" s="32"/>
    </row>
    <row r="974" spans="1:1">
      <c r="A974" s="32"/>
    </row>
    <row r="975" spans="1:1">
      <c r="A975" s="32"/>
    </row>
    <row r="976" spans="1:1">
      <c r="A976" s="32"/>
    </row>
    <row r="977" spans="1:1">
      <c r="A977" s="32"/>
    </row>
    <row r="978" spans="1:1">
      <c r="A978" s="32"/>
    </row>
    <row r="979" spans="1:1">
      <c r="A979" s="32"/>
    </row>
    <row r="980" spans="1:1">
      <c r="A980" s="32"/>
    </row>
    <row r="981" spans="1:1">
      <c r="A981" s="32"/>
    </row>
    <row r="982" spans="1:1">
      <c r="A982" s="32"/>
    </row>
    <row r="983" spans="1:1">
      <c r="A983" s="32"/>
    </row>
    <row r="984" spans="1:1">
      <c r="A984" s="32"/>
    </row>
    <row r="985" spans="1:1">
      <c r="A985" s="32"/>
    </row>
    <row r="986" spans="1:1">
      <c r="A986" s="32"/>
    </row>
    <row r="987" spans="1:1">
      <c r="A987" s="32"/>
    </row>
    <row r="988" spans="1:1">
      <c r="A988" s="32"/>
    </row>
    <row r="989" spans="1:1">
      <c r="A989" s="32"/>
    </row>
    <row r="990" spans="1:1">
      <c r="A990" s="32"/>
    </row>
    <row r="991" spans="1:1">
      <c r="A991" s="32"/>
    </row>
    <row r="992" spans="1:1">
      <c r="A992" s="32"/>
    </row>
    <row r="993" spans="1:1">
      <c r="A993" s="32"/>
    </row>
    <row r="994" spans="1:1">
      <c r="A994" s="32"/>
    </row>
    <row r="995" spans="1:1">
      <c r="A995" s="32"/>
    </row>
    <row r="996" spans="1:1">
      <c r="A996" s="32"/>
    </row>
    <row r="997" spans="1:1">
      <c r="A997" s="32"/>
    </row>
    <row r="998" spans="1:1">
      <c r="A998" s="32"/>
    </row>
    <row r="999" spans="1:1">
      <c r="A999" s="32"/>
    </row>
    <row r="1000" spans="1:1">
      <c r="A1000" s="32"/>
    </row>
    <row r="1001" spans="1:1">
      <c r="A1001" s="32"/>
    </row>
    <row r="1002" spans="1:1">
      <c r="A1002" s="32"/>
    </row>
    <row r="1003" spans="1:1">
      <c r="A1003" s="32"/>
    </row>
    <row r="1004" spans="1:1">
      <c r="A1004" s="32"/>
    </row>
    <row r="1005" spans="1:1">
      <c r="A1005" s="32"/>
    </row>
    <row r="1006" spans="1:1">
      <c r="A1006" s="32"/>
    </row>
    <row r="1007" spans="1:1">
      <c r="A1007" s="32"/>
    </row>
    <row r="1008" spans="1:1">
      <c r="A1008" s="32"/>
    </row>
    <row r="1009" spans="1:1">
      <c r="A1009" s="32"/>
    </row>
    <row r="1010" spans="1:1">
      <c r="A1010" s="32"/>
    </row>
    <row r="1011" spans="1:1">
      <c r="A1011" s="32"/>
    </row>
    <row r="1012" spans="1:1">
      <c r="A1012" s="32"/>
    </row>
    <row r="1013" spans="1:1">
      <c r="A1013" s="32"/>
    </row>
    <row r="1014" spans="1:1">
      <c r="A1014" s="32"/>
    </row>
    <row r="1015" spans="1:1">
      <c r="A1015" s="32"/>
    </row>
    <row r="1016" spans="1:1">
      <c r="A1016" s="32"/>
    </row>
    <row r="1017" spans="1:1">
      <c r="A1017" s="32"/>
    </row>
    <row r="1018" spans="1:1">
      <c r="A1018" s="32"/>
    </row>
    <row r="1019" spans="1:1">
      <c r="A1019" s="32"/>
    </row>
    <row r="1020" spans="1:1">
      <c r="A1020" s="32"/>
    </row>
    <row r="1021" spans="1:1">
      <c r="A1021" s="32"/>
    </row>
    <row r="1022" spans="1:1">
      <c r="A1022" s="32"/>
    </row>
    <row r="1023" spans="1:1">
      <c r="A1023" s="32"/>
    </row>
    <row r="1024" spans="1:1">
      <c r="A1024" s="32"/>
    </row>
    <row r="1025" spans="1:1">
      <c r="A1025" s="32"/>
    </row>
    <row r="1026" spans="1:1">
      <c r="A1026" s="32"/>
    </row>
    <row r="1027" spans="1:1">
      <c r="A1027" s="32"/>
    </row>
    <row r="1028" spans="1:1">
      <c r="A1028" s="32"/>
    </row>
    <row r="1029" spans="1:1">
      <c r="A1029" s="32"/>
    </row>
    <row r="1030" spans="1:1">
      <c r="A1030" s="32"/>
    </row>
    <row r="1031" spans="1:1">
      <c r="A1031" s="32"/>
    </row>
    <row r="1032" spans="1:1">
      <c r="A1032" s="32"/>
    </row>
    <row r="1033" spans="1:1">
      <c r="A1033" s="32"/>
    </row>
    <row r="1034" spans="1:1">
      <c r="A1034" s="32"/>
    </row>
    <row r="1035" spans="1:1">
      <c r="A1035" s="32"/>
    </row>
    <row r="1036" spans="1:1">
      <c r="A1036" s="32"/>
    </row>
    <row r="1037" spans="1:1">
      <c r="A1037" s="32"/>
    </row>
    <row r="1038" spans="1:1">
      <c r="A1038" s="32"/>
    </row>
    <row r="1039" spans="1:1">
      <c r="A1039" s="32"/>
    </row>
    <row r="1040" spans="1:1">
      <c r="A1040" s="32"/>
    </row>
    <row r="1041" spans="1:1">
      <c r="A1041" s="32"/>
    </row>
    <row r="1042" spans="1:1">
      <c r="A1042" s="32"/>
    </row>
    <row r="1043" spans="1:1">
      <c r="A1043" s="32"/>
    </row>
    <row r="1044" spans="1:1">
      <c r="A1044" s="32"/>
    </row>
    <row r="1045" spans="1:1">
      <c r="A1045" s="32"/>
    </row>
    <row r="1046" spans="1:1">
      <c r="A1046" s="32"/>
    </row>
    <row r="1047" spans="1:1">
      <c r="A1047" s="32"/>
    </row>
    <row r="1048" spans="1:1">
      <c r="A1048" s="32"/>
    </row>
    <row r="1049" spans="1:1">
      <c r="A1049" s="32"/>
    </row>
    <row r="1050" spans="1:1">
      <c r="A1050" s="32"/>
    </row>
    <row r="1051" spans="1:1">
      <c r="A1051" s="32"/>
    </row>
    <row r="1052" spans="1:1">
      <c r="A1052" s="32"/>
    </row>
    <row r="1053" spans="1:1">
      <c r="A1053" s="32"/>
    </row>
    <row r="1054" spans="1:1">
      <c r="A1054" s="32"/>
    </row>
    <row r="1055" spans="1:1">
      <c r="A1055" s="32"/>
    </row>
    <row r="1056" spans="1:1">
      <c r="A1056" s="32"/>
    </row>
    <row r="1057" spans="1:1">
      <c r="A1057" s="32"/>
    </row>
    <row r="1058" spans="1:1">
      <c r="A1058" s="32"/>
    </row>
    <row r="1059" spans="1:1">
      <c r="A1059" s="32"/>
    </row>
    <row r="1060" spans="1:1">
      <c r="A1060" s="32"/>
    </row>
    <row r="1061" spans="1:1">
      <c r="A1061" s="32"/>
    </row>
    <row r="1062" spans="1:1">
      <c r="A1062" s="32"/>
    </row>
    <row r="1063" spans="1:1">
      <c r="A1063" s="32"/>
    </row>
    <row r="1064" spans="1:1">
      <c r="A1064" s="32"/>
    </row>
    <row r="1065" spans="1:1">
      <c r="A1065" s="32"/>
    </row>
    <row r="1066" spans="1:1">
      <c r="A1066" s="32"/>
    </row>
    <row r="1067" spans="1:1">
      <c r="A1067" s="32"/>
    </row>
    <row r="1068" spans="1:1">
      <c r="A1068" s="32"/>
    </row>
    <row r="1069" spans="1:1">
      <c r="A1069" s="32"/>
    </row>
    <row r="1070" spans="1:1">
      <c r="A1070" s="32"/>
    </row>
    <row r="1071" spans="1:1">
      <c r="A1071" s="32"/>
    </row>
    <row r="1072" spans="1:1">
      <c r="A1072" s="32"/>
    </row>
    <row r="1073" spans="1:1">
      <c r="A1073" s="32"/>
    </row>
    <row r="1074" spans="1:1">
      <c r="A1074" s="32"/>
    </row>
    <row r="1075" spans="1:1">
      <c r="A1075" s="32"/>
    </row>
    <row r="1076" spans="1:1">
      <c r="A1076" s="32"/>
    </row>
    <row r="1077" spans="1:1">
      <c r="A1077" s="32"/>
    </row>
    <row r="1078" spans="1:1">
      <c r="A1078" s="32"/>
    </row>
    <row r="1079" spans="1:1">
      <c r="A1079" s="32"/>
    </row>
    <row r="1080" spans="1:1">
      <c r="A1080" s="32"/>
    </row>
    <row r="1081" spans="1:1">
      <c r="A1081" s="32"/>
    </row>
    <row r="1082" spans="1:1">
      <c r="A1082" s="32"/>
    </row>
    <row r="1083" spans="1:1">
      <c r="A1083" s="32"/>
    </row>
    <row r="1084" spans="1:1">
      <c r="A1084" s="32"/>
    </row>
    <row r="1085" spans="1:1">
      <c r="A1085" s="32"/>
    </row>
    <row r="1086" spans="1:1">
      <c r="A1086" s="32"/>
    </row>
    <row r="1087" spans="1:1">
      <c r="A1087" s="32"/>
    </row>
    <row r="1088" spans="1:1">
      <c r="A1088" s="32"/>
    </row>
    <row r="1089" spans="1:1">
      <c r="A1089" s="32"/>
    </row>
    <row r="1090" spans="1:1">
      <c r="A1090" s="32"/>
    </row>
    <row r="1091" spans="1:1">
      <c r="A1091" s="32"/>
    </row>
    <row r="1092" spans="1:1">
      <c r="A1092" s="32"/>
    </row>
    <row r="1093" spans="1:1">
      <c r="A1093" s="32"/>
    </row>
    <row r="1094" spans="1:1">
      <c r="A1094" s="32"/>
    </row>
    <row r="1095" spans="1:1">
      <c r="A1095" s="32"/>
    </row>
    <row r="1096" spans="1:1">
      <c r="A1096" s="32"/>
    </row>
    <row r="1097" spans="1:1">
      <c r="A1097" s="32"/>
    </row>
    <row r="1098" spans="1:1">
      <c r="A1098" s="32"/>
    </row>
    <row r="1099" spans="1:1">
      <c r="A1099" s="32"/>
    </row>
    <row r="1100" spans="1:1">
      <c r="A1100" s="32"/>
    </row>
    <row r="1101" spans="1:1">
      <c r="A1101" s="32"/>
    </row>
    <row r="1102" spans="1:1">
      <c r="A1102" s="32"/>
    </row>
    <row r="1103" spans="1:1">
      <c r="A1103" s="32"/>
    </row>
    <row r="1104" spans="1:1">
      <c r="A1104" s="32"/>
    </row>
    <row r="1105" spans="1:4">
      <c r="A1105" s="32"/>
    </row>
    <row r="1106" spans="1:4">
      <c r="A1106" s="32"/>
    </row>
    <row r="1107" spans="1:4">
      <c r="A1107" s="32"/>
    </row>
    <row r="1108" spans="1:4">
      <c r="A1108" s="32"/>
    </row>
    <row r="1109" spans="1:4">
      <c r="A1109" s="32"/>
    </row>
    <row r="1110" spans="1:4">
      <c r="A1110" s="32"/>
      <c r="D1110" s="19"/>
    </row>
    <row r="1111" spans="1:4">
      <c r="A1111" s="32"/>
    </row>
    <row r="1112" spans="1:4">
      <c r="A1112" s="32"/>
    </row>
    <row r="1113" spans="1:4">
      <c r="A1113" s="32"/>
    </row>
    <row r="1114" spans="1:4">
      <c r="A1114" s="32"/>
    </row>
    <row r="1115" spans="1:4">
      <c r="A1115" s="32"/>
    </row>
    <row r="1116" spans="1:4">
      <c r="A1116" s="32"/>
    </row>
    <row r="1117" spans="1:4">
      <c r="A1117" s="32"/>
    </row>
    <row r="1118" spans="1:4">
      <c r="A1118" s="32"/>
    </row>
    <row r="1119" spans="1:4">
      <c r="A1119" s="32"/>
    </row>
    <row r="1120" spans="1:4">
      <c r="A1120" s="32"/>
    </row>
    <row r="1121" spans="1:1">
      <c r="A1121" s="32"/>
    </row>
    <row r="1122" spans="1:1">
      <c r="A1122" s="32"/>
    </row>
    <row r="1123" spans="1:1">
      <c r="A1123" s="32"/>
    </row>
    <row r="1124" spans="1:1">
      <c r="A1124" s="32"/>
    </row>
    <row r="1125" spans="1:1">
      <c r="A1125" s="32"/>
    </row>
    <row r="1126" spans="1:1">
      <c r="A1126" s="32"/>
    </row>
    <row r="1127" spans="1:1">
      <c r="A1127" s="32"/>
    </row>
    <row r="1128" spans="1:1">
      <c r="A1128" s="32"/>
    </row>
    <row r="1129" spans="1:1">
      <c r="A1129" s="32"/>
    </row>
    <row r="1130" spans="1:1">
      <c r="A1130" s="32"/>
    </row>
    <row r="1131" spans="1:1">
      <c r="A1131" s="32"/>
    </row>
    <row r="1132" spans="1:1">
      <c r="A1132" s="32"/>
    </row>
    <row r="1133" spans="1:1">
      <c r="A1133" s="32"/>
    </row>
    <row r="1134" spans="1:1">
      <c r="A1134" s="32"/>
    </row>
    <row r="1135" spans="1:1">
      <c r="A1135" s="32"/>
    </row>
    <row r="1136" spans="1:1">
      <c r="A1136" s="32"/>
    </row>
    <row r="1137" spans="1:1">
      <c r="A1137" s="32"/>
    </row>
    <row r="1138" spans="1:1">
      <c r="A1138" s="32"/>
    </row>
    <row r="1139" spans="1:1">
      <c r="A1139" s="32"/>
    </row>
    <row r="1140" spans="1:1">
      <c r="A1140" s="32"/>
    </row>
    <row r="1141" spans="1:1">
      <c r="A1141" s="32"/>
    </row>
    <row r="1142" spans="1:1">
      <c r="A1142" s="32"/>
    </row>
    <row r="1143" spans="1:1">
      <c r="A1143" s="32"/>
    </row>
    <row r="1144" spans="1:1">
      <c r="A1144" s="32"/>
    </row>
    <row r="1145" spans="1:1">
      <c r="A1145" s="32"/>
    </row>
    <row r="1146" spans="1:1">
      <c r="A1146" s="32"/>
    </row>
    <row r="1147" spans="1:1">
      <c r="A1147" s="32"/>
    </row>
    <row r="1148" spans="1:1">
      <c r="A1148" s="32"/>
    </row>
    <row r="1149" spans="1:1">
      <c r="A1149" s="32"/>
    </row>
    <row r="1150" spans="1:1">
      <c r="A1150" s="32"/>
    </row>
    <row r="1151" spans="1:1">
      <c r="A1151" s="32"/>
    </row>
    <row r="1152" spans="1:1">
      <c r="A1152" s="32"/>
    </row>
    <row r="1153" spans="1:1">
      <c r="A1153" s="32"/>
    </row>
    <row r="1154" spans="1:1">
      <c r="A1154" s="32"/>
    </row>
    <row r="1155" spans="1:1">
      <c r="A1155" s="32"/>
    </row>
    <row r="1156" spans="1:1">
      <c r="A1156" s="32"/>
    </row>
    <row r="1157" spans="1:1">
      <c r="A1157" s="32"/>
    </row>
    <row r="1158" spans="1:1">
      <c r="A1158" s="32"/>
    </row>
    <row r="1159" spans="1:1">
      <c r="A1159" s="32"/>
    </row>
    <row r="1160" spans="1:1">
      <c r="A1160" s="32"/>
    </row>
    <row r="1161" spans="1:1">
      <c r="A1161" s="32"/>
    </row>
    <row r="1162" spans="1:1">
      <c r="A1162" s="32"/>
    </row>
    <row r="1163" spans="1:1">
      <c r="A1163" s="32"/>
    </row>
    <row r="1164" spans="1:1">
      <c r="A1164" s="32"/>
    </row>
    <row r="1165" spans="1:1">
      <c r="A1165" s="32"/>
    </row>
    <row r="1166" spans="1:1">
      <c r="A1166" s="32"/>
    </row>
    <row r="1167" spans="1:1">
      <c r="A1167" s="32"/>
    </row>
    <row r="1168" spans="1:1">
      <c r="A1168" s="32"/>
    </row>
    <row r="1169" spans="1:1">
      <c r="A1169" s="32"/>
    </row>
    <row r="1170" spans="1:1">
      <c r="A1170" s="32"/>
    </row>
    <row r="1171" spans="1:1">
      <c r="A1171" s="32"/>
    </row>
    <row r="1172" spans="1:1">
      <c r="A1172" s="32"/>
    </row>
    <row r="1173" spans="1:1">
      <c r="A1173" s="32"/>
    </row>
    <row r="1174" spans="1:1">
      <c r="A1174" s="32"/>
    </row>
    <row r="1175" spans="1:1">
      <c r="A1175" s="32"/>
    </row>
    <row r="1176" spans="1:1">
      <c r="A1176" s="32"/>
    </row>
    <row r="1177" spans="1:1">
      <c r="A1177" s="32"/>
    </row>
    <row r="1178" spans="1:1">
      <c r="A1178" s="32"/>
    </row>
    <row r="1179" spans="1:1">
      <c r="A1179" s="32"/>
    </row>
    <row r="1180" spans="1:1">
      <c r="A1180" s="32"/>
    </row>
    <row r="1181" spans="1:1">
      <c r="A1181" s="32"/>
    </row>
    <row r="1182" spans="1:1">
      <c r="A1182" s="32"/>
    </row>
    <row r="1183" spans="1:1">
      <c r="A1183" s="32"/>
    </row>
    <row r="1184" spans="1:1">
      <c r="A1184" s="32"/>
    </row>
    <row r="1185" spans="1:1">
      <c r="A1185" s="32"/>
    </row>
    <row r="1186" spans="1:1">
      <c r="A1186" s="32"/>
    </row>
    <row r="1187" spans="1:1">
      <c r="A1187" s="32"/>
    </row>
    <row r="1188" spans="1:1">
      <c r="A1188" s="32"/>
    </row>
    <row r="1189" spans="1:1">
      <c r="A1189" s="32"/>
    </row>
    <row r="1190" spans="1:1">
      <c r="A1190" s="32"/>
    </row>
    <row r="1191" spans="1:1">
      <c r="A1191" s="32"/>
    </row>
    <row r="1192" spans="1:1">
      <c r="A1192" s="32"/>
    </row>
    <row r="1193" spans="1:1">
      <c r="A1193" s="32"/>
    </row>
    <row r="1194" spans="1:1">
      <c r="A1194" s="32"/>
    </row>
    <row r="1195" spans="1:1">
      <c r="A1195" s="32"/>
    </row>
    <row r="1196" spans="1:1">
      <c r="A1196" s="32"/>
    </row>
    <row r="1197" spans="1:1">
      <c r="A1197" s="32"/>
    </row>
    <row r="1198" spans="1:1">
      <c r="A1198" s="32"/>
    </row>
    <row r="1199" spans="1:1">
      <c r="A1199" s="32"/>
    </row>
    <row r="1200" spans="1:1">
      <c r="A1200" s="32"/>
    </row>
    <row r="1201" spans="1:1">
      <c r="A1201" s="32"/>
    </row>
    <row r="1202" spans="1:1">
      <c r="A1202" s="32"/>
    </row>
    <row r="1203" spans="1:1">
      <c r="A1203" s="32"/>
    </row>
    <row r="1204" spans="1:1">
      <c r="A1204" s="32"/>
    </row>
    <row r="1205" spans="1:1">
      <c r="A1205" s="32"/>
    </row>
    <row r="1206" spans="1:1">
      <c r="A1206" s="32"/>
    </row>
    <row r="1207" spans="1:1">
      <c r="A1207" s="32"/>
    </row>
    <row r="1208" spans="1:1">
      <c r="A1208" s="32"/>
    </row>
    <row r="1209" spans="1:1">
      <c r="A1209" s="32"/>
    </row>
    <row r="1210" spans="1:1">
      <c r="A1210" s="32"/>
    </row>
    <row r="1211" spans="1:1">
      <c r="A1211" s="32"/>
    </row>
    <row r="1212" spans="1:1">
      <c r="A1212" s="32"/>
    </row>
    <row r="1213" spans="1:1">
      <c r="A1213" s="32"/>
    </row>
    <row r="1214" spans="1:1">
      <c r="A1214" s="32"/>
    </row>
    <row r="1215" spans="1:1">
      <c r="A1215" s="32"/>
    </row>
    <row r="1216" spans="1:1">
      <c r="A1216" s="32"/>
    </row>
    <row r="1217" spans="1:1">
      <c r="A1217" s="32"/>
    </row>
    <row r="1218" spans="1:1">
      <c r="A1218" s="32"/>
    </row>
    <row r="1219" spans="1:1">
      <c r="A1219" s="32"/>
    </row>
    <row r="1220" spans="1:1">
      <c r="A1220" s="32"/>
    </row>
    <row r="1221" spans="1:1">
      <c r="A1221" s="32"/>
    </row>
    <row r="1222" spans="1:1">
      <c r="A1222" s="32"/>
    </row>
    <row r="1223" spans="1:1">
      <c r="A1223" s="32"/>
    </row>
    <row r="1224" spans="1:1">
      <c r="A1224" s="32"/>
    </row>
    <row r="1225" spans="1:1">
      <c r="A1225" s="32"/>
    </row>
    <row r="1226" spans="1:1">
      <c r="A1226" s="32"/>
    </row>
    <row r="1227" spans="1:1">
      <c r="A1227" s="32"/>
    </row>
    <row r="1228" spans="1:1">
      <c r="A1228" s="32"/>
    </row>
    <row r="1229" spans="1:1">
      <c r="A1229" s="32"/>
    </row>
    <row r="1230" spans="1:1">
      <c r="A1230" s="32"/>
    </row>
    <row r="1231" spans="1:1">
      <c r="A1231" s="32"/>
    </row>
    <row r="1232" spans="1:1">
      <c r="A1232" s="32"/>
    </row>
    <row r="1233" spans="1:1">
      <c r="A1233" s="32"/>
    </row>
    <row r="1234" spans="1:1">
      <c r="A1234" s="32"/>
    </row>
    <row r="1235" spans="1:1">
      <c r="A1235" s="32"/>
    </row>
    <row r="1236" spans="1:1">
      <c r="A1236" s="32"/>
    </row>
    <row r="1237" spans="1:1">
      <c r="A1237" s="32"/>
    </row>
    <row r="1238" spans="1:1">
      <c r="A1238" s="32"/>
    </row>
    <row r="1239" spans="1:1">
      <c r="A1239" s="32"/>
    </row>
    <row r="1240" spans="1:1">
      <c r="A1240" s="32"/>
    </row>
    <row r="1241" spans="1:1">
      <c r="A1241" s="32"/>
    </row>
    <row r="1242" spans="1:1">
      <c r="A1242" s="32"/>
    </row>
    <row r="1243" spans="1:1">
      <c r="A1243" s="32"/>
    </row>
    <row r="1244" spans="1:1">
      <c r="A1244" s="32"/>
    </row>
    <row r="1245" spans="1:1">
      <c r="A1245" s="32"/>
    </row>
    <row r="1246" spans="1:1">
      <c r="A1246" s="32"/>
    </row>
    <row r="1247" spans="1:1">
      <c r="A1247" s="32"/>
    </row>
    <row r="1248" spans="1:1">
      <c r="A1248" s="32"/>
    </row>
    <row r="1249" spans="1:1">
      <c r="A1249" s="32"/>
    </row>
    <row r="1250" spans="1:1">
      <c r="A1250" s="32"/>
    </row>
    <row r="1251" spans="1:1">
      <c r="A1251" s="32"/>
    </row>
    <row r="1252" spans="1:1">
      <c r="A1252" s="32"/>
    </row>
    <row r="1253" spans="1:1">
      <c r="A1253" s="32"/>
    </row>
    <row r="1254" spans="1:1">
      <c r="A1254" s="32"/>
    </row>
    <row r="1255" spans="1:1">
      <c r="A1255" s="32"/>
    </row>
    <row r="1256" spans="1:1">
      <c r="A1256" s="32"/>
    </row>
    <row r="1257" spans="1:1">
      <c r="A1257" s="32"/>
    </row>
    <row r="1258" spans="1:1">
      <c r="A1258" s="32"/>
    </row>
    <row r="1259" spans="1:1">
      <c r="A1259" s="32"/>
    </row>
    <row r="1260" spans="1:1">
      <c r="A1260" s="32"/>
    </row>
    <row r="1261" spans="1:1">
      <c r="A1261" s="32"/>
    </row>
    <row r="1262" spans="1:1">
      <c r="A1262" s="32"/>
    </row>
    <row r="1263" spans="1:1">
      <c r="A1263" s="32"/>
    </row>
    <row r="1264" spans="1:1">
      <c r="A1264" s="32"/>
    </row>
    <row r="1265" spans="1:1">
      <c r="A1265" s="32"/>
    </row>
    <row r="1266" spans="1:1">
      <c r="A1266" s="32"/>
    </row>
    <row r="1267" spans="1:1">
      <c r="A1267" s="32"/>
    </row>
    <row r="1268" spans="1:1">
      <c r="A1268" s="32"/>
    </row>
    <row r="1269" spans="1:1">
      <c r="A1269" s="32"/>
    </row>
    <row r="1270" spans="1:1">
      <c r="A1270" s="32"/>
    </row>
    <row r="1271" spans="1:1">
      <c r="A1271" s="32"/>
    </row>
    <row r="1272" spans="1:1">
      <c r="A1272" s="32"/>
    </row>
    <row r="1273" spans="1:1">
      <c r="A1273" s="32"/>
    </row>
    <row r="1274" spans="1:1">
      <c r="A1274" s="32"/>
    </row>
    <row r="1275" spans="1:1">
      <c r="A1275" s="32"/>
    </row>
    <row r="1276" spans="1:1">
      <c r="A1276" s="32"/>
    </row>
    <row r="1277" spans="1:1">
      <c r="A1277" s="32"/>
    </row>
    <row r="1278" spans="1:1">
      <c r="A1278" s="32"/>
    </row>
    <row r="1279" spans="1:1">
      <c r="A1279" s="32"/>
    </row>
    <row r="1280" spans="1:1">
      <c r="A1280" s="32"/>
    </row>
    <row r="1281" spans="1:1">
      <c r="A1281" s="32"/>
    </row>
    <row r="1282" spans="1:1">
      <c r="A1282" s="32"/>
    </row>
    <row r="1283" spans="1:1">
      <c r="A1283" s="32"/>
    </row>
    <row r="1284" spans="1:1">
      <c r="A1284" s="32"/>
    </row>
    <row r="1285" spans="1:1">
      <c r="A1285" s="32"/>
    </row>
    <row r="1286" spans="1:1">
      <c r="A1286" s="32"/>
    </row>
    <row r="1287" spans="1:1">
      <c r="A1287" s="32"/>
    </row>
    <row r="1288" spans="1:1">
      <c r="A1288" s="32"/>
    </row>
    <row r="1289" spans="1:1">
      <c r="A1289" s="32"/>
    </row>
    <row r="1290" spans="1:1">
      <c r="A1290" s="32"/>
    </row>
    <row r="1291" spans="1:1">
      <c r="A1291" s="32"/>
    </row>
    <row r="1292" spans="1:1">
      <c r="A1292" s="32"/>
    </row>
    <row r="1293" spans="1:1">
      <c r="A1293" s="32"/>
    </row>
    <row r="1294" spans="1:1">
      <c r="A1294" s="32"/>
    </row>
    <row r="1295" spans="1:1">
      <c r="A1295" s="32"/>
    </row>
    <row r="1296" spans="1:1">
      <c r="A1296" s="32"/>
    </row>
    <row r="1297" spans="1:1">
      <c r="A1297" s="32"/>
    </row>
    <row r="1298" spans="1:1">
      <c r="A1298" s="32"/>
    </row>
    <row r="1299" spans="1:1">
      <c r="A1299" s="32"/>
    </row>
    <row r="1300" spans="1:1">
      <c r="A1300" s="32"/>
    </row>
    <row r="1301" spans="1:1">
      <c r="A1301" s="32"/>
    </row>
    <row r="1302" spans="1:1">
      <c r="A1302" s="32"/>
    </row>
    <row r="1303" spans="1:1">
      <c r="A1303" s="32"/>
    </row>
    <row r="1304" spans="1:1">
      <c r="A1304" s="32"/>
    </row>
    <row r="1305" spans="1:1">
      <c r="A1305" s="32"/>
    </row>
    <row r="1306" spans="1:1">
      <c r="A1306" s="32"/>
    </row>
    <row r="1307" spans="1:1">
      <c r="A1307" s="32"/>
    </row>
    <row r="1308" spans="1:1">
      <c r="A1308" s="32"/>
    </row>
    <row r="1309" spans="1:1">
      <c r="A1309" s="32"/>
    </row>
    <row r="1310" spans="1:1">
      <c r="A1310" s="32"/>
    </row>
    <row r="1311" spans="1:1">
      <c r="A1311" s="32"/>
    </row>
    <row r="1312" spans="1:1">
      <c r="A1312" s="32"/>
    </row>
    <row r="1313" spans="1:1">
      <c r="A1313" s="32"/>
    </row>
    <row r="1314" spans="1:1">
      <c r="A1314" s="32"/>
    </row>
    <row r="1315" spans="1:1">
      <c r="A1315" s="32"/>
    </row>
    <row r="1316" spans="1:1">
      <c r="A1316" s="32"/>
    </row>
    <row r="1317" spans="1:1">
      <c r="A1317" s="32"/>
    </row>
    <row r="1318" spans="1:1">
      <c r="A1318" s="32"/>
    </row>
    <row r="1319" spans="1:1">
      <c r="A1319" s="32"/>
    </row>
    <row r="1320" spans="1:1">
      <c r="A1320" s="32"/>
    </row>
    <row r="1321" spans="1:1">
      <c r="A1321" s="32"/>
    </row>
    <row r="1322" spans="1:1">
      <c r="A1322" s="32"/>
    </row>
    <row r="1323" spans="1:1">
      <c r="A1323" s="32"/>
    </row>
    <row r="1324" spans="1:1">
      <c r="A1324" s="32"/>
    </row>
    <row r="1325" spans="1:1">
      <c r="A1325" s="32"/>
    </row>
    <row r="1326" spans="1:1">
      <c r="A1326" s="32"/>
    </row>
    <row r="1327" spans="1:1">
      <c r="A1327" s="32"/>
    </row>
    <row r="1328" spans="1:1">
      <c r="A1328" s="32"/>
    </row>
    <row r="1329" spans="1:1">
      <c r="A1329" s="32"/>
    </row>
    <row r="1330" spans="1:1">
      <c r="A1330" s="32"/>
    </row>
    <row r="1331" spans="1:1">
      <c r="A1331" s="32"/>
    </row>
    <row r="1332" spans="1:1">
      <c r="A1332" s="32"/>
    </row>
    <row r="1333" spans="1:1">
      <c r="A1333" s="32"/>
    </row>
    <row r="1334" spans="1:1">
      <c r="A1334" s="32"/>
    </row>
    <row r="1335" spans="1:1">
      <c r="A1335" s="32"/>
    </row>
    <row r="1336" spans="1:1">
      <c r="A1336" s="32"/>
    </row>
    <row r="1337" spans="1:1">
      <c r="A1337" s="32"/>
    </row>
    <row r="1338" spans="1:1">
      <c r="A1338" s="32"/>
    </row>
    <row r="1339" spans="1:1">
      <c r="A1339" s="32"/>
    </row>
    <row r="1340" spans="1:1">
      <c r="A1340" s="32"/>
    </row>
    <row r="1341" spans="1:1">
      <c r="A1341" s="32"/>
    </row>
    <row r="1342" spans="1:1">
      <c r="A1342" s="32"/>
    </row>
    <row r="1343" spans="1:1">
      <c r="A1343" s="32"/>
    </row>
    <row r="1344" spans="1:1">
      <c r="A1344" s="32"/>
    </row>
    <row r="1345" spans="1:1">
      <c r="A1345" s="32"/>
    </row>
    <row r="1346" spans="1:1">
      <c r="A1346" s="32"/>
    </row>
    <row r="1347" spans="1:1">
      <c r="A1347" s="32"/>
    </row>
    <row r="1348" spans="1:1">
      <c r="A1348" s="32"/>
    </row>
    <row r="1349" spans="1:1">
      <c r="A1349" s="32"/>
    </row>
    <row r="1350" spans="1:1">
      <c r="A1350" s="32"/>
    </row>
    <row r="1351" spans="1:1">
      <c r="A1351" s="32"/>
    </row>
    <row r="1352" spans="1:1">
      <c r="A1352" s="32"/>
    </row>
    <row r="1353" spans="1:1">
      <c r="A1353" s="32"/>
    </row>
    <row r="1354" spans="1:1">
      <c r="A1354" s="32"/>
    </row>
    <row r="1355" spans="1:1">
      <c r="A1355" s="32"/>
    </row>
    <row r="1356" spans="1:1">
      <c r="A1356" s="32"/>
    </row>
    <row r="1357" spans="1:1">
      <c r="A1357" s="32"/>
    </row>
    <row r="1358" spans="1:1">
      <c r="A1358" s="32"/>
    </row>
    <row r="1359" spans="1:1">
      <c r="A1359" s="32"/>
    </row>
    <row r="1360" spans="1:1">
      <c r="A1360" s="32"/>
    </row>
    <row r="1361" spans="1:1">
      <c r="A1361" s="32"/>
    </row>
    <row r="1362" spans="1:1">
      <c r="A1362" s="32"/>
    </row>
    <row r="1363" spans="1:1">
      <c r="A1363" s="32"/>
    </row>
    <row r="1364" spans="1:1">
      <c r="A1364" s="32"/>
    </row>
    <row r="1365" spans="1:1">
      <c r="A1365" s="32"/>
    </row>
    <row r="1366" spans="1:1">
      <c r="A1366" s="32"/>
    </row>
    <row r="1367" spans="1:1">
      <c r="A1367" s="32"/>
    </row>
    <row r="1368" spans="1:1">
      <c r="A1368" s="32"/>
    </row>
    <row r="1369" spans="1:1">
      <c r="A1369" s="32"/>
    </row>
    <row r="1370" spans="1:1">
      <c r="A1370" s="32"/>
    </row>
    <row r="1371" spans="1:1">
      <c r="A1371" s="32"/>
    </row>
    <row r="1372" spans="1:1">
      <c r="A1372" s="32"/>
    </row>
    <row r="1373" spans="1:1">
      <c r="A1373" s="32"/>
    </row>
    <row r="1374" spans="1:1">
      <c r="A1374" s="32"/>
    </row>
    <row r="1375" spans="1:1">
      <c r="A1375" s="32"/>
    </row>
    <row r="1376" spans="1:1">
      <c r="A1376" s="32"/>
    </row>
    <row r="1377" spans="1:1">
      <c r="A1377" s="32"/>
    </row>
    <row r="1378" spans="1:1">
      <c r="A1378" s="32"/>
    </row>
    <row r="1379" spans="1:1">
      <c r="A1379" s="32"/>
    </row>
    <row r="1380" spans="1:1">
      <c r="A1380" s="32"/>
    </row>
    <row r="1381" spans="1:1">
      <c r="A1381" s="32"/>
    </row>
    <row r="1382" spans="1:1">
      <c r="A1382" s="32"/>
    </row>
    <row r="1383" spans="1:1">
      <c r="A1383" s="32"/>
    </row>
    <row r="1384" spans="1:1">
      <c r="A1384" s="32"/>
    </row>
    <row r="1385" spans="1:1">
      <c r="A1385" s="32"/>
    </row>
    <row r="1386" spans="1:1">
      <c r="A1386" s="32"/>
    </row>
    <row r="1387" spans="1:1">
      <c r="A1387" s="32"/>
    </row>
    <row r="1388" spans="1:1">
      <c r="A1388" s="32"/>
    </row>
    <row r="1389" spans="1:1">
      <c r="A1389" s="32"/>
    </row>
    <row r="1390" spans="1:1">
      <c r="A1390" s="32"/>
    </row>
    <row r="1391" spans="1:1">
      <c r="A1391" s="32"/>
    </row>
    <row r="1392" spans="1:1">
      <c r="A1392" s="32"/>
    </row>
    <row r="1393" spans="1:1">
      <c r="A1393" s="32"/>
    </row>
    <row r="1394" spans="1:1">
      <c r="A1394" s="32"/>
    </row>
    <row r="1395" spans="1:1">
      <c r="A1395" s="32"/>
    </row>
    <row r="1396" spans="1:1">
      <c r="A1396" s="32"/>
    </row>
    <row r="1397" spans="1:1">
      <c r="A1397" s="32"/>
    </row>
    <row r="1398" spans="1:1">
      <c r="A1398" s="32"/>
    </row>
    <row r="1399" spans="1:1">
      <c r="A1399" s="32"/>
    </row>
    <row r="1400" spans="1:1">
      <c r="A1400" s="32"/>
    </row>
    <row r="1401" spans="1:1">
      <c r="A1401" s="32"/>
    </row>
    <row r="1402" spans="1:1">
      <c r="A1402" s="32"/>
    </row>
    <row r="1403" spans="1:1">
      <c r="A1403" s="32"/>
    </row>
    <row r="1404" spans="1:1">
      <c r="A1404" s="32"/>
    </row>
    <row r="1405" spans="1:1">
      <c r="A1405" s="32"/>
    </row>
    <row r="1406" spans="1:1">
      <c r="A1406" s="32"/>
    </row>
    <row r="1407" spans="1:1">
      <c r="A1407" s="32"/>
    </row>
    <row r="1408" spans="1:1">
      <c r="A1408" s="32"/>
    </row>
    <row r="1409" spans="1:1">
      <c r="A1409" s="32"/>
    </row>
    <row r="1410" spans="1:1">
      <c r="A1410" s="32"/>
    </row>
    <row r="1411" spans="1:1">
      <c r="A1411" s="32"/>
    </row>
    <row r="1412" spans="1:1">
      <c r="A1412" s="32"/>
    </row>
    <row r="1413" spans="1:1">
      <c r="A1413" s="32"/>
    </row>
    <row r="1414" spans="1:1">
      <c r="A1414" s="32"/>
    </row>
    <row r="1415" spans="1:1">
      <c r="A1415" s="32"/>
    </row>
    <row r="1416" spans="1:1">
      <c r="A1416" s="32"/>
    </row>
    <row r="1417" spans="1:1">
      <c r="A1417" s="32"/>
    </row>
    <row r="1418" spans="1:1">
      <c r="A1418" s="32"/>
    </row>
    <row r="1419" spans="1:1">
      <c r="A1419" s="32"/>
    </row>
    <row r="1420" spans="1:1">
      <c r="A1420" s="32"/>
    </row>
    <row r="1421" spans="1:1">
      <c r="A1421" s="32"/>
    </row>
    <row r="1422" spans="1:1">
      <c r="A1422" s="32"/>
    </row>
    <row r="1423" spans="1:1">
      <c r="A1423" s="32"/>
    </row>
    <row r="1424" spans="1:1">
      <c r="A1424" s="32"/>
    </row>
    <row r="1425" spans="1:1">
      <c r="A1425" s="32"/>
    </row>
    <row r="1426" spans="1:1">
      <c r="A1426" s="32"/>
    </row>
    <row r="1427" spans="1:1">
      <c r="A1427" s="32"/>
    </row>
    <row r="1428" spans="1:1">
      <c r="A1428" s="32"/>
    </row>
    <row r="1429" spans="1:1">
      <c r="A1429" s="32"/>
    </row>
    <row r="1430" spans="1:1">
      <c r="A1430" s="32"/>
    </row>
    <row r="1431" spans="1:1">
      <c r="A1431" s="32"/>
    </row>
    <row r="1432" spans="1:1">
      <c r="A1432" s="32"/>
    </row>
    <row r="1433" spans="1:1">
      <c r="A1433" s="32"/>
    </row>
    <row r="1434" spans="1:1">
      <c r="A1434" s="32"/>
    </row>
    <row r="1435" spans="1:1">
      <c r="A1435" s="32"/>
    </row>
    <row r="1436" spans="1:1">
      <c r="A1436" s="32"/>
    </row>
    <row r="1437" spans="1:1">
      <c r="A1437" s="32"/>
    </row>
    <row r="1438" spans="1:1">
      <c r="A1438" s="32"/>
    </row>
    <row r="1439" spans="1:1">
      <c r="A1439" s="32"/>
    </row>
    <row r="1440" spans="1:1">
      <c r="A1440" s="32"/>
    </row>
    <row r="1441" spans="1:1">
      <c r="A1441" s="32"/>
    </row>
    <row r="1442" spans="1:1">
      <c r="A1442" s="32"/>
    </row>
    <row r="1443" spans="1:1">
      <c r="A1443" s="32"/>
    </row>
    <row r="1444" spans="1:1">
      <c r="A1444" s="32"/>
    </row>
    <row r="1445" spans="1:1">
      <c r="A1445" s="32"/>
    </row>
    <row r="1446" spans="1:1">
      <c r="A1446" s="32"/>
    </row>
    <row r="1447" spans="1:1">
      <c r="A1447" s="32"/>
    </row>
    <row r="1448" spans="1:1">
      <c r="A1448" s="32"/>
    </row>
    <row r="1449" spans="1:1">
      <c r="A1449" s="32"/>
    </row>
    <row r="1450" spans="1:1">
      <c r="A1450" s="32"/>
    </row>
    <row r="1451" spans="1:1">
      <c r="A1451" s="32"/>
    </row>
    <row r="1452" spans="1:1">
      <c r="A1452" s="32"/>
    </row>
    <row r="1453" spans="1:1">
      <c r="A1453" s="32"/>
    </row>
    <row r="1454" spans="1:1">
      <c r="A1454" s="32"/>
    </row>
    <row r="1455" spans="1:1">
      <c r="A1455" s="32"/>
    </row>
    <row r="1456" spans="1:1">
      <c r="A1456" s="32"/>
    </row>
    <row r="1457" spans="1:1">
      <c r="A1457" s="32"/>
    </row>
    <row r="1458" spans="1:1">
      <c r="A1458" s="32"/>
    </row>
    <row r="1459" spans="1:1">
      <c r="A1459" s="32"/>
    </row>
    <row r="1460" spans="1:1">
      <c r="A1460" s="32"/>
    </row>
    <row r="1461" spans="1:1">
      <c r="A1461" s="32"/>
    </row>
    <row r="1462" spans="1:1">
      <c r="A1462" s="32"/>
    </row>
    <row r="1463" spans="1:1">
      <c r="A1463" s="32"/>
    </row>
    <row r="1464" spans="1:1">
      <c r="A1464" s="32"/>
    </row>
    <row r="1465" spans="1:1">
      <c r="A1465" s="32"/>
    </row>
    <row r="1466" spans="1:1">
      <c r="A1466" s="32"/>
    </row>
    <row r="1467" spans="1:1">
      <c r="A1467" s="32"/>
    </row>
    <row r="1468" spans="1:1">
      <c r="A1468" s="32"/>
    </row>
    <row r="1469" spans="1:1">
      <c r="A1469" s="32"/>
    </row>
    <row r="1470" spans="1:1">
      <c r="A1470" s="32"/>
    </row>
    <row r="1471" spans="1:1">
      <c r="A1471" s="32"/>
    </row>
    <row r="1472" spans="1:1">
      <c r="A1472" s="32"/>
    </row>
    <row r="1473" spans="1:1">
      <c r="A1473" s="32"/>
    </row>
    <row r="1474" spans="1:1">
      <c r="A1474" s="32"/>
    </row>
    <row r="1475" spans="1:1">
      <c r="A1475" s="32"/>
    </row>
    <row r="1476" spans="1:1">
      <c r="A1476" s="32"/>
    </row>
    <row r="1477" spans="1:1">
      <c r="A1477" s="32"/>
    </row>
    <row r="1478" spans="1:1">
      <c r="A1478" s="32"/>
    </row>
    <row r="1479" spans="1:1">
      <c r="A1479" s="32"/>
    </row>
    <row r="1480" spans="1:1">
      <c r="A1480" s="32"/>
    </row>
    <row r="1481" spans="1:1">
      <c r="A1481" s="32"/>
    </row>
    <row r="1482" spans="1:1">
      <c r="A1482" s="32"/>
    </row>
    <row r="1483" spans="1:1">
      <c r="A1483" s="32"/>
    </row>
    <row r="1484" spans="1:1">
      <c r="A1484" s="32"/>
    </row>
    <row r="1485" spans="1:1">
      <c r="A1485" s="32"/>
    </row>
    <row r="1486" spans="1:1">
      <c r="A1486" s="32"/>
    </row>
    <row r="1487" spans="1:1">
      <c r="A1487" s="32"/>
    </row>
    <row r="1488" spans="1:1">
      <c r="A1488" s="32"/>
    </row>
    <row r="1489" spans="1:1">
      <c r="A1489" s="32"/>
    </row>
    <row r="1490" spans="1:1">
      <c r="A1490" s="32"/>
    </row>
    <row r="1491" spans="1:1">
      <c r="A1491" s="32"/>
    </row>
    <row r="1492" spans="1:1">
      <c r="A1492" s="32"/>
    </row>
    <row r="1493" spans="1:1">
      <c r="A1493" s="32"/>
    </row>
    <row r="1494" spans="1:1">
      <c r="A1494" s="32"/>
    </row>
    <row r="1495" spans="1:1">
      <c r="A1495" s="32"/>
    </row>
    <row r="1496" spans="1:1">
      <c r="A1496" s="32"/>
    </row>
    <row r="1497" spans="1:1">
      <c r="A1497" s="32"/>
    </row>
    <row r="1498" spans="1:1">
      <c r="A1498" s="32"/>
    </row>
    <row r="1499" spans="1:1">
      <c r="A1499" s="32"/>
    </row>
    <row r="1500" spans="1:1">
      <c r="A1500" s="32"/>
    </row>
    <row r="1501" spans="1:1">
      <c r="A1501" s="32"/>
    </row>
    <row r="1502" spans="1:1">
      <c r="A1502" s="32"/>
    </row>
    <row r="1503" spans="1:1">
      <c r="A1503" s="32"/>
    </row>
    <row r="1504" spans="1:1">
      <c r="A1504" s="32"/>
    </row>
    <row r="1505" spans="1:1">
      <c r="A1505" s="32"/>
    </row>
    <row r="1506" spans="1:1">
      <c r="A1506" s="32"/>
    </row>
    <row r="1507" spans="1:1">
      <c r="A1507" s="32"/>
    </row>
    <row r="1508" spans="1:1">
      <c r="A1508" s="32"/>
    </row>
    <row r="1509" spans="1:1">
      <c r="A1509" s="32"/>
    </row>
    <row r="1510" spans="1:1">
      <c r="A1510" s="32"/>
    </row>
    <row r="1511" spans="1:1">
      <c r="A1511" s="32"/>
    </row>
    <row r="1512" spans="1:1">
      <c r="A1512" s="32"/>
    </row>
    <row r="1513" spans="1:1">
      <c r="A1513" s="32"/>
    </row>
    <row r="1514" spans="1:1">
      <c r="A1514" s="32"/>
    </row>
    <row r="1515" spans="1:1">
      <c r="A1515" s="32"/>
    </row>
    <row r="1516" spans="1:1">
      <c r="A1516" s="32"/>
    </row>
    <row r="1517" spans="1:1">
      <c r="A1517" s="32"/>
    </row>
    <row r="1518" spans="1:1">
      <c r="A1518" s="32"/>
    </row>
    <row r="1519" spans="1:1">
      <c r="A1519" s="32"/>
    </row>
    <row r="1520" spans="1:1">
      <c r="A1520" s="32"/>
    </row>
    <row r="1521" spans="1:1">
      <c r="A1521" s="32"/>
    </row>
    <row r="1522" spans="1:1">
      <c r="A1522" s="32"/>
    </row>
    <row r="1523" spans="1:1">
      <c r="A1523" s="32"/>
    </row>
    <row r="1524" spans="1:1">
      <c r="A1524" s="32"/>
    </row>
    <row r="1525" spans="1:1">
      <c r="A1525" s="32"/>
    </row>
    <row r="1526" spans="1:1">
      <c r="A1526" s="32"/>
    </row>
    <row r="1527" spans="1:1">
      <c r="A1527" s="32"/>
    </row>
    <row r="1528" spans="1:1">
      <c r="A1528" s="32"/>
    </row>
    <row r="1529" spans="1:1">
      <c r="A1529" s="32"/>
    </row>
    <row r="1530" spans="1:1">
      <c r="A1530" s="32"/>
    </row>
    <row r="1531" spans="1:1">
      <c r="A1531" s="32"/>
    </row>
    <row r="1532" spans="1:1">
      <c r="A1532" s="32"/>
    </row>
    <row r="1533" spans="1:1">
      <c r="A1533" s="32"/>
    </row>
    <row r="1534" spans="1:1">
      <c r="A1534" s="32"/>
    </row>
    <row r="1535" spans="1:1">
      <c r="A1535" s="32"/>
    </row>
    <row r="1536" spans="1:1">
      <c r="A1536" s="32"/>
    </row>
    <row r="1537" spans="1:1">
      <c r="A1537" s="32"/>
    </row>
    <row r="1538" spans="1:1">
      <c r="A1538" s="32"/>
    </row>
    <row r="1539" spans="1:1">
      <c r="A1539" s="32"/>
    </row>
    <row r="1540" spans="1:1">
      <c r="A1540" s="32"/>
    </row>
    <row r="1541" spans="1:1">
      <c r="A1541" s="32"/>
    </row>
    <row r="1542" spans="1:1">
      <c r="A1542" s="32"/>
    </row>
    <row r="1543" spans="1:1">
      <c r="A1543" s="32"/>
    </row>
    <row r="1544" spans="1:1">
      <c r="A1544" s="32"/>
    </row>
    <row r="1545" spans="1:1">
      <c r="A1545" s="32"/>
    </row>
    <row r="1546" spans="1:1">
      <c r="A1546" s="32"/>
    </row>
    <row r="1547" spans="1:1">
      <c r="A1547" s="32"/>
    </row>
    <row r="1548" spans="1:1">
      <c r="A1548" s="32"/>
    </row>
    <row r="1549" spans="1:1">
      <c r="A1549" s="32"/>
    </row>
    <row r="1550" spans="1:1">
      <c r="A1550" s="32"/>
    </row>
    <row r="1551" spans="1:1">
      <c r="A1551" s="32"/>
    </row>
    <row r="1552" spans="1:1">
      <c r="A1552" s="32"/>
    </row>
    <row r="1553" spans="1:1">
      <c r="A1553" s="32"/>
    </row>
    <row r="1554" spans="1:1">
      <c r="A1554" s="32"/>
    </row>
    <row r="1555" spans="1:1">
      <c r="A1555" s="32"/>
    </row>
    <row r="1556" spans="1:1">
      <c r="A1556" s="32"/>
    </row>
    <row r="1557" spans="1:1">
      <c r="A1557" s="32"/>
    </row>
    <row r="1558" spans="1:1">
      <c r="A1558" s="32"/>
    </row>
    <row r="1559" spans="1:1">
      <c r="A1559" s="32"/>
    </row>
    <row r="1560" spans="1:1">
      <c r="A1560" s="32"/>
    </row>
    <row r="1561" spans="1:1">
      <c r="A1561" s="32"/>
    </row>
    <row r="1562" spans="1:1">
      <c r="A1562" s="32"/>
    </row>
    <row r="1563" spans="1:1">
      <c r="A1563" s="32"/>
    </row>
    <row r="1564" spans="1:1">
      <c r="A1564" s="32"/>
    </row>
    <row r="1565" spans="1:1">
      <c r="A1565" s="32"/>
    </row>
    <row r="1566" spans="1:1">
      <c r="A1566" s="32"/>
    </row>
    <row r="1567" spans="1:1">
      <c r="A1567" s="32"/>
    </row>
    <row r="1568" spans="1:1">
      <c r="A1568" s="32"/>
    </row>
    <row r="1569" spans="1:1">
      <c r="A1569" s="32"/>
    </row>
    <row r="1570" spans="1:1">
      <c r="A1570" s="32"/>
    </row>
    <row r="1571" spans="1:1">
      <c r="A1571" s="32"/>
    </row>
    <row r="1572" spans="1:1">
      <c r="A1572" s="32"/>
    </row>
    <row r="1573" spans="1:1">
      <c r="A1573" s="32"/>
    </row>
    <row r="1574" spans="1:1">
      <c r="A1574" s="32"/>
    </row>
    <row r="1575" spans="1:1">
      <c r="A1575" s="32"/>
    </row>
    <row r="1576" spans="1:1">
      <c r="A1576" s="32"/>
    </row>
    <row r="1577" spans="1:1">
      <c r="A1577" s="32"/>
    </row>
    <row r="1578" spans="1:1">
      <c r="A1578" s="32"/>
    </row>
    <row r="1579" spans="1:1">
      <c r="A1579" s="32"/>
    </row>
    <row r="1580" spans="1:1">
      <c r="A1580" s="32"/>
    </row>
    <row r="1581" spans="1:1">
      <c r="A1581" s="32"/>
    </row>
    <row r="1582" spans="1:1">
      <c r="A1582" s="32"/>
    </row>
    <row r="1583" spans="1:1">
      <c r="A1583" s="32"/>
    </row>
    <row r="1584" spans="1:1">
      <c r="A1584" s="32"/>
    </row>
    <row r="1585" spans="1:1">
      <c r="A1585" s="32"/>
    </row>
    <row r="1586" spans="1:1">
      <c r="A1586" s="32"/>
    </row>
    <row r="1587" spans="1:1">
      <c r="A1587" s="32"/>
    </row>
    <row r="1588" spans="1:1">
      <c r="A1588" s="32"/>
    </row>
    <row r="1589" spans="1:1">
      <c r="A1589" s="32"/>
    </row>
    <row r="1590" spans="1:1">
      <c r="A1590" s="32"/>
    </row>
    <row r="1591" spans="1:1">
      <c r="A1591" s="32"/>
    </row>
    <row r="1592" spans="1:1">
      <c r="A1592" s="32"/>
    </row>
    <row r="1593" spans="1:1">
      <c r="A1593" s="32"/>
    </row>
    <row r="1594" spans="1:1">
      <c r="A1594" s="32"/>
    </row>
    <row r="1595" spans="1:1">
      <c r="A1595" s="32"/>
    </row>
    <row r="1596" spans="1:1">
      <c r="A1596" s="32"/>
    </row>
    <row r="1597" spans="1:1">
      <c r="A1597" s="32"/>
    </row>
    <row r="1598" spans="1:1">
      <c r="A1598" s="32"/>
    </row>
    <row r="1599" spans="1:1">
      <c r="A1599" s="32"/>
    </row>
    <row r="1600" spans="1:1">
      <c r="A1600" s="32"/>
    </row>
    <row r="1601" spans="1:1">
      <c r="A1601" s="32"/>
    </row>
    <row r="1602" spans="1:1">
      <c r="A1602" s="32"/>
    </row>
    <row r="1603" spans="1:1">
      <c r="A1603" s="32"/>
    </row>
    <row r="1604" spans="1:1">
      <c r="A1604" s="32"/>
    </row>
    <row r="1605" spans="1:1">
      <c r="A1605" s="32"/>
    </row>
    <row r="1606" spans="1:1">
      <c r="A1606" s="32"/>
    </row>
    <row r="1607" spans="1:1">
      <c r="A1607" s="32"/>
    </row>
    <row r="1608" spans="1:1">
      <c r="A1608" s="32"/>
    </row>
    <row r="1609" spans="1:1">
      <c r="A1609" s="32"/>
    </row>
    <row r="1610" spans="1:1">
      <c r="A1610" s="32"/>
    </row>
    <row r="1611" spans="1:1">
      <c r="A1611" s="32"/>
    </row>
    <row r="1612" spans="1:1">
      <c r="A1612" s="32"/>
    </row>
    <row r="1613" spans="1:1">
      <c r="A1613" s="32"/>
    </row>
    <row r="1614" spans="1:1">
      <c r="A1614" s="32"/>
    </row>
    <row r="1615" spans="1:1">
      <c r="A1615" s="32"/>
    </row>
    <row r="1616" spans="1:1">
      <c r="A1616" s="32"/>
    </row>
    <row r="1617" spans="1:1">
      <c r="A1617" s="32"/>
    </row>
    <row r="1618" spans="1:1">
      <c r="A1618" s="32"/>
    </row>
    <row r="1619" spans="1:1">
      <c r="A1619" s="32"/>
    </row>
    <row r="1620" spans="1:1">
      <c r="A1620" s="32"/>
    </row>
    <row r="1621" spans="1:1">
      <c r="A1621" s="32"/>
    </row>
    <row r="1622" spans="1:1">
      <c r="A1622" s="32"/>
    </row>
    <row r="1623" spans="1:1">
      <c r="A1623" s="32"/>
    </row>
    <row r="1624" spans="1:1">
      <c r="A1624" s="32"/>
    </row>
    <row r="1625" spans="1:1">
      <c r="A1625" s="32"/>
    </row>
    <row r="1626" spans="1:1">
      <c r="A1626" s="32"/>
    </row>
    <row r="1627" spans="1:1">
      <c r="A1627" s="32"/>
    </row>
    <row r="1628" spans="1:1">
      <c r="A1628" s="32"/>
    </row>
    <row r="1629" spans="1:1">
      <c r="A1629" s="32"/>
    </row>
    <row r="1630" spans="1:1">
      <c r="A1630" s="32"/>
    </row>
    <row r="1631" spans="1:1">
      <c r="A1631" s="32"/>
    </row>
    <row r="1632" spans="1:1">
      <c r="A1632" s="32"/>
    </row>
    <row r="1633" spans="1:1">
      <c r="A1633" s="32"/>
    </row>
    <row r="1634" spans="1:1">
      <c r="A1634" s="32"/>
    </row>
    <row r="1635" spans="1:1">
      <c r="A1635" s="32"/>
    </row>
    <row r="1636" spans="1:1">
      <c r="A1636" s="32"/>
    </row>
    <row r="1637" spans="1:1">
      <c r="A1637" s="32"/>
    </row>
    <row r="1638" spans="1:1">
      <c r="A1638" s="32"/>
    </row>
    <row r="1639" spans="1:1">
      <c r="A1639" s="32"/>
    </row>
    <row r="1640" spans="1:1">
      <c r="A1640" s="32"/>
    </row>
    <row r="1641" spans="1:1">
      <c r="A1641" s="32"/>
    </row>
    <row r="1642" spans="1:1">
      <c r="A1642" s="32"/>
    </row>
    <row r="1643" spans="1:1">
      <c r="A1643" s="32"/>
    </row>
    <row r="1644" spans="1:1">
      <c r="A1644" s="32"/>
    </row>
    <row r="1645" spans="1:1">
      <c r="A1645" s="32"/>
    </row>
    <row r="1646" spans="1:1">
      <c r="A1646" s="32"/>
    </row>
    <row r="1647" spans="1:1">
      <c r="A1647" s="32"/>
    </row>
    <row r="1648" spans="1:1">
      <c r="A1648" s="32"/>
    </row>
    <row r="1649" spans="1:1">
      <c r="A1649" s="32"/>
    </row>
    <row r="1650" spans="1:1">
      <c r="A1650" s="32"/>
    </row>
    <row r="1651" spans="1:1">
      <c r="A1651" s="32"/>
    </row>
    <row r="1652" spans="1:1">
      <c r="A1652" s="32"/>
    </row>
    <row r="1653" spans="1:1">
      <c r="A1653" s="32"/>
    </row>
    <row r="1654" spans="1:1">
      <c r="A1654" s="32"/>
    </row>
    <row r="1655" spans="1:1">
      <c r="A1655" s="32"/>
    </row>
    <row r="1656" spans="1:1">
      <c r="A1656" s="32"/>
    </row>
    <row r="1657" spans="1:1">
      <c r="A1657" s="32"/>
    </row>
    <row r="1658" spans="1:1">
      <c r="A1658" s="32"/>
    </row>
    <row r="1659" spans="1:1">
      <c r="A1659" s="32"/>
    </row>
    <row r="1660" spans="1:1">
      <c r="A1660" s="32"/>
    </row>
    <row r="1661" spans="1:1">
      <c r="A1661" s="32"/>
    </row>
    <row r="1662" spans="1:1">
      <c r="A1662" s="32"/>
    </row>
    <row r="1663" spans="1:1">
      <c r="A1663" s="32"/>
    </row>
    <row r="1664" spans="1:1">
      <c r="A1664" s="32"/>
    </row>
    <row r="1665" spans="1:1">
      <c r="A1665" s="32"/>
    </row>
    <row r="1666" spans="1:1">
      <c r="A1666" s="32"/>
    </row>
    <row r="1667" spans="1:1">
      <c r="A1667" s="32"/>
    </row>
    <row r="1668" spans="1:1">
      <c r="A1668" s="32"/>
    </row>
    <row r="1669" spans="1:1">
      <c r="A1669" s="32"/>
    </row>
    <row r="1670" spans="1:1">
      <c r="A1670" s="32"/>
    </row>
    <row r="1671" spans="1:1">
      <c r="A1671" s="32"/>
    </row>
    <row r="1672" spans="1:1">
      <c r="A1672" s="32"/>
    </row>
    <row r="1673" spans="1:1">
      <c r="A1673" s="32"/>
    </row>
    <row r="1674" spans="1:1">
      <c r="A1674" s="32"/>
    </row>
    <row r="1675" spans="1:1">
      <c r="A1675" s="32"/>
    </row>
    <row r="1676" spans="1:1">
      <c r="A1676" s="32"/>
    </row>
    <row r="1677" spans="1:1">
      <c r="A1677" s="32"/>
    </row>
    <row r="1678" spans="1:1">
      <c r="A1678" s="32"/>
    </row>
    <row r="1679" spans="1:1">
      <c r="A1679" s="32"/>
    </row>
    <row r="1680" spans="1:1">
      <c r="A1680" s="32"/>
    </row>
    <row r="1681" spans="1:1">
      <c r="A1681" s="32"/>
    </row>
    <row r="1682" spans="1:1">
      <c r="A1682" s="32"/>
    </row>
    <row r="1683" spans="1:1">
      <c r="A1683" s="32"/>
    </row>
    <row r="1684" spans="1:1">
      <c r="A1684" s="32"/>
    </row>
    <row r="1685" spans="1:1">
      <c r="A1685" s="32"/>
    </row>
    <row r="1686" spans="1:1">
      <c r="A1686" s="32"/>
    </row>
    <row r="1687" spans="1:1">
      <c r="A1687" s="32"/>
    </row>
    <row r="1688" spans="1:1">
      <c r="A1688" s="32"/>
    </row>
    <row r="1689" spans="1:1">
      <c r="A1689" s="32"/>
    </row>
    <row r="1690" spans="1:1">
      <c r="A1690" s="32"/>
    </row>
    <row r="1691" spans="1:1">
      <c r="A1691" s="32"/>
    </row>
    <row r="1692" spans="1:1">
      <c r="A1692" s="32"/>
    </row>
    <row r="1693" spans="1:1">
      <c r="A1693" s="32"/>
    </row>
    <row r="1694" spans="1:1">
      <c r="A1694" s="32"/>
    </row>
    <row r="1695" spans="1:1">
      <c r="A1695" s="32"/>
    </row>
    <row r="1696" spans="1:1">
      <c r="A1696" s="32"/>
    </row>
    <row r="1697" spans="1:1">
      <c r="A1697" s="32"/>
    </row>
    <row r="1698" spans="1:1">
      <c r="A1698" s="32"/>
    </row>
    <row r="1699" spans="1:1">
      <c r="A1699" s="32"/>
    </row>
    <row r="1700" spans="1:1">
      <c r="A1700" s="32"/>
    </row>
    <row r="1701" spans="1:1">
      <c r="A1701" s="32"/>
    </row>
    <row r="1702" spans="1:1">
      <c r="A1702" s="32"/>
    </row>
    <row r="1703" spans="1:1">
      <c r="A1703" s="32"/>
    </row>
    <row r="1704" spans="1:1">
      <c r="A1704" s="32"/>
    </row>
    <row r="1705" spans="1:1">
      <c r="A1705" s="32"/>
    </row>
    <row r="1706" spans="1:1">
      <c r="A1706" s="32"/>
    </row>
    <row r="1707" spans="1:1">
      <c r="A1707" s="32"/>
    </row>
    <row r="1708" spans="1:1">
      <c r="A1708" s="32"/>
    </row>
    <row r="1709" spans="1:1">
      <c r="A1709" s="32"/>
    </row>
    <row r="1710" spans="1:1">
      <c r="A1710" s="32"/>
    </row>
    <row r="1711" spans="1:1">
      <c r="A1711" s="32"/>
    </row>
    <row r="1712" spans="1:1">
      <c r="A1712" s="32"/>
    </row>
    <row r="1713" spans="1:1">
      <c r="A1713" s="32"/>
    </row>
    <row r="1714" spans="1:1">
      <c r="A1714" s="32"/>
    </row>
    <row r="1715" spans="1:1">
      <c r="A1715" s="32"/>
    </row>
    <row r="1716" spans="1:1">
      <c r="A1716" s="32"/>
    </row>
    <row r="1717" spans="1:1">
      <c r="A1717" s="32"/>
    </row>
    <row r="1718" spans="1:1">
      <c r="A1718" s="32"/>
    </row>
    <row r="1719" spans="1:1">
      <c r="A1719" s="32"/>
    </row>
    <row r="1720" spans="1:1">
      <c r="A1720" s="32"/>
    </row>
    <row r="1721" spans="1:1">
      <c r="A1721" s="32"/>
    </row>
    <row r="1722" spans="1:1">
      <c r="A1722" s="32"/>
    </row>
    <row r="1723" spans="1:1">
      <c r="A1723" s="32"/>
    </row>
    <row r="1724" spans="1:1">
      <c r="A1724" s="32"/>
    </row>
    <row r="1725" spans="1:1">
      <c r="A1725" s="32"/>
    </row>
    <row r="1726" spans="1:1">
      <c r="A1726" s="32"/>
    </row>
    <row r="1727" spans="1:1">
      <c r="A1727" s="32"/>
    </row>
    <row r="1728" spans="1:1">
      <c r="A1728" s="32"/>
    </row>
    <row r="1729" spans="1:1">
      <c r="A1729" s="32"/>
    </row>
    <row r="1730" spans="1:1">
      <c r="A1730" s="32"/>
    </row>
    <row r="1731" spans="1:1">
      <c r="A1731" s="32"/>
    </row>
    <row r="1732" spans="1:1">
      <c r="A1732" s="32"/>
    </row>
    <row r="1733" spans="1:1">
      <c r="A1733" s="32"/>
    </row>
    <row r="1734" spans="1:1">
      <c r="A1734" s="32"/>
    </row>
    <row r="1735" spans="1:1">
      <c r="A1735" s="32"/>
    </row>
    <row r="1736" spans="1:1">
      <c r="A1736" s="32"/>
    </row>
    <row r="1737" spans="1:1">
      <c r="A1737" s="32"/>
    </row>
    <row r="1738" spans="1:1">
      <c r="A1738" s="32"/>
    </row>
    <row r="1739" spans="1:1">
      <c r="A1739" s="32"/>
    </row>
    <row r="1740" spans="1:1">
      <c r="A1740" s="32"/>
    </row>
    <row r="1741" spans="1:1">
      <c r="A1741" s="32"/>
    </row>
    <row r="1742" spans="1:1">
      <c r="A1742" s="32"/>
    </row>
    <row r="1743" spans="1:1">
      <c r="A1743" s="32"/>
    </row>
    <row r="1744" spans="1:1">
      <c r="A1744" s="32"/>
    </row>
    <row r="1745" spans="1:1">
      <c r="A1745" s="32"/>
    </row>
    <row r="1746" spans="1:1">
      <c r="A1746" s="32"/>
    </row>
    <row r="1747" spans="1:1">
      <c r="A1747" s="32"/>
    </row>
    <row r="1748" spans="1:1">
      <c r="A1748" s="32"/>
    </row>
    <row r="1749" spans="1:1">
      <c r="A1749" s="32"/>
    </row>
    <row r="1750" spans="1:1">
      <c r="A1750" s="32"/>
    </row>
    <row r="1751" spans="1:1">
      <c r="A1751" s="32"/>
    </row>
    <row r="1752" spans="1:1">
      <c r="A1752" s="32"/>
    </row>
    <row r="1753" spans="1:1">
      <c r="A1753" s="32"/>
    </row>
    <row r="1754" spans="1:1">
      <c r="A1754" s="32"/>
    </row>
    <row r="1755" spans="1:1">
      <c r="A1755" s="32"/>
    </row>
    <row r="1756" spans="1:1">
      <c r="A1756" s="32"/>
    </row>
    <row r="1757" spans="1:1">
      <c r="A1757" s="32"/>
    </row>
    <row r="1758" spans="1:1">
      <c r="A1758" s="32"/>
    </row>
    <row r="1759" spans="1:1">
      <c r="A1759" s="32"/>
    </row>
    <row r="1760" spans="1:1">
      <c r="A1760" s="32"/>
    </row>
    <row r="1761" spans="1:1">
      <c r="A1761" s="32"/>
    </row>
    <row r="1762" spans="1:1">
      <c r="A1762" s="32"/>
    </row>
    <row r="1763" spans="1:1">
      <c r="A1763" s="32"/>
    </row>
    <row r="1764" spans="1:1">
      <c r="A1764" s="32"/>
    </row>
    <row r="1765" spans="1:1">
      <c r="A1765" s="32"/>
    </row>
    <row r="1766" spans="1:1">
      <c r="A1766" s="32"/>
    </row>
    <row r="1767" spans="1:1">
      <c r="A1767" s="32"/>
    </row>
    <row r="1768" spans="1:1">
      <c r="A1768" s="32"/>
    </row>
    <row r="1769" spans="1:1">
      <c r="A1769" s="32"/>
    </row>
    <row r="1770" spans="1:1">
      <c r="A1770" s="32"/>
    </row>
    <row r="1771" spans="1:1">
      <c r="A1771" s="32"/>
    </row>
    <row r="1772" spans="1:1">
      <c r="A1772" s="32"/>
    </row>
    <row r="1773" spans="1:1">
      <c r="A1773" s="32"/>
    </row>
    <row r="1774" spans="1:1">
      <c r="A1774" s="32"/>
    </row>
    <row r="1775" spans="1:1">
      <c r="A1775" s="32"/>
    </row>
    <row r="1776" spans="1:1">
      <c r="A1776" s="32"/>
    </row>
    <row r="1777" spans="1:1">
      <c r="A1777" s="32"/>
    </row>
    <row r="1778" spans="1:1">
      <c r="A1778" s="32"/>
    </row>
    <row r="1779" spans="1:1">
      <c r="A1779" s="32"/>
    </row>
    <row r="1780" spans="1:1">
      <c r="A1780" s="32"/>
    </row>
    <row r="1781" spans="1:1">
      <c r="A1781" s="32"/>
    </row>
    <row r="1782" spans="1:1">
      <c r="A1782" s="32"/>
    </row>
    <row r="1783" spans="1:1">
      <c r="A1783" s="32"/>
    </row>
    <row r="1784" spans="1:1">
      <c r="A1784" s="32"/>
    </row>
    <row r="1785" spans="1:1">
      <c r="A1785" s="32"/>
    </row>
    <row r="1786" spans="1:1">
      <c r="A1786" s="32"/>
    </row>
    <row r="1787" spans="1:1">
      <c r="A1787" s="32"/>
    </row>
    <row r="1788" spans="1:1">
      <c r="A1788" s="32"/>
    </row>
    <row r="1789" spans="1:1">
      <c r="A1789" s="32"/>
    </row>
    <row r="1790" spans="1:1">
      <c r="A1790" s="32"/>
    </row>
    <row r="1791" spans="1:1">
      <c r="A1791" s="32"/>
    </row>
    <row r="1792" spans="1:1">
      <c r="A1792" s="32"/>
    </row>
    <row r="1793" spans="1:1">
      <c r="A1793" s="32"/>
    </row>
    <row r="1794" spans="1:1">
      <c r="A1794" s="32"/>
    </row>
    <row r="1795" spans="1:1">
      <c r="A1795" s="32"/>
    </row>
    <row r="1796" spans="1:1">
      <c r="A1796" s="32"/>
    </row>
    <row r="1797" spans="1:1">
      <c r="A1797" s="32"/>
    </row>
    <row r="1798" spans="1:1">
      <c r="A1798" s="32"/>
    </row>
    <row r="1799" spans="1:1">
      <c r="A1799" s="32"/>
    </row>
    <row r="1800" spans="1:1">
      <c r="A1800" s="32"/>
    </row>
    <row r="1801" spans="1:1">
      <c r="A1801" s="32"/>
    </row>
    <row r="1802" spans="1:1">
      <c r="A1802" s="32"/>
    </row>
    <row r="1803" spans="1:1">
      <c r="A1803" s="32"/>
    </row>
    <row r="1804" spans="1:1">
      <c r="A1804" s="32"/>
    </row>
    <row r="1805" spans="1:1">
      <c r="A1805" s="32"/>
    </row>
    <row r="1806" spans="1:1">
      <c r="A1806" s="32"/>
    </row>
    <row r="1807" spans="1:1">
      <c r="A1807" s="32"/>
    </row>
    <row r="1808" spans="1:1">
      <c r="A1808" s="32"/>
    </row>
    <row r="1809" spans="1:1">
      <c r="A1809" s="32"/>
    </row>
    <row r="1810" spans="1:1">
      <c r="A1810" s="32"/>
    </row>
    <row r="1811" spans="1:1">
      <c r="A1811" s="32"/>
    </row>
    <row r="1812" spans="1:1">
      <c r="A1812" s="32"/>
    </row>
    <row r="1813" spans="1:1">
      <c r="A1813" s="32"/>
    </row>
    <row r="1814" spans="1:1">
      <c r="A1814" s="32"/>
    </row>
    <row r="1815" spans="1:1">
      <c r="A1815" s="32"/>
    </row>
    <row r="1816" spans="1:1">
      <c r="A1816" s="32"/>
    </row>
    <row r="1817" spans="1:1">
      <c r="A1817" s="32"/>
    </row>
    <row r="1818" spans="1:1">
      <c r="A1818" s="32"/>
    </row>
    <row r="1819" spans="1:1">
      <c r="A1819" s="32"/>
    </row>
    <row r="1820" spans="1:1">
      <c r="A1820" s="32"/>
    </row>
    <row r="1821" spans="1:1">
      <c r="A1821" s="32"/>
    </row>
    <row r="1822" spans="1:1">
      <c r="A1822" s="32"/>
    </row>
    <row r="1823" spans="1:1">
      <c r="A1823" s="32"/>
    </row>
    <row r="1824" spans="1:1">
      <c r="A1824" s="32"/>
    </row>
    <row r="1825" spans="1:1">
      <c r="A1825" s="32"/>
    </row>
    <row r="1826" spans="1:1">
      <c r="A1826" s="32"/>
    </row>
    <row r="1827" spans="1:1">
      <c r="A1827" s="32"/>
    </row>
    <row r="1828" spans="1:1">
      <c r="A1828" s="32"/>
    </row>
    <row r="1829" spans="1:1">
      <c r="A1829" s="32"/>
    </row>
    <row r="1830" spans="1:1">
      <c r="A1830" s="32"/>
    </row>
    <row r="1831" spans="1:1">
      <c r="A1831" s="32"/>
    </row>
    <row r="1832" spans="1:1">
      <c r="A1832" s="32"/>
    </row>
    <row r="1833" spans="1:1">
      <c r="A1833" s="32"/>
    </row>
    <row r="1834" spans="1:1">
      <c r="A1834" s="32"/>
    </row>
    <row r="1835" spans="1:1">
      <c r="A1835" s="32"/>
    </row>
    <row r="1836" spans="1:1">
      <c r="A1836" s="32"/>
    </row>
    <row r="1837" spans="1:1">
      <c r="A1837" s="32"/>
    </row>
    <row r="1838" spans="1:1">
      <c r="A1838" s="32"/>
    </row>
    <row r="1839" spans="1:1">
      <c r="A1839" s="32"/>
    </row>
    <row r="1840" spans="1:1">
      <c r="A1840" s="32"/>
    </row>
    <row r="1841" spans="1:1">
      <c r="A1841" s="32"/>
    </row>
    <row r="1842" spans="1:1">
      <c r="A1842" s="32"/>
    </row>
    <row r="1843" spans="1:1">
      <c r="A1843" s="32"/>
    </row>
    <row r="1844" spans="1:1">
      <c r="A1844" s="32"/>
    </row>
    <row r="1845" spans="1:1">
      <c r="A1845" s="32"/>
    </row>
    <row r="1846" spans="1:1">
      <c r="A1846" s="32"/>
    </row>
    <row r="1847" spans="1:1">
      <c r="A1847" s="32"/>
    </row>
    <row r="1848" spans="1:1">
      <c r="A1848" s="32"/>
    </row>
    <row r="1849" spans="1:1">
      <c r="A1849" s="32"/>
    </row>
    <row r="1850" spans="1:1">
      <c r="A1850" s="32"/>
    </row>
    <row r="1851" spans="1:1">
      <c r="A1851" s="32"/>
    </row>
    <row r="1852" spans="1:1">
      <c r="A1852" s="32"/>
    </row>
    <row r="1853" spans="1:1">
      <c r="A1853" s="32"/>
    </row>
    <row r="1854" spans="1:1">
      <c r="A1854" s="32"/>
    </row>
    <row r="1855" spans="1:1">
      <c r="A1855" s="32"/>
    </row>
    <row r="1856" spans="1:1">
      <c r="A1856" s="32"/>
    </row>
    <row r="1857" spans="1:1">
      <c r="A1857" s="32"/>
    </row>
    <row r="1858" spans="1:1">
      <c r="A1858" s="32"/>
    </row>
    <row r="1859" spans="1:1">
      <c r="A1859" s="32"/>
    </row>
    <row r="1860" spans="1:1">
      <c r="A1860" s="32"/>
    </row>
    <row r="1861" spans="1:1">
      <c r="A1861" s="32"/>
    </row>
    <row r="1862" spans="1:1">
      <c r="A1862" s="32"/>
    </row>
    <row r="1863" spans="1:1">
      <c r="A1863" s="32"/>
    </row>
    <row r="1864" spans="1:1">
      <c r="A1864" s="32"/>
    </row>
    <row r="1865" spans="1:1">
      <c r="A1865" s="32"/>
    </row>
    <row r="1866" spans="1:1">
      <c r="A1866" s="32"/>
    </row>
    <row r="1867" spans="1:1">
      <c r="A1867" s="32"/>
    </row>
    <row r="1868" spans="1:1">
      <c r="A1868" s="32"/>
    </row>
    <row r="1869" spans="1:1">
      <c r="A1869" s="32"/>
    </row>
    <row r="1870" spans="1:1">
      <c r="A1870" s="32"/>
    </row>
    <row r="1871" spans="1:1">
      <c r="A1871" s="32"/>
    </row>
    <row r="1872" spans="1:1">
      <c r="A1872" s="32"/>
    </row>
    <row r="1873" spans="1:1">
      <c r="A1873" s="32"/>
    </row>
    <row r="1874" spans="1:1">
      <c r="A1874" s="32"/>
    </row>
    <row r="1875" spans="1:1">
      <c r="A1875" s="32"/>
    </row>
    <row r="1876" spans="1:1">
      <c r="A1876" s="32"/>
    </row>
    <row r="1877" spans="1:1">
      <c r="A1877" s="32"/>
    </row>
    <row r="1878" spans="1:1">
      <c r="A1878" s="32"/>
    </row>
    <row r="1879" spans="1:1">
      <c r="A1879" s="32"/>
    </row>
    <row r="1880" spans="1:1">
      <c r="A1880" s="32"/>
    </row>
    <row r="1881" spans="1:1">
      <c r="A1881" s="32"/>
    </row>
    <row r="1882" spans="1:1">
      <c r="A1882" s="32"/>
    </row>
    <row r="1883" spans="1:1">
      <c r="A1883" s="32"/>
    </row>
    <row r="1884" spans="1:1">
      <c r="A1884" s="32"/>
    </row>
    <row r="1885" spans="1:1">
      <c r="A1885" s="32"/>
    </row>
    <row r="1886" spans="1:1">
      <c r="A1886" s="32"/>
    </row>
    <row r="1887" spans="1:1">
      <c r="A1887" s="32"/>
    </row>
    <row r="1888" spans="1:1">
      <c r="A1888" s="32"/>
    </row>
    <row r="1889" spans="1:1">
      <c r="A1889" s="32"/>
    </row>
    <row r="1890" spans="1:1">
      <c r="A1890" s="32"/>
    </row>
    <row r="1891" spans="1:1">
      <c r="A1891" s="32"/>
    </row>
    <row r="1892" spans="1:1">
      <c r="A1892" s="32"/>
    </row>
    <row r="1893" spans="1:1">
      <c r="A1893" s="32"/>
    </row>
    <row r="1894" spans="1:1">
      <c r="A1894" s="32"/>
    </row>
    <row r="1895" spans="1:1">
      <c r="A1895" s="32"/>
    </row>
    <row r="1896" spans="1:1">
      <c r="A1896" s="32"/>
    </row>
    <row r="1897" spans="1:1">
      <c r="A1897" s="32"/>
    </row>
    <row r="1898" spans="1:1">
      <c r="A1898" s="32"/>
    </row>
    <row r="1899" spans="1:1">
      <c r="A1899" s="32"/>
    </row>
    <row r="1900" spans="1:1">
      <c r="A1900" s="32"/>
    </row>
    <row r="1901" spans="1:1">
      <c r="A1901" s="32"/>
    </row>
    <row r="1902" spans="1:1">
      <c r="A1902" s="32"/>
    </row>
    <row r="1903" spans="1:1">
      <c r="A1903" s="32"/>
    </row>
    <row r="1904" spans="1:1">
      <c r="A1904" s="32"/>
    </row>
    <row r="1905" spans="1:1">
      <c r="A1905" s="32"/>
    </row>
    <row r="1906" spans="1:1">
      <c r="A1906" s="32"/>
    </row>
    <row r="1907" spans="1:1">
      <c r="A1907" s="32"/>
    </row>
    <row r="1908" spans="1:1">
      <c r="A1908" s="32"/>
    </row>
    <row r="1909" spans="1:1">
      <c r="A1909" s="32"/>
    </row>
    <row r="1910" spans="1:1">
      <c r="A1910" s="32"/>
    </row>
    <row r="1911" spans="1:1">
      <c r="A1911" s="32"/>
    </row>
    <row r="1912" spans="1:1">
      <c r="A1912" s="32"/>
    </row>
    <row r="1913" spans="1:1">
      <c r="A1913" s="32"/>
    </row>
    <row r="1914" spans="1:1">
      <c r="A1914" s="32"/>
    </row>
    <row r="1915" spans="1:1">
      <c r="A1915" s="32"/>
    </row>
    <row r="1916" spans="1:1">
      <c r="A1916" s="32"/>
    </row>
    <row r="1917" spans="1:1">
      <c r="A1917" s="32"/>
    </row>
    <row r="1918" spans="1:1">
      <c r="A1918" s="32"/>
    </row>
    <row r="1919" spans="1:1">
      <c r="A1919" s="32"/>
    </row>
    <row r="1920" spans="1:1">
      <c r="A1920" s="32"/>
    </row>
    <row r="1921" spans="1:1">
      <c r="A1921" s="32"/>
    </row>
    <row r="1922" spans="1:1">
      <c r="A1922" s="32"/>
    </row>
    <row r="1923" spans="1:1">
      <c r="A1923" s="32"/>
    </row>
    <row r="1924" spans="1:1">
      <c r="A1924" s="32"/>
    </row>
    <row r="1925" spans="1:1">
      <c r="A1925" s="32"/>
    </row>
    <row r="1926" spans="1:1">
      <c r="A1926" s="32"/>
    </row>
    <row r="1927" spans="1:1">
      <c r="A1927" s="32"/>
    </row>
    <row r="1928" spans="1:1">
      <c r="A1928" s="32"/>
    </row>
    <row r="1929" spans="1:1">
      <c r="A1929" s="32"/>
    </row>
    <row r="1930" spans="1:1">
      <c r="A1930" s="32"/>
    </row>
    <row r="1931" spans="1:1">
      <c r="A1931" s="32"/>
    </row>
    <row r="1932" spans="1:1">
      <c r="A1932" s="32"/>
    </row>
    <row r="1933" spans="1:1">
      <c r="A1933" s="32"/>
    </row>
    <row r="1934" spans="1:1">
      <c r="A1934" s="32"/>
    </row>
    <row r="1935" spans="1:1">
      <c r="A1935" s="32"/>
    </row>
    <row r="1936" spans="1:1">
      <c r="A1936" s="32"/>
    </row>
    <row r="1937" spans="1:1">
      <c r="A1937" s="32"/>
    </row>
    <row r="1938" spans="1:1">
      <c r="A1938" s="32"/>
    </row>
    <row r="1939" spans="1:1">
      <c r="A1939" s="32"/>
    </row>
    <row r="1940" spans="1:1">
      <c r="A1940" s="32"/>
    </row>
    <row r="1941" spans="1:1">
      <c r="A1941" s="32"/>
    </row>
    <row r="1942" spans="1:1">
      <c r="A1942" s="32"/>
    </row>
    <row r="1943" spans="1:1">
      <c r="A1943" s="32"/>
    </row>
    <row r="1944" spans="1:1">
      <c r="A1944" s="32"/>
    </row>
    <row r="1945" spans="1:1">
      <c r="A1945" s="32"/>
    </row>
    <row r="1946" spans="1:1">
      <c r="A1946" s="32"/>
    </row>
    <row r="1947" spans="1:1">
      <c r="A1947" s="32"/>
    </row>
    <row r="1948" spans="1:1">
      <c r="A1948" s="32"/>
    </row>
    <row r="1949" spans="1:1">
      <c r="A1949" s="32"/>
    </row>
    <row r="1950" spans="1:1">
      <c r="A1950" s="32"/>
    </row>
    <row r="1951" spans="1:1">
      <c r="A1951" s="32"/>
    </row>
    <row r="1952" spans="1:1">
      <c r="A1952" s="32"/>
    </row>
    <row r="1953" spans="1:1">
      <c r="A1953" s="32"/>
    </row>
    <row r="1954" spans="1:1">
      <c r="A1954" s="32"/>
    </row>
    <row r="1955" spans="1:1">
      <c r="A1955" s="32"/>
    </row>
    <row r="1956" spans="1:1">
      <c r="A1956" s="32"/>
    </row>
    <row r="1957" spans="1:1">
      <c r="A1957" s="32"/>
    </row>
    <row r="1958" spans="1:1">
      <c r="A1958" s="32"/>
    </row>
    <row r="1959" spans="1:1">
      <c r="A1959" s="32"/>
    </row>
    <row r="1960" spans="1:1">
      <c r="A1960" s="32"/>
    </row>
    <row r="1961" spans="1:1">
      <c r="A1961" s="32"/>
    </row>
    <row r="1962" spans="1:1">
      <c r="A1962" s="32"/>
    </row>
    <row r="1963" spans="1:1">
      <c r="A1963" s="32"/>
    </row>
    <row r="1964" spans="1:1">
      <c r="A1964" s="32"/>
    </row>
    <row r="1965" spans="1:1">
      <c r="A1965" s="32"/>
    </row>
    <row r="1966" spans="1:1">
      <c r="A1966" s="32"/>
    </row>
    <row r="1967" spans="1:1">
      <c r="A1967" s="32"/>
    </row>
    <row r="1968" spans="1:1">
      <c r="A1968" s="32"/>
    </row>
    <row r="1969" spans="1:1">
      <c r="A1969" s="32"/>
    </row>
    <row r="1970" spans="1:1">
      <c r="A1970" s="32"/>
    </row>
    <row r="1971" spans="1:1">
      <c r="A1971" s="32"/>
    </row>
    <row r="1972" spans="1:1">
      <c r="A1972" s="32"/>
    </row>
    <row r="1973" spans="1:1">
      <c r="A1973" s="32"/>
    </row>
    <row r="1974" spans="1:1">
      <c r="A1974" s="32"/>
    </row>
    <row r="1975" spans="1:1">
      <c r="A1975" s="32"/>
    </row>
    <row r="1976" spans="1:1">
      <c r="A1976" s="32"/>
    </row>
    <row r="1977" spans="1:1">
      <c r="A1977" s="32"/>
    </row>
    <row r="1978" spans="1:1">
      <c r="A1978" s="32"/>
    </row>
    <row r="1979" spans="1:1">
      <c r="A1979" s="32"/>
    </row>
    <row r="1980" spans="1:1">
      <c r="A1980" s="32"/>
    </row>
    <row r="1981" spans="1:1">
      <c r="A1981" s="32"/>
    </row>
    <row r="1982" spans="1:1">
      <c r="A1982" s="32"/>
    </row>
    <row r="1983" spans="1:1">
      <c r="A1983" s="32"/>
    </row>
    <row r="1984" spans="1:1">
      <c r="A1984" s="32"/>
    </row>
    <row r="1985" spans="1:1">
      <c r="A1985" s="32"/>
    </row>
    <row r="1986" spans="1:1">
      <c r="A1986" s="32"/>
    </row>
    <row r="1987" spans="1:1">
      <c r="A1987" s="32"/>
    </row>
    <row r="1988" spans="1:1">
      <c r="A1988" s="32"/>
    </row>
    <row r="1989" spans="1:1">
      <c r="A1989" s="32"/>
    </row>
    <row r="1990" spans="1:1">
      <c r="A1990" s="32"/>
    </row>
    <row r="1991" spans="1:1">
      <c r="A1991" s="32"/>
    </row>
    <row r="1992" spans="1:1">
      <c r="A1992" s="32"/>
    </row>
    <row r="1993" spans="1:1">
      <c r="A1993" s="32"/>
    </row>
    <row r="1994" spans="1:1">
      <c r="A1994" s="32"/>
    </row>
    <row r="1995" spans="1:1">
      <c r="A1995" s="32"/>
    </row>
    <row r="1996" spans="1:1">
      <c r="A1996" s="32"/>
    </row>
    <row r="1997" spans="1:1">
      <c r="A1997" s="32"/>
    </row>
    <row r="1998" spans="1:1">
      <c r="A1998" s="32"/>
    </row>
    <row r="1999" spans="1:1">
      <c r="A1999" s="32"/>
    </row>
    <row r="2000" spans="1:1">
      <c r="A2000" s="32"/>
    </row>
    <row r="2001" spans="1:1">
      <c r="A2001" s="32"/>
    </row>
    <row r="2002" spans="1:1">
      <c r="A2002" s="32"/>
    </row>
    <row r="2003" spans="1:1">
      <c r="A2003" s="32"/>
    </row>
    <row r="2004" spans="1:1">
      <c r="A2004" s="32"/>
    </row>
    <row r="2005" spans="1:1">
      <c r="A2005" s="32"/>
    </row>
    <row r="2006" spans="1:1">
      <c r="A2006" s="32"/>
    </row>
    <row r="2007" spans="1:1">
      <c r="A2007" s="32"/>
    </row>
    <row r="2008" spans="1:1">
      <c r="A2008" s="32"/>
    </row>
    <row r="2009" spans="1:1">
      <c r="A2009" s="32"/>
    </row>
    <row r="2010" spans="1:1">
      <c r="A2010" s="32"/>
    </row>
    <row r="2011" spans="1:1">
      <c r="A2011" s="32"/>
    </row>
    <row r="2012" spans="1:1">
      <c r="A2012" s="32"/>
    </row>
    <row r="2013" spans="1:1">
      <c r="A2013" s="32"/>
    </row>
    <row r="2014" spans="1:1">
      <c r="A2014" s="32"/>
    </row>
    <row r="2015" spans="1:1">
      <c r="A2015" s="32"/>
    </row>
    <row r="2016" spans="1:1">
      <c r="A2016" s="32"/>
    </row>
    <row r="2017" spans="1:1">
      <c r="A2017" s="32"/>
    </row>
    <row r="2018" spans="1:1">
      <c r="A2018" s="32"/>
    </row>
    <row r="2019" spans="1:1">
      <c r="A2019" s="32"/>
    </row>
    <row r="2020" spans="1:1">
      <c r="A2020" s="32"/>
    </row>
    <row r="2021" spans="1:1">
      <c r="A2021" s="32"/>
    </row>
    <row r="2022" spans="1:1">
      <c r="A2022" s="32"/>
    </row>
    <row r="2023" spans="1:1">
      <c r="A2023" s="32"/>
    </row>
    <row r="2024" spans="1:1">
      <c r="A2024" s="32"/>
    </row>
    <row r="2025" spans="1:1">
      <c r="A2025" s="32"/>
    </row>
    <row r="2026" spans="1:1">
      <c r="A2026" s="32"/>
    </row>
    <row r="2027" spans="1:1">
      <c r="A2027" s="32"/>
    </row>
    <row r="2028" spans="1:1">
      <c r="A2028" s="32"/>
    </row>
    <row r="2029" spans="1:1">
      <c r="A2029" s="32"/>
    </row>
    <row r="2030" spans="1:1">
      <c r="A2030" s="32"/>
    </row>
    <row r="2031" spans="1:1">
      <c r="A2031" s="32"/>
    </row>
    <row r="2032" spans="1:1">
      <c r="A2032" s="32"/>
    </row>
    <row r="2033" spans="1:1">
      <c r="A2033" s="32"/>
    </row>
    <row r="2034" spans="1:1">
      <c r="A2034" s="32"/>
    </row>
    <row r="2035" spans="1:1">
      <c r="A2035" s="32"/>
    </row>
    <row r="2036" spans="1:1">
      <c r="A2036" s="32"/>
    </row>
    <row r="2037" spans="1:1">
      <c r="A2037" s="32"/>
    </row>
    <row r="2038" spans="1:1">
      <c r="A2038" s="32"/>
    </row>
    <row r="2039" spans="1:1">
      <c r="A2039" s="32"/>
    </row>
    <row r="2040" spans="1:1">
      <c r="A2040" s="32"/>
    </row>
    <row r="2041" spans="1:1">
      <c r="A2041" s="32"/>
    </row>
    <row r="2042" spans="1:1">
      <c r="A2042" s="32"/>
    </row>
    <row r="2043" spans="1:1">
      <c r="A2043" s="32"/>
    </row>
    <row r="2044" spans="1:1">
      <c r="A2044" s="32"/>
    </row>
    <row r="2045" spans="1:1">
      <c r="A2045" s="32"/>
    </row>
    <row r="2046" spans="1:1">
      <c r="A2046" s="32"/>
    </row>
    <row r="2047" spans="1:1">
      <c r="A2047" s="32"/>
    </row>
    <row r="2048" spans="1:1">
      <c r="A2048" s="32"/>
    </row>
    <row r="2049" spans="1:1">
      <c r="A2049" s="32"/>
    </row>
    <row r="2050" spans="1:1">
      <c r="A2050" s="32"/>
    </row>
    <row r="2051" spans="1:1">
      <c r="A2051" s="32"/>
    </row>
    <row r="2052" spans="1:1">
      <c r="A2052" s="32"/>
    </row>
    <row r="2053" spans="1:1">
      <c r="A2053" s="32"/>
    </row>
    <row r="2054" spans="1:1">
      <c r="A2054" s="32"/>
    </row>
    <row r="2055" spans="1:1">
      <c r="A2055" s="32"/>
    </row>
    <row r="2056" spans="1:1">
      <c r="A2056" s="32"/>
    </row>
    <row r="2057" spans="1:1">
      <c r="A2057" s="32"/>
    </row>
    <row r="2058" spans="1:1">
      <c r="A2058" s="32"/>
    </row>
    <row r="2059" spans="1:1">
      <c r="A2059" s="32"/>
    </row>
    <row r="2060" spans="1:1">
      <c r="A2060" s="32"/>
    </row>
    <row r="2061" spans="1:1">
      <c r="A2061" s="32"/>
    </row>
    <row r="2062" spans="1:1">
      <c r="A2062" s="32"/>
    </row>
    <row r="2063" spans="1:1">
      <c r="A2063" s="32"/>
    </row>
    <row r="2064" spans="1:1">
      <c r="A2064" s="32"/>
    </row>
    <row r="2065" spans="1:1">
      <c r="A2065" s="32"/>
    </row>
    <row r="2066" spans="1:1">
      <c r="A2066" s="32"/>
    </row>
    <row r="2067" spans="1:1">
      <c r="A2067" s="32"/>
    </row>
    <row r="2068" spans="1:1">
      <c r="A2068" s="32"/>
    </row>
    <row r="2069" spans="1:1">
      <c r="A2069" s="32"/>
    </row>
    <row r="2070" spans="1:1">
      <c r="A2070" s="32"/>
    </row>
    <row r="2071" spans="1:1">
      <c r="A2071" s="32"/>
    </row>
    <row r="2072" spans="1:1">
      <c r="A2072" s="32"/>
    </row>
    <row r="2073" spans="1:1">
      <c r="A2073" s="32"/>
    </row>
    <row r="2074" spans="1:1">
      <c r="A2074" s="32"/>
    </row>
    <row r="2075" spans="1:1">
      <c r="A2075" s="32"/>
    </row>
    <row r="2076" spans="1:1">
      <c r="A2076" s="32"/>
    </row>
    <row r="2077" spans="1:1">
      <c r="A2077" s="32"/>
    </row>
    <row r="2078" spans="1:1">
      <c r="A2078" s="32"/>
    </row>
    <row r="2079" spans="1:1">
      <c r="A2079" s="32"/>
    </row>
    <row r="2080" spans="1:1">
      <c r="A2080" s="32"/>
    </row>
    <row r="2081" spans="1:1">
      <c r="A2081" s="32"/>
    </row>
    <row r="2082" spans="1:1">
      <c r="A2082" s="32"/>
    </row>
    <row r="2083" spans="1:1">
      <c r="A2083" s="32"/>
    </row>
    <row r="2084" spans="1:1">
      <c r="A2084" s="32"/>
    </row>
    <row r="2085" spans="1:1">
      <c r="A2085" s="32"/>
    </row>
    <row r="2086" spans="1:1">
      <c r="A2086" s="32"/>
    </row>
    <row r="2087" spans="1:1">
      <c r="A2087" s="32"/>
    </row>
    <row r="2088" spans="1:1">
      <c r="A2088" s="32"/>
    </row>
    <row r="2089" spans="1:1">
      <c r="A2089" s="32"/>
    </row>
    <row r="2090" spans="1:1">
      <c r="A2090" s="32"/>
    </row>
    <row r="2091" spans="1:1">
      <c r="A2091" s="32"/>
    </row>
    <row r="2092" spans="1:1">
      <c r="A2092" s="32"/>
    </row>
    <row r="2093" spans="1:1">
      <c r="A2093" s="32"/>
    </row>
    <row r="2094" spans="1:1">
      <c r="A2094" s="32"/>
    </row>
    <row r="2095" spans="1:1">
      <c r="A2095" s="32"/>
    </row>
    <row r="2096" spans="1:1">
      <c r="A2096" s="32"/>
    </row>
    <row r="2097" spans="1:1">
      <c r="A2097" s="32"/>
    </row>
    <row r="2098" spans="1:1">
      <c r="A2098" s="32"/>
    </row>
    <row r="2099" spans="1:1">
      <c r="A2099" s="32"/>
    </row>
    <row r="2100" spans="1:1">
      <c r="A2100" s="32"/>
    </row>
    <row r="2101" spans="1:1">
      <c r="A2101" s="32"/>
    </row>
    <row r="2102" spans="1:1">
      <c r="A2102" s="32"/>
    </row>
    <row r="2103" spans="1:1">
      <c r="A2103" s="32"/>
    </row>
    <row r="2104" spans="1:1">
      <c r="A2104" s="32"/>
    </row>
    <row r="2105" spans="1:1">
      <c r="A2105" s="32"/>
    </row>
    <row r="2106" spans="1:1">
      <c r="A2106" s="32"/>
    </row>
    <row r="2107" spans="1:1">
      <c r="A2107" s="32"/>
    </row>
    <row r="2108" spans="1:1">
      <c r="A2108" s="32"/>
    </row>
    <row r="2109" spans="1:1">
      <c r="A2109" s="32"/>
    </row>
    <row r="2110" spans="1:1">
      <c r="A2110" s="32"/>
    </row>
    <row r="2111" spans="1:1">
      <c r="A2111" s="32"/>
    </row>
    <row r="2112" spans="1:1">
      <c r="A2112" s="32"/>
    </row>
    <row r="2113" spans="1:1">
      <c r="A2113" s="32"/>
    </row>
    <row r="2114" spans="1:1">
      <c r="A2114" s="32"/>
    </row>
    <row r="2115" spans="1:1">
      <c r="A2115" s="32"/>
    </row>
    <row r="2116" spans="1:1">
      <c r="A2116" s="32"/>
    </row>
    <row r="2117" spans="1:1">
      <c r="A2117" s="32"/>
    </row>
    <row r="2118" spans="1:1">
      <c r="A2118" s="32"/>
    </row>
    <row r="2119" spans="1:1">
      <c r="A2119" s="32"/>
    </row>
    <row r="2120" spans="1:1">
      <c r="A2120" s="32"/>
    </row>
    <row r="2121" spans="1:1">
      <c r="A2121" s="32"/>
    </row>
    <row r="2122" spans="1:1">
      <c r="A2122" s="32"/>
    </row>
    <row r="2123" spans="1:1">
      <c r="A2123" s="32"/>
    </row>
    <row r="2124" spans="1:1">
      <c r="A2124" s="32"/>
    </row>
    <row r="2125" spans="1:1">
      <c r="A2125" s="32"/>
    </row>
    <row r="2126" spans="1:1">
      <c r="A2126" s="32"/>
    </row>
    <row r="2127" spans="1:1">
      <c r="A2127" s="32"/>
    </row>
    <row r="2128" spans="1:1">
      <c r="A2128" s="32"/>
    </row>
    <row r="2129" spans="1:1">
      <c r="A2129" s="32"/>
    </row>
    <row r="2130" spans="1:1">
      <c r="A2130" s="32"/>
    </row>
    <row r="2131" spans="1:1">
      <c r="A2131" s="32"/>
    </row>
    <row r="2132" spans="1:1">
      <c r="A2132" s="32"/>
    </row>
    <row r="2133" spans="1:1">
      <c r="A2133" s="32"/>
    </row>
    <row r="2134" spans="1:1">
      <c r="A2134" s="32"/>
    </row>
    <row r="2135" spans="1:1">
      <c r="A2135" s="32"/>
    </row>
    <row r="2136" spans="1:1">
      <c r="A2136" s="32"/>
    </row>
    <row r="2137" spans="1:1">
      <c r="A2137" s="32"/>
    </row>
    <row r="2138" spans="1:1">
      <c r="A2138" s="32"/>
    </row>
    <row r="2139" spans="1:1">
      <c r="A2139" s="32"/>
    </row>
    <row r="2140" spans="1:1">
      <c r="A2140" s="32"/>
    </row>
    <row r="2141" spans="1:1">
      <c r="A2141" s="32"/>
    </row>
    <row r="2142" spans="1:1">
      <c r="A2142" s="32"/>
    </row>
    <row r="2143" spans="1:1">
      <c r="A2143" s="32"/>
    </row>
    <row r="2144" spans="1:1">
      <c r="A2144" s="32"/>
    </row>
    <row r="2145" spans="1:1">
      <c r="A2145" s="32"/>
    </row>
    <row r="2146" spans="1:1">
      <c r="A2146" s="32"/>
    </row>
    <row r="2147" spans="1:1">
      <c r="A2147" s="32"/>
    </row>
    <row r="2148" spans="1:1">
      <c r="A2148" s="32"/>
    </row>
    <row r="2149" spans="1:1">
      <c r="A2149" s="32"/>
    </row>
    <row r="2150" spans="1:1">
      <c r="A2150" s="32"/>
    </row>
    <row r="2151" spans="1:1">
      <c r="A2151" s="32"/>
    </row>
    <row r="2152" spans="1:1">
      <c r="A2152" s="32"/>
    </row>
    <row r="2153" spans="1:1">
      <c r="A2153" s="32"/>
    </row>
    <row r="2154" spans="1:1">
      <c r="A2154" s="32"/>
    </row>
    <row r="2155" spans="1:1">
      <c r="A2155" s="32"/>
    </row>
    <row r="2156" spans="1:1">
      <c r="A2156" s="32"/>
    </row>
    <row r="2157" spans="1:1">
      <c r="A2157" s="32"/>
    </row>
    <row r="2158" spans="1:1">
      <c r="A2158" s="32"/>
    </row>
    <row r="2159" spans="1:1">
      <c r="A2159" s="32"/>
    </row>
    <row r="2160" spans="1:1">
      <c r="A2160" s="32"/>
    </row>
    <row r="2161" spans="1:1">
      <c r="A2161" s="32"/>
    </row>
    <row r="2162" spans="1:1">
      <c r="A2162" s="32"/>
    </row>
    <row r="2163" spans="1:1">
      <c r="A2163" s="32"/>
    </row>
    <row r="2164" spans="1:1">
      <c r="A2164" s="32"/>
    </row>
    <row r="2165" spans="1:1">
      <c r="A2165" s="32"/>
    </row>
    <row r="2166" spans="1:1">
      <c r="A2166" s="32"/>
    </row>
    <row r="2167" spans="1:1">
      <c r="A2167" s="32"/>
    </row>
    <row r="2168" spans="1:1">
      <c r="A2168" s="32"/>
    </row>
    <row r="2169" spans="1:1">
      <c r="A2169" s="32"/>
    </row>
    <row r="2170" spans="1:1">
      <c r="A2170" s="32"/>
    </row>
    <row r="2171" spans="1:1">
      <c r="A2171" s="32"/>
    </row>
    <row r="2172" spans="1:1">
      <c r="A2172" s="32"/>
    </row>
    <row r="2173" spans="1:1">
      <c r="A2173" s="32"/>
    </row>
    <row r="2174" spans="1:1">
      <c r="A2174" s="32"/>
    </row>
    <row r="2175" spans="1:1">
      <c r="A2175" s="32"/>
    </row>
    <row r="2176" spans="1:1">
      <c r="A2176" s="32"/>
    </row>
    <row r="2177" spans="1:1">
      <c r="A2177" s="32"/>
    </row>
    <row r="2178" spans="1:1">
      <c r="A2178" s="32"/>
    </row>
    <row r="2179" spans="1:1">
      <c r="A2179" s="32"/>
    </row>
    <row r="2180" spans="1:1">
      <c r="A2180" s="32"/>
    </row>
    <row r="2181" spans="1:1">
      <c r="A2181" s="32"/>
    </row>
    <row r="2182" spans="1:1">
      <c r="A2182" s="32"/>
    </row>
    <row r="2183" spans="1:1">
      <c r="A2183" s="32"/>
    </row>
    <row r="2184" spans="1:1">
      <c r="A2184" s="32"/>
    </row>
    <row r="2185" spans="1:1">
      <c r="A2185" s="32"/>
    </row>
    <row r="2186" spans="1:1">
      <c r="A2186" s="32"/>
    </row>
    <row r="2187" spans="1:1">
      <c r="A2187" s="32"/>
    </row>
    <row r="2188" spans="1:1">
      <c r="A2188" s="32"/>
    </row>
    <row r="2189" spans="1:1">
      <c r="A2189" s="32"/>
    </row>
    <row r="2190" spans="1:1">
      <c r="A2190" s="32"/>
    </row>
    <row r="2191" spans="1:1">
      <c r="A2191" s="32"/>
    </row>
    <row r="2192" spans="1:1">
      <c r="A2192" s="32"/>
    </row>
    <row r="2193" spans="1:1">
      <c r="A2193" s="32"/>
    </row>
    <row r="2194" spans="1:1">
      <c r="A2194" s="32"/>
    </row>
    <row r="2195" spans="1:1">
      <c r="A2195" s="32"/>
    </row>
    <row r="2196" spans="1:1">
      <c r="A2196" s="32"/>
    </row>
    <row r="2197" spans="1:1">
      <c r="A2197" s="32"/>
    </row>
    <row r="2198" spans="1:1">
      <c r="A2198" s="32"/>
    </row>
    <row r="2199" spans="1:1">
      <c r="A2199" s="32"/>
    </row>
    <row r="2200" spans="1:1">
      <c r="A2200" s="32"/>
    </row>
    <row r="2201" spans="1:1">
      <c r="A2201" s="32"/>
    </row>
    <row r="2202" spans="1:1">
      <c r="A2202" s="32"/>
    </row>
    <row r="2203" spans="1:1">
      <c r="A2203" s="32"/>
    </row>
    <row r="2204" spans="1:1">
      <c r="A2204" s="32"/>
    </row>
    <row r="2205" spans="1:1">
      <c r="A2205" s="32"/>
    </row>
    <row r="2206" spans="1:1">
      <c r="A2206" s="32"/>
    </row>
    <row r="2207" spans="1:1">
      <c r="A2207" s="32"/>
    </row>
    <row r="2208" spans="1:1">
      <c r="A2208" s="32"/>
    </row>
    <row r="2209" spans="1:4">
      <c r="A2209" s="32"/>
    </row>
    <row r="2210" spans="1:4">
      <c r="A2210" s="32"/>
    </row>
    <row r="2211" spans="1:4">
      <c r="A2211" s="32"/>
    </row>
    <row r="2212" spans="1:4">
      <c r="A2212" s="32"/>
    </row>
    <row r="2213" spans="1:4">
      <c r="A2213" s="32"/>
    </row>
    <row r="2214" spans="1:4">
      <c r="A2214" s="32"/>
    </row>
    <row r="2215" spans="1:4">
      <c r="A2215" s="32"/>
    </row>
    <row r="2216" spans="1:4">
      <c r="A2216" s="32"/>
    </row>
    <row r="2217" spans="1:4">
      <c r="A2217" s="32"/>
    </row>
    <row r="2218" spans="1:4">
      <c r="A2218" s="32"/>
    </row>
    <row r="2219" spans="1:4">
      <c r="A2219" s="32"/>
    </row>
    <row r="2220" spans="1:4">
      <c r="A2220" s="32"/>
    </row>
    <row r="2221" spans="1:4">
      <c r="A2221" s="32"/>
      <c r="D2221" s="19"/>
    </row>
    <row r="2222" spans="1:4">
      <c r="A2222" s="32"/>
    </row>
    <row r="2223" spans="1:4">
      <c r="A2223" s="32"/>
    </row>
    <row r="2224" spans="1:4">
      <c r="A2224" s="32"/>
    </row>
    <row r="2225" spans="1:1">
      <c r="A2225" s="32"/>
    </row>
    <row r="2226" spans="1:1">
      <c r="A2226" s="32"/>
    </row>
    <row r="2227" spans="1:1">
      <c r="A2227" s="32"/>
    </row>
    <row r="2228" spans="1:1">
      <c r="A2228" s="32"/>
    </row>
    <row r="2229" spans="1:1">
      <c r="A2229" s="32"/>
    </row>
    <row r="2230" spans="1:1">
      <c r="A2230" s="32"/>
    </row>
    <row r="2231" spans="1:1">
      <c r="A2231" s="32"/>
    </row>
    <row r="2232" spans="1:1">
      <c r="A2232" s="32"/>
    </row>
    <row r="2233" spans="1:1">
      <c r="A2233" s="32"/>
    </row>
    <row r="2234" spans="1:1">
      <c r="A2234" s="32"/>
    </row>
    <row r="2235" spans="1:1">
      <c r="A2235" s="32"/>
    </row>
    <row r="2236" spans="1:1">
      <c r="A2236" s="32"/>
    </row>
    <row r="2237" spans="1:1">
      <c r="A2237" s="32"/>
    </row>
    <row r="2238" spans="1:1">
      <c r="A2238" s="32"/>
    </row>
    <row r="2239" spans="1:1">
      <c r="A2239" s="32"/>
    </row>
    <row r="2240" spans="1:1">
      <c r="A2240" s="32"/>
    </row>
    <row r="2241" spans="1:1">
      <c r="A2241" s="32"/>
    </row>
    <row r="2242" spans="1:1">
      <c r="A2242" s="32"/>
    </row>
    <row r="2243" spans="1:1">
      <c r="A2243" s="32"/>
    </row>
    <row r="2244" spans="1:1">
      <c r="A2244" s="32"/>
    </row>
    <row r="2245" spans="1:1">
      <c r="A2245" s="32"/>
    </row>
    <row r="2246" spans="1:1">
      <c r="A2246" s="32"/>
    </row>
    <row r="2247" spans="1:1">
      <c r="A2247" s="32"/>
    </row>
    <row r="2248" spans="1:1">
      <c r="A2248" s="32"/>
    </row>
    <row r="2249" spans="1:1">
      <c r="A2249" s="32"/>
    </row>
    <row r="2250" spans="1:1">
      <c r="A2250" s="32"/>
    </row>
    <row r="2251" spans="1:1">
      <c r="A2251" s="32"/>
    </row>
    <row r="2252" spans="1:1">
      <c r="A2252" s="32"/>
    </row>
    <row r="2253" spans="1:1">
      <c r="A2253" s="32"/>
    </row>
    <row r="2254" spans="1:1">
      <c r="A2254" s="32"/>
    </row>
    <row r="2255" spans="1:1">
      <c r="A2255" s="32"/>
    </row>
    <row r="2256" spans="1:1">
      <c r="A2256" s="32"/>
    </row>
    <row r="2257" spans="1:1">
      <c r="A2257" s="32"/>
    </row>
    <row r="2258" spans="1:1">
      <c r="A2258" s="32"/>
    </row>
    <row r="2259" spans="1:1">
      <c r="A2259" s="32"/>
    </row>
    <row r="2260" spans="1:1">
      <c r="A2260" s="32"/>
    </row>
    <row r="2261" spans="1:1">
      <c r="A2261" s="32"/>
    </row>
    <row r="2262" spans="1:1">
      <c r="A2262" s="32"/>
    </row>
    <row r="2263" spans="1:1">
      <c r="A2263" s="32"/>
    </row>
    <row r="2264" spans="1:1">
      <c r="A2264" s="32"/>
    </row>
    <row r="2265" spans="1:1">
      <c r="A2265" s="32"/>
    </row>
    <row r="2266" spans="1:1">
      <c r="A2266" s="32"/>
    </row>
    <row r="2267" spans="1:1">
      <c r="A2267" s="32"/>
    </row>
    <row r="2268" spans="1:1">
      <c r="A2268" s="32"/>
    </row>
    <row r="2269" spans="1:1">
      <c r="A2269" s="32"/>
    </row>
    <row r="2270" spans="1:1">
      <c r="A2270" s="32"/>
    </row>
    <row r="2271" spans="1:1">
      <c r="A2271" s="32"/>
    </row>
    <row r="2272" spans="1:1">
      <c r="A2272" s="32"/>
    </row>
    <row r="2273" spans="1:1">
      <c r="A2273" s="32"/>
    </row>
    <row r="2274" spans="1:1">
      <c r="A2274" s="32"/>
    </row>
    <row r="2275" spans="1:1">
      <c r="A2275" s="32"/>
    </row>
    <row r="2276" spans="1:1">
      <c r="A2276" s="32"/>
    </row>
    <row r="2277" spans="1:1">
      <c r="A2277" s="32"/>
    </row>
    <row r="2278" spans="1:1">
      <c r="A2278" s="32"/>
    </row>
    <row r="2279" spans="1:1">
      <c r="A2279" s="32"/>
    </row>
    <row r="2280" spans="1:1">
      <c r="A2280" s="32"/>
    </row>
    <row r="2281" spans="1:1">
      <c r="A2281" s="32"/>
    </row>
    <row r="2282" spans="1:1">
      <c r="A2282" s="32"/>
    </row>
    <row r="2283" spans="1:1">
      <c r="A2283" s="32"/>
    </row>
    <row r="2284" spans="1:1">
      <c r="A2284" s="32"/>
    </row>
    <row r="2285" spans="1:1">
      <c r="A2285" s="32"/>
    </row>
    <row r="2286" spans="1:1">
      <c r="A2286" s="32"/>
    </row>
    <row r="2287" spans="1:1">
      <c r="A2287" s="32"/>
    </row>
    <row r="2288" spans="1:1">
      <c r="A2288" s="32"/>
    </row>
    <row r="2289" spans="1:1">
      <c r="A2289" s="32"/>
    </row>
    <row r="2290" spans="1:1">
      <c r="A2290" s="32"/>
    </row>
    <row r="2291" spans="1:1">
      <c r="A2291" s="32"/>
    </row>
    <row r="2292" spans="1:1">
      <c r="A2292" s="32"/>
    </row>
    <row r="2293" spans="1:1">
      <c r="A2293" s="32"/>
    </row>
    <row r="2294" spans="1:1">
      <c r="A2294" s="32"/>
    </row>
    <row r="2295" spans="1:1">
      <c r="A2295" s="32"/>
    </row>
    <row r="2296" spans="1:1">
      <c r="A2296" s="32"/>
    </row>
    <row r="2297" spans="1:1">
      <c r="A2297" s="32"/>
    </row>
    <row r="2298" spans="1:1">
      <c r="A2298" s="32"/>
    </row>
    <row r="2299" spans="1:1">
      <c r="A2299" s="32"/>
    </row>
    <row r="2300" spans="1:1">
      <c r="A2300" s="32"/>
    </row>
    <row r="2301" spans="1:1">
      <c r="A2301" s="32"/>
    </row>
    <row r="2302" spans="1:1">
      <c r="A2302" s="32"/>
    </row>
    <row r="2303" spans="1:1">
      <c r="A2303" s="32"/>
    </row>
    <row r="2304" spans="1:1">
      <c r="A2304" s="32"/>
    </row>
    <row r="2305" spans="1:1">
      <c r="A2305" s="32"/>
    </row>
    <row r="2306" spans="1:1">
      <c r="A2306" s="32"/>
    </row>
    <row r="2307" spans="1:1">
      <c r="A2307" s="32"/>
    </row>
    <row r="2308" spans="1:1">
      <c r="A2308" s="32"/>
    </row>
    <row r="2309" spans="1:1">
      <c r="A2309" s="32"/>
    </row>
    <row r="2310" spans="1:1">
      <c r="A2310" s="32"/>
    </row>
    <row r="2311" spans="1:1">
      <c r="A2311" s="32"/>
    </row>
    <row r="2312" spans="1:1">
      <c r="A2312" s="32"/>
    </row>
    <row r="2313" spans="1:1">
      <c r="A2313" s="32"/>
    </row>
    <row r="2314" spans="1:1">
      <c r="A2314" s="32"/>
    </row>
    <row r="2315" spans="1:1">
      <c r="A2315" s="32"/>
    </row>
    <row r="2316" spans="1:1">
      <c r="A2316" s="32"/>
    </row>
    <row r="2317" spans="1:1">
      <c r="A2317" s="32"/>
    </row>
    <row r="2318" spans="1:1">
      <c r="A2318" s="32"/>
    </row>
    <row r="2319" spans="1:1">
      <c r="A2319" s="32"/>
    </row>
    <row r="2320" spans="1:1">
      <c r="A2320" s="32"/>
    </row>
    <row r="2321" spans="1:1">
      <c r="A2321" s="32"/>
    </row>
    <row r="2322" spans="1:1">
      <c r="A2322" s="32"/>
    </row>
    <row r="2323" spans="1:1">
      <c r="A2323" s="32"/>
    </row>
    <row r="2324" spans="1:1">
      <c r="A2324" s="32"/>
    </row>
    <row r="2325" spans="1:1">
      <c r="A2325" s="32"/>
    </row>
    <row r="2326" spans="1:1">
      <c r="A2326" s="32"/>
    </row>
    <row r="2327" spans="1:1">
      <c r="A2327" s="32"/>
    </row>
    <row r="2328" spans="1:1">
      <c r="A2328" s="32"/>
    </row>
    <row r="2329" spans="1:1">
      <c r="A2329" s="32"/>
    </row>
    <row r="2330" spans="1:1">
      <c r="A2330" s="32"/>
    </row>
    <row r="2331" spans="1:1">
      <c r="A2331" s="32"/>
    </row>
    <row r="2332" spans="1:1">
      <c r="A2332" s="32"/>
    </row>
    <row r="2333" spans="1:1">
      <c r="A2333" s="32"/>
    </row>
    <row r="2334" spans="1:1">
      <c r="A2334" s="32"/>
    </row>
    <row r="2335" spans="1:1">
      <c r="A2335" s="32"/>
    </row>
    <row r="2336" spans="1:1">
      <c r="A2336" s="32"/>
    </row>
    <row r="2337" spans="1:1">
      <c r="A2337" s="32"/>
    </row>
    <row r="2338" spans="1:1">
      <c r="A2338" s="32"/>
    </row>
    <row r="2339" spans="1:1">
      <c r="A2339" s="32"/>
    </row>
    <row r="2340" spans="1:1">
      <c r="A2340" s="32"/>
    </row>
    <row r="2341" spans="1:1">
      <c r="A2341" s="32"/>
    </row>
    <row r="2342" spans="1:1">
      <c r="A2342" s="32"/>
    </row>
    <row r="2343" spans="1:1">
      <c r="A2343" s="32"/>
    </row>
    <row r="2344" spans="1:1">
      <c r="A2344" s="32"/>
    </row>
    <row r="2345" spans="1:1">
      <c r="A2345" s="32"/>
    </row>
    <row r="2346" spans="1:1">
      <c r="A2346" s="32"/>
    </row>
    <row r="2347" spans="1:1">
      <c r="A2347" s="32"/>
    </row>
    <row r="2348" spans="1:1">
      <c r="A2348" s="32"/>
    </row>
    <row r="2349" spans="1:1">
      <c r="A2349" s="32"/>
    </row>
    <row r="2350" spans="1:1">
      <c r="A2350" s="32"/>
    </row>
    <row r="2351" spans="1:1">
      <c r="A2351" s="32"/>
    </row>
    <row r="2352" spans="1:1">
      <c r="A2352" s="32"/>
    </row>
    <row r="2353" spans="1:1">
      <c r="A2353" s="32"/>
    </row>
    <row r="2354" spans="1:1">
      <c r="A2354" s="32"/>
    </row>
    <row r="2355" spans="1:1">
      <c r="A2355" s="32"/>
    </row>
    <row r="2356" spans="1:1">
      <c r="A2356" s="32"/>
    </row>
    <row r="2357" spans="1:1">
      <c r="A2357" s="32"/>
    </row>
    <row r="2358" spans="1:1">
      <c r="A2358" s="32"/>
    </row>
    <row r="2359" spans="1:1">
      <c r="A2359" s="32"/>
    </row>
    <row r="2360" spans="1:1">
      <c r="A2360" s="32"/>
    </row>
    <row r="2361" spans="1:1">
      <c r="A2361" s="32"/>
    </row>
    <row r="2362" spans="1:1">
      <c r="A2362" s="32"/>
    </row>
    <row r="2363" spans="1:1">
      <c r="A2363" s="32"/>
    </row>
    <row r="2364" spans="1:1">
      <c r="A2364" s="32"/>
    </row>
    <row r="2365" spans="1:1">
      <c r="A2365" s="32"/>
    </row>
    <row r="2366" spans="1:1">
      <c r="A2366" s="32"/>
    </row>
    <row r="2367" spans="1:1">
      <c r="A2367" s="32"/>
    </row>
    <row r="2368" spans="1:1">
      <c r="A2368" s="32"/>
    </row>
    <row r="2369" spans="1:1">
      <c r="A2369" s="32"/>
    </row>
    <row r="2370" spans="1:1">
      <c r="A2370" s="32"/>
    </row>
    <row r="2371" spans="1:1">
      <c r="A2371" s="32"/>
    </row>
    <row r="2372" spans="1:1">
      <c r="A2372" s="32"/>
    </row>
    <row r="2373" spans="1:1">
      <c r="A2373" s="32"/>
    </row>
    <row r="2374" spans="1:1">
      <c r="A2374" s="32"/>
    </row>
    <row r="2375" spans="1:1">
      <c r="A2375" s="32"/>
    </row>
    <row r="2376" spans="1:1">
      <c r="A2376" s="32"/>
    </row>
    <row r="2377" spans="1:1">
      <c r="A2377" s="32"/>
    </row>
    <row r="2378" spans="1:1">
      <c r="A2378" s="32"/>
    </row>
    <row r="2379" spans="1:1">
      <c r="A2379" s="32"/>
    </row>
    <row r="2380" spans="1:1">
      <c r="A2380" s="32"/>
    </row>
    <row r="2381" spans="1:1">
      <c r="A2381" s="32"/>
    </row>
    <row r="2382" spans="1:1">
      <c r="A2382" s="32"/>
    </row>
    <row r="2383" spans="1:1">
      <c r="A2383" s="32"/>
    </row>
    <row r="2384" spans="1:1">
      <c r="A2384" s="32"/>
    </row>
    <row r="2385" spans="1:1">
      <c r="A2385" s="32"/>
    </row>
    <row r="2386" spans="1:1">
      <c r="A2386" s="32"/>
    </row>
    <row r="2387" spans="1:1">
      <c r="A2387" s="32"/>
    </row>
    <row r="2388" spans="1:1">
      <c r="A2388" s="32"/>
    </row>
    <row r="2389" spans="1:1">
      <c r="A2389" s="32"/>
    </row>
    <row r="2390" spans="1:1">
      <c r="A2390" s="32"/>
    </row>
    <row r="2391" spans="1:1">
      <c r="A2391" s="32"/>
    </row>
    <row r="2392" spans="1:1">
      <c r="A2392" s="32"/>
    </row>
    <row r="2393" spans="1:1">
      <c r="A2393" s="32"/>
    </row>
    <row r="2394" spans="1:1">
      <c r="A2394" s="32"/>
    </row>
    <row r="2395" spans="1:1">
      <c r="A2395" s="32"/>
    </row>
    <row r="2396" spans="1:1">
      <c r="A2396" s="32"/>
    </row>
    <row r="2397" spans="1:1">
      <c r="A2397" s="32"/>
    </row>
    <row r="2398" spans="1:1">
      <c r="A2398" s="32"/>
    </row>
    <row r="2399" spans="1:1">
      <c r="A2399" s="32"/>
    </row>
    <row r="2400" spans="1:1">
      <c r="A2400" s="32"/>
    </row>
    <row r="2401" spans="1:1">
      <c r="A2401" s="32"/>
    </row>
    <row r="2402" spans="1:1">
      <c r="A2402" s="32"/>
    </row>
    <row r="2403" spans="1:1">
      <c r="A2403" s="32"/>
    </row>
    <row r="2404" spans="1:1">
      <c r="A2404" s="32"/>
    </row>
    <row r="2405" spans="1:1">
      <c r="A2405" s="32"/>
    </row>
    <row r="2406" spans="1:1">
      <c r="A2406" s="32"/>
    </row>
    <row r="2407" spans="1:1">
      <c r="A2407" s="32"/>
    </row>
    <row r="2408" spans="1:1">
      <c r="A2408" s="32"/>
    </row>
    <row r="2409" spans="1:1">
      <c r="A2409" s="32"/>
    </row>
    <row r="2410" spans="1:1">
      <c r="A2410" s="32"/>
    </row>
    <row r="2411" spans="1:1">
      <c r="A2411" s="32"/>
    </row>
    <row r="2412" spans="1:1">
      <c r="A2412" s="32"/>
    </row>
    <row r="2413" spans="1:1">
      <c r="A2413" s="32"/>
    </row>
    <row r="2414" spans="1:1">
      <c r="A2414" s="32"/>
    </row>
    <row r="2415" spans="1:1">
      <c r="A2415" s="32"/>
    </row>
    <row r="2416" spans="1:1">
      <c r="A2416" s="32"/>
    </row>
    <row r="2417" spans="1:1">
      <c r="A2417" s="32"/>
    </row>
    <row r="2418" spans="1:1">
      <c r="A2418" s="32"/>
    </row>
    <row r="2419" spans="1:1">
      <c r="A2419" s="32"/>
    </row>
    <row r="2420" spans="1:1">
      <c r="A2420" s="32"/>
    </row>
    <row r="2421" spans="1:1">
      <c r="A2421" s="32"/>
    </row>
    <row r="2422" spans="1:1">
      <c r="A2422" s="32"/>
    </row>
    <row r="2423" spans="1:1">
      <c r="A2423" s="32"/>
    </row>
    <row r="2424" spans="1:1">
      <c r="A2424" s="32"/>
    </row>
    <row r="2425" spans="1:1">
      <c r="A2425" s="32"/>
    </row>
    <row r="2426" spans="1:1">
      <c r="A2426" s="32"/>
    </row>
    <row r="2427" spans="1:1">
      <c r="A2427" s="32"/>
    </row>
    <row r="2428" spans="1:1">
      <c r="A2428" s="32"/>
    </row>
    <row r="2429" spans="1:1">
      <c r="A2429" s="32"/>
    </row>
    <row r="2430" spans="1:1">
      <c r="A2430" s="32"/>
    </row>
    <row r="2431" spans="1:1">
      <c r="A2431" s="32"/>
    </row>
    <row r="2432" spans="1:1">
      <c r="A2432" s="32"/>
    </row>
    <row r="2433" spans="1:1">
      <c r="A2433" s="32"/>
    </row>
    <row r="2434" spans="1:1">
      <c r="A2434" s="32"/>
    </row>
    <row r="2435" spans="1:1">
      <c r="A2435" s="32"/>
    </row>
    <row r="2436" spans="1:1">
      <c r="A2436" s="32"/>
    </row>
    <row r="2437" spans="1:1">
      <c r="A2437" s="32"/>
    </row>
    <row r="2438" spans="1:1">
      <c r="A2438" s="32"/>
    </row>
    <row r="2439" spans="1:1">
      <c r="A2439" s="32"/>
    </row>
    <row r="2440" spans="1:1">
      <c r="A2440" s="32"/>
    </row>
    <row r="2441" spans="1:1">
      <c r="A2441" s="32"/>
    </row>
    <row r="2442" spans="1:1">
      <c r="A2442" s="32"/>
    </row>
    <row r="2443" spans="1:1">
      <c r="A2443" s="32"/>
    </row>
    <row r="2444" spans="1:1">
      <c r="A2444" s="32"/>
    </row>
    <row r="2445" spans="1:1">
      <c r="A2445" s="32"/>
    </row>
    <row r="2446" spans="1:1">
      <c r="A2446" s="32"/>
    </row>
    <row r="2447" spans="1:1">
      <c r="A2447" s="32"/>
    </row>
    <row r="2448" spans="1:1">
      <c r="A2448" s="32"/>
    </row>
    <row r="2449" spans="1:1">
      <c r="A2449" s="32"/>
    </row>
    <row r="2450" spans="1:1">
      <c r="A2450" s="32"/>
    </row>
    <row r="2451" spans="1:1">
      <c r="A2451" s="32"/>
    </row>
    <row r="2452" spans="1:1">
      <c r="A2452" s="32"/>
    </row>
    <row r="2453" spans="1:1">
      <c r="A2453" s="32"/>
    </row>
    <row r="2454" spans="1:1">
      <c r="A2454" s="32"/>
    </row>
    <row r="2455" spans="1:1">
      <c r="A2455" s="32"/>
    </row>
    <row r="2456" spans="1:1">
      <c r="A2456" s="32"/>
    </row>
    <row r="2457" spans="1:1">
      <c r="A2457" s="32"/>
    </row>
    <row r="2458" spans="1:1">
      <c r="A2458" s="32"/>
    </row>
    <row r="2459" spans="1:1">
      <c r="A2459" s="32"/>
    </row>
    <row r="2460" spans="1:1">
      <c r="A2460" s="32"/>
    </row>
    <row r="2461" spans="1:1">
      <c r="A2461" s="32"/>
    </row>
    <row r="2462" spans="1:1">
      <c r="A2462" s="32"/>
    </row>
    <row r="2463" spans="1:1">
      <c r="A2463" s="32"/>
    </row>
    <row r="2464" spans="1:1">
      <c r="A2464" s="32"/>
    </row>
    <row r="2465" spans="1:1">
      <c r="A2465" s="32"/>
    </row>
    <row r="2466" spans="1:1">
      <c r="A2466" s="32"/>
    </row>
    <row r="2467" spans="1:1">
      <c r="A2467" s="32"/>
    </row>
    <row r="2468" spans="1:1">
      <c r="A2468" s="32"/>
    </row>
    <row r="2469" spans="1:1">
      <c r="A2469" s="32"/>
    </row>
    <row r="2470" spans="1:1">
      <c r="A2470" s="32"/>
    </row>
    <row r="2471" spans="1:1">
      <c r="A2471" s="32"/>
    </row>
    <row r="2472" spans="1:1">
      <c r="A2472" s="32"/>
    </row>
    <row r="2473" spans="1:1">
      <c r="A2473" s="32"/>
    </row>
    <row r="2474" spans="1:1">
      <c r="A2474" s="32"/>
    </row>
    <row r="2475" spans="1:1">
      <c r="A2475" s="32"/>
    </row>
    <row r="2476" spans="1:1">
      <c r="A2476" s="32"/>
    </row>
    <row r="2477" spans="1:1">
      <c r="A2477" s="32"/>
    </row>
    <row r="2478" spans="1:1">
      <c r="A2478" s="32"/>
    </row>
    <row r="2479" spans="1:1">
      <c r="A2479" s="32"/>
    </row>
    <row r="2480" spans="1:1">
      <c r="A2480" s="32"/>
    </row>
    <row r="2481" spans="1:1">
      <c r="A2481" s="32"/>
    </row>
    <row r="2482" spans="1:1">
      <c r="A2482" s="32"/>
    </row>
    <row r="2483" spans="1:1">
      <c r="A2483" s="32"/>
    </row>
    <row r="2484" spans="1:1">
      <c r="A2484" s="32"/>
    </row>
    <row r="2485" spans="1:1">
      <c r="A2485" s="32"/>
    </row>
    <row r="2486" spans="1:1">
      <c r="A2486" s="32"/>
    </row>
    <row r="2487" spans="1:1">
      <c r="A2487" s="32"/>
    </row>
    <row r="2488" spans="1:1">
      <c r="A2488" s="32"/>
    </row>
    <row r="2489" spans="1:1">
      <c r="A2489" s="32"/>
    </row>
    <row r="2490" spans="1:1">
      <c r="A2490" s="32"/>
    </row>
    <row r="2491" spans="1:1">
      <c r="A2491" s="32"/>
    </row>
    <row r="2492" spans="1:1">
      <c r="A2492" s="32"/>
    </row>
    <row r="2493" spans="1:1">
      <c r="A2493" s="32"/>
    </row>
    <row r="2494" spans="1:1">
      <c r="A2494" s="32"/>
    </row>
    <row r="2495" spans="1:1">
      <c r="A2495" s="32"/>
    </row>
    <row r="2496" spans="1:1">
      <c r="A2496" s="32"/>
    </row>
    <row r="2497" spans="1:1">
      <c r="A2497" s="32"/>
    </row>
    <row r="2498" spans="1:1">
      <c r="A2498" s="32"/>
    </row>
    <row r="2499" spans="1:1">
      <c r="A2499" s="32"/>
    </row>
    <row r="2500" spans="1:1">
      <c r="A2500" s="32"/>
    </row>
    <row r="2501" spans="1:1">
      <c r="A2501" s="32"/>
    </row>
    <row r="2502" spans="1:1">
      <c r="A2502" s="32"/>
    </row>
    <row r="2503" spans="1:1">
      <c r="A2503" s="32"/>
    </row>
    <row r="2504" spans="1:1">
      <c r="A2504" s="32"/>
    </row>
    <row r="2505" spans="1:1">
      <c r="A2505" s="32"/>
    </row>
    <row r="2506" spans="1:1">
      <c r="A2506" s="32"/>
    </row>
    <row r="2507" spans="1:1">
      <c r="A2507" s="32"/>
    </row>
    <row r="2508" spans="1:1">
      <c r="A2508" s="32"/>
    </row>
    <row r="2509" spans="1:1">
      <c r="A2509" s="32"/>
    </row>
    <row r="2510" spans="1:1">
      <c r="A2510" s="32"/>
    </row>
    <row r="2511" spans="1:1">
      <c r="A2511" s="32"/>
    </row>
    <row r="2512" spans="1:1">
      <c r="A2512" s="32"/>
    </row>
    <row r="2513" spans="1:1">
      <c r="A2513" s="32"/>
    </row>
    <row r="2514" spans="1:1">
      <c r="A2514" s="32"/>
    </row>
    <row r="2515" spans="1:1">
      <c r="A2515" s="32"/>
    </row>
    <row r="2516" spans="1:1">
      <c r="A2516" s="32"/>
    </row>
    <row r="2517" spans="1:1">
      <c r="A2517" s="32"/>
    </row>
    <row r="2518" spans="1:1">
      <c r="A2518" s="32"/>
    </row>
    <row r="2519" spans="1:1">
      <c r="A2519" s="32"/>
    </row>
    <row r="2520" spans="1:1">
      <c r="A2520" s="32"/>
    </row>
    <row r="2521" spans="1:1">
      <c r="A2521" s="32"/>
    </row>
    <row r="2522" spans="1:1">
      <c r="A2522" s="32"/>
    </row>
    <row r="2523" spans="1:1">
      <c r="A2523" s="32"/>
    </row>
    <row r="2524" spans="1:1">
      <c r="A2524" s="32"/>
    </row>
    <row r="2525" spans="1:1">
      <c r="A2525" s="32"/>
    </row>
    <row r="2526" spans="1:1">
      <c r="A2526" s="32"/>
    </row>
    <row r="2527" spans="1:1">
      <c r="A2527" s="32"/>
    </row>
    <row r="2528" spans="1:1">
      <c r="A2528" s="32"/>
    </row>
    <row r="2529" spans="1:1">
      <c r="A2529" s="32"/>
    </row>
    <row r="2530" spans="1:1">
      <c r="A2530" s="32"/>
    </row>
    <row r="2531" spans="1:1">
      <c r="A2531" s="32"/>
    </row>
    <row r="2532" spans="1:1">
      <c r="A2532" s="32"/>
    </row>
    <row r="2533" spans="1:1">
      <c r="A2533" s="32"/>
    </row>
    <row r="2534" spans="1:1">
      <c r="A2534" s="32"/>
    </row>
    <row r="2535" spans="1:1">
      <c r="A2535" s="32"/>
    </row>
    <row r="2536" spans="1:1">
      <c r="A2536" s="32"/>
    </row>
    <row r="2537" spans="1:1">
      <c r="A2537" s="32"/>
    </row>
    <row r="2538" spans="1:1">
      <c r="A2538" s="32"/>
    </row>
    <row r="2539" spans="1:1">
      <c r="A2539" s="32"/>
    </row>
    <row r="2540" spans="1:1">
      <c r="A2540" s="32"/>
    </row>
    <row r="2541" spans="1:1">
      <c r="A2541" s="32"/>
    </row>
    <row r="2542" spans="1:1">
      <c r="A2542" s="32"/>
    </row>
    <row r="2543" spans="1:1">
      <c r="A2543" s="32"/>
    </row>
    <row r="2544" spans="1:1">
      <c r="A2544" s="32"/>
    </row>
    <row r="2545" spans="1:1">
      <c r="A2545" s="32"/>
    </row>
    <row r="2546" spans="1:1">
      <c r="A2546" s="32"/>
    </row>
    <row r="2547" spans="1:1">
      <c r="A2547" s="32"/>
    </row>
    <row r="2548" spans="1:1">
      <c r="A2548" s="32"/>
    </row>
    <row r="2549" spans="1:1">
      <c r="A2549" s="32"/>
    </row>
    <row r="2550" spans="1:1">
      <c r="A2550" s="32"/>
    </row>
    <row r="2551" spans="1:1">
      <c r="A2551" s="32"/>
    </row>
    <row r="2552" spans="1:1">
      <c r="A2552" s="32"/>
    </row>
    <row r="2553" spans="1:1">
      <c r="A2553" s="32"/>
    </row>
    <row r="2554" spans="1:1">
      <c r="A2554" s="32"/>
    </row>
    <row r="2555" spans="1:1">
      <c r="A2555" s="32"/>
    </row>
    <row r="2556" spans="1:1">
      <c r="A2556" s="32"/>
    </row>
    <row r="2557" spans="1:1">
      <c r="A2557" s="32"/>
    </row>
    <row r="2558" spans="1:1">
      <c r="A2558" s="32"/>
    </row>
    <row r="2559" spans="1:1">
      <c r="A2559" s="32"/>
    </row>
    <row r="2560" spans="1:1">
      <c r="A2560" s="32"/>
    </row>
    <row r="2561" spans="1:1">
      <c r="A2561" s="32"/>
    </row>
    <row r="2562" spans="1:1">
      <c r="A2562" s="32"/>
    </row>
    <row r="2563" spans="1:1">
      <c r="A2563" s="32"/>
    </row>
    <row r="2564" spans="1:1">
      <c r="A2564" s="32"/>
    </row>
    <row r="2565" spans="1:1">
      <c r="A2565" s="32"/>
    </row>
    <row r="2566" spans="1:1">
      <c r="A2566" s="32"/>
    </row>
    <row r="2567" spans="1:1">
      <c r="A2567" s="32"/>
    </row>
    <row r="2568" spans="1:1">
      <c r="A2568" s="32"/>
    </row>
    <row r="2569" spans="1:1">
      <c r="A2569" s="32"/>
    </row>
    <row r="2570" spans="1:1">
      <c r="A2570" s="32"/>
    </row>
    <row r="2571" spans="1:1">
      <c r="A2571" s="32"/>
    </row>
    <row r="2572" spans="1:1">
      <c r="A2572" s="32"/>
    </row>
    <row r="2573" spans="1:1">
      <c r="A2573" s="32"/>
    </row>
    <row r="2574" spans="1:1">
      <c r="A2574" s="32"/>
    </row>
    <row r="2575" spans="1:1">
      <c r="A2575" s="32"/>
    </row>
    <row r="2576" spans="1:1">
      <c r="A2576" s="32"/>
    </row>
    <row r="2577" spans="1:1">
      <c r="A2577" s="32"/>
    </row>
    <row r="2578" spans="1:1">
      <c r="A2578" s="32"/>
    </row>
    <row r="2579" spans="1:1">
      <c r="A2579" s="32"/>
    </row>
    <row r="2580" spans="1:1">
      <c r="A2580" s="32"/>
    </row>
    <row r="2581" spans="1:1">
      <c r="A2581" s="32"/>
    </row>
    <row r="2582" spans="1:1">
      <c r="A2582" s="32"/>
    </row>
    <row r="2583" spans="1:1">
      <c r="A2583" s="32"/>
    </row>
    <row r="2584" spans="1:1">
      <c r="A2584" s="32"/>
    </row>
    <row r="2585" spans="1:1">
      <c r="A2585" s="32"/>
    </row>
    <row r="2586" spans="1:1">
      <c r="A2586" s="32"/>
    </row>
    <row r="2587" spans="1:1">
      <c r="A2587" s="32"/>
    </row>
    <row r="2588" spans="1:1">
      <c r="A2588" s="32"/>
    </row>
    <row r="2589" spans="1:1">
      <c r="A2589" s="32"/>
    </row>
    <row r="2590" spans="1:1">
      <c r="A2590" s="32"/>
    </row>
    <row r="2591" spans="1:1">
      <c r="A2591" s="32"/>
    </row>
    <row r="2592" spans="1:1">
      <c r="A2592" s="32"/>
    </row>
    <row r="2593" spans="1:1">
      <c r="A2593" s="32"/>
    </row>
    <row r="2594" spans="1:1">
      <c r="A2594" s="32"/>
    </row>
    <row r="2595" spans="1:1">
      <c r="A2595" s="32"/>
    </row>
    <row r="2596" spans="1:1">
      <c r="A2596" s="32"/>
    </row>
    <row r="2597" spans="1:1">
      <c r="A2597" s="32"/>
    </row>
    <row r="2598" spans="1:1">
      <c r="A2598" s="32"/>
    </row>
    <row r="2599" spans="1:1">
      <c r="A2599" s="32"/>
    </row>
    <row r="2600" spans="1:1">
      <c r="A2600" s="32"/>
    </row>
    <row r="2601" spans="1:1">
      <c r="A2601" s="32"/>
    </row>
    <row r="2602" spans="1:1">
      <c r="A2602" s="32"/>
    </row>
    <row r="2603" spans="1:1">
      <c r="A2603" s="32"/>
    </row>
    <row r="2604" spans="1:1">
      <c r="A2604" s="32"/>
    </row>
    <row r="2605" spans="1:1">
      <c r="A2605" s="32"/>
    </row>
    <row r="2606" spans="1:1">
      <c r="A2606" s="32"/>
    </row>
    <row r="2607" spans="1:1">
      <c r="A2607" s="32"/>
    </row>
    <row r="2608" spans="1:1">
      <c r="A2608" s="32"/>
    </row>
    <row r="2609" spans="1:1">
      <c r="A2609" s="32"/>
    </row>
    <row r="2610" spans="1:1">
      <c r="A2610" s="32"/>
    </row>
    <row r="2611" spans="1:1">
      <c r="A2611" s="32"/>
    </row>
    <row r="2612" spans="1:1">
      <c r="A2612" s="32"/>
    </row>
    <row r="2613" spans="1:1">
      <c r="A2613" s="32"/>
    </row>
    <row r="2614" spans="1:1">
      <c r="A2614" s="32"/>
    </row>
    <row r="2615" spans="1:1">
      <c r="A2615" s="32"/>
    </row>
    <row r="2616" spans="1:1">
      <c r="A2616" s="32"/>
    </row>
    <row r="2617" spans="1:1">
      <c r="A2617" s="32"/>
    </row>
    <row r="2618" spans="1:1">
      <c r="A2618" s="32"/>
    </row>
    <row r="2619" spans="1:1">
      <c r="A2619" s="32"/>
    </row>
    <row r="2620" spans="1:1">
      <c r="A2620" s="32"/>
    </row>
    <row r="2621" spans="1:1">
      <c r="A2621" s="32"/>
    </row>
    <row r="2622" spans="1:1">
      <c r="A2622" s="32"/>
    </row>
    <row r="2623" spans="1:1">
      <c r="A2623" s="32"/>
    </row>
    <row r="2624" spans="1:1">
      <c r="A2624" s="32"/>
    </row>
    <row r="2625" spans="1:1">
      <c r="A2625" s="32"/>
    </row>
    <row r="2626" spans="1:1">
      <c r="A2626" s="32"/>
    </row>
    <row r="2627" spans="1:1">
      <c r="A2627" s="32"/>
    </row>
    <row r="2628" spans="1:1">
      <c r="A2628" s="32"/>
    </row>
    <row r="2629" spans="1:1">
      <c r="A2629" s="32"/>
    </row>
    <row r="2630" spans="1:1">
      <c r="A2630" s="32"/>
    </row>
    <row r="2631" spans="1:1">
      <c r="A2631" s="32"/>
    </row>
    <row r="2632" spans="1:1">
      <c r="A2632" s="32"/>
    </row>
    <row r="2633" spans="1:1">
      <c r="A2633" s="32"/>
    </row>
    <row r="2634" spans="1:1">
      <c r="A2634" s="32"/>
    </row>
    <row r="2635" spans="1:1">
      <c r="A2635" s="32"/>
    </row>
    <row r="2636" spans="1:1">
      <c r="A2636" s="32"/>
    </row>
    <row r="2637" spans="1:1">
      <c r="A2637" s="32"/>
    </row>
    <row r="2638" spans="1:1">
      <c r="A2638" s="32"/>
    </row>
    <row r="2639" spans="1:1">
      <c r="A2639" s="32"/>
    </row>
    <row r="2640" spans="1:1">
      <c r="A2640" s="32"/>
    </row>
    <row r="2641" spans="1:1">
      <c r="A2641" s="32"/>
    </row>
    <row r="2642" spans="1:1">
      <c r="A2642" s="32"/>
    </row>
    <row r="2643" spans="1:1">
      <c r="A2643" s="32"/>
    </row>
    <row r="2644" spans="1:1">
      <c r="A2644" s="32"/>
    </row>
    <row r="2645" spans="1:1">
      <c r="A2645" s="32"/>
    </row>
    <row r="2646" spans="1:1">
      <c r="A2646" s="32"/>
    </row>
    <row r="2647" spans="1:1">
      <c r="A2647" s="32"/>
    </row>
    <row r="2648" spans="1:1">
      <c r="A2648" s="32"/>
    </row>
    <row r="2649" spans="1:1">
      <c r="A2649" s="32"/>
    </row>
    <row r="2650" spans="1:1">
      <c r="A2650" s="32"/>
    </row>
    <row r="2651" spans="1:1">
      <c r="A2651" s="32"/>
    </row>
    <row r="2652" spans="1:1">
      <c r="A2652" s="32"/>
    </row>
    <row r="2653" spans="1:1">
      <c r="A2653" s="32"/>
    </row>
    <row r="2654" spans="1:1">
      <c r="A2654" s="32"/>
    </row>
    <row r="2655" spans="1:1">
      <c r="A2655" s="32"/>
    </row>
    <row r="2656" spans="1:1">
      <c r="A2656" s="32"/>
    </row>
    <row r="2657" spans="1:1">
      <c r="A2657" s="32"/>
    </row>
    <row r="2658" spans="1:1">
      <c r="A2658" s="32"/>
    </row>
    <row r="2659" spans="1:1">
      <c r="A2659" s="32"/>
    </row>
    <row r="2660" spans="1:1">
      <c r="A2660" s="32"/>
    </row>
    <row r="2661" spans="1:1">
      <c r="A2661" s="32"/>
    </row>
    <row r="2662" spans="1:1">
      <c r="A2662" s="32"/>
    </row>
    <row r="2663" spans="1:1">
      <c r="A2663" s="32"/>
    </row>
    <row r="2664" spans="1:1">
      <c r="A2664" s="32"/>
    </row>
    <row r="2665" spans="1:1">
      <c r="A2665" s="32"/>
    </row>
    <row r="2666" spans="1:1">
      <c r="A2666" s="32"/>
    </row>
    <row r="2667" spans="1:1">
      <c r="A2667" s="32"/>
    </row>
    <row r="2668" spans="1:1">
      <c r="A2668" s="32"/>
    </row>
    <row r="2669" spans="1:1">
      <c r="A2669" s="32"/>
    </row>
    <row r="2670" spans="1:1">
      <c r="A2670" s="32"/>
    </row>
    <row r="2671" spans="1:1">
      <c r="A2671" s="32"/>
    </row>
    <row r="2672" spans="1:1">
      <c r="A2672" s="32"/>
    </row>
    <row r="2673" spans="1:1">
      <c r="A2673" s="32"/>
    </row>
    <row r="2674" spans="1:1">
      <c r="A2674" s="32"/>
    </row>
    <row r="2675" spans="1:1">
      <c r="A2675" s="32"/>
    </row>
    <row r="2676" spans="1:1">
      <c r="A2676" s="32"/>
    </row>
    <row r="2677" spans="1:1">
      <c r="A2677" s="32"/>
    </row>
    <row r="2678" spans="1:1">
      <c r="A2678" s="32"/>
    </row>
    <row r="2679" spans="1:1">
      <c r="A2679" s="32"/>
    </row>
    <row r="2680" spans="1:1">
      <c r="A2680" s="32"/>
    </row>
    <row r="2681" spans="1:1">
      <c r="A2681" s="32"/>
    </row>
    <row r="2682" spans="1:1">
      <c r="A2682" s="32"/>
    </row>
    <row r="2683" spans="1:1">
      <c r="A2683" s="32"/>
    </row>
    <row r="2684" spans="1:1">
      <c r="A2684" s="32"/>
    </row>
    <row r="2685" spans="1:1">
      <c r="A2685" s="32"/>
    </row>
    <row r="2686" spans="1:1">
      <c r="A2686" s="32"/>
    </row>
    <row r="2687" spans="1:1">
      <c r="A2687" s="32"/>
    </row>
    <row r="2688" spans="1:1">
      <c r="A2688" s="32"/>
    </row>
    <row r="2689" spans="1:1">
      <c r="A2689" s="32"/>
    </row>
    <row r="2690" spans="1:1">
      <c r="A2690" s="32"/>
    </row>
    <row r="2691" spans="1:1">
      <c r="A2691" s="32"/>
    </row>
    <row r="2692" spans="1:1">
      <c r="A2692" s="32"/>
    </row>
    <row r="2693" spans="1:1">
      <c r="A2693" s="32"/>
    </row>
    <row r="2694" spans="1:1">
      <c r="A2694" s="32"/>
    </row>
    <row r="2695" spans="1:1">
      <c r="A2695" s="32"/>
    </row>
    <row r="2696" spans="1:1">
      <c r="A2696" s="32"/>
    </row>
    <row r="2697" spans="1:1">
      <c r="A2697" s="32"/>
    </row>
    <row r="2698" spans="1:1">
      <c r="A2698" s="32"/>
    </row>
    <row r="2699" spans="1:1">
      <c r="A2699" s="32"/>
    </row>
    <row r="2700" spans="1:1">
      <c r="A2700" s="32"/>
    </row>
    <row r="2701" spans="1:1">
      <c r="A2701" s="32"/>
    </row>
    <row r="2702" spans="1:1">
      <c r="A2702" s="32"/>
    </row>
    <row r="2703" spans="1:1">
      <c r="A2703" s="32"/>
    </row>
    <row r="2704" spans="1:1">
      <c r="A2704" s="32"/>
    </row>
    <row r="2705" spans="1:1">
      <c r="A2705" s="32"/>
    </row>
    <row r="2706" spans="1:1">
      <c r="A2706" s="32"/>
    </row>
    <row r="2707" spans="1:1">
      <c r="A2707" s="32"/>
    </row>
    <row r="2708" spans="1:1">
      <c r="A2708" s="32"/>
    </row>
    <row r="2709" spans="1:1">
      <c r="A2709" s="32"/>
    </row>
    <row r="2710" spans="1:1">
      <c r="A2710" s="32"/>
    </row>
    <row r="2711" spans="1:1">
      <c r="A2711" s="32"/>
    </row>
    <row r="2712" spans="1:1">
      <c r="A2712" s="32"/>
    </row>
    <row r="2713" spans="1:1">
      <c r="A2713" s="32"/>
    </row>
    <row r="2714" spans="1:1">
      <c r="A2714" s="32"/>
    </row>
    <row r="2715" spans="1:1">
      <c r="A2715" s="32"/>
    </row>
    <row r="2716" spans="1:1">
      <c r="A2716" s="32"/>
    </row>
    <row r="2717" spans="1:1">
      <c r="A2717" s="32"/>
    </row>
    <row r="2718" spans="1:1">
      <c r="A2718" s="32"/>
    </row>
    <row r="2719" spans="1:1">
      <c r="A2719" s="32"/>
    </row>
    <row r="2720" spans="1:1">
      <c r="A2720" s="32"/>
    </row>
    <row r="2721" spans="1:1">
      <c r="A2721" s="32"/>
    </row>
    <row r="2722" spans="1:1">
      <c r="A2722" s="32"/>
    </row>
    <row r="2723" spans="1:1">
      <c r="A2723" s="32"/>
    </row>
    <row r="2724" spans="1:1">
      <c r="A2724" s="32"/>
    </row>
    <row r="2725" spans="1:1">
      <c r="A2725" s="32"/>
    </row>
    <row r="2726" spans="1:1">
      <c r="A2726" s="32"/>
    </row>
    <row r="2727" spans="1:1">
      <c r="A2727" s="32"/>
    </row>
    <row r="2728" spans="1:1">
      <c r="A2728" s="32"/>
    </row>
    <row r="2729" spans="1:1">
      <c r="A2729" s="32"/>
    </row>
    <row r="2730" spans="1:1">
      <c r="A2730" s="32"/>
    </row>
    <row r="2731" spans="1:1">
      <c r="A2731" s="32"/>
    </row>
    <row r="2732" spans="1:1">
      <c r="A2732" s="32"/>
    </row>
    <row r="2733" spans="1:1">
      <c r="A2733" s="32"/>
    </row>
    <row r="2734" spans="1:1">
      <c r="A2734" s="32"/>
    </row>
    <row r="2735" spans="1:1">
      <c r="A2735" s="32"/>
    </row>
    <row r="2736" spans="1:1">
      <c r="A2736" s="32"/>
    </row>
    <row r="2737" spans="1:1">
      <c r="A2737" s="32"/>
    </row>
    <row r="2738" spans="1:1">
      <c r="A2738" s="32"/>
    </row>
    <row r="2739" spans="1:1">
      <c r="A2739" s="32"/>
    </row>
    <row r="2740" spans="1:1">
      <c r="A2740" s="32"/>
    </row>
    <row r="2741" spans="1:1">
      <c r="A2741" s="32"/>
    </row>
    <row r="2742" spans="1:1">
      <c r="A2742" s="32"/>
    </row>
    <row r="2743" spans="1:1">
      <c r="A2743" s="32"/>
    </row>
    <row r="2744" spans="1:1">
      <c r="A2744" s="32"/>
    </row>
    <row r="2745" spans="1:1">
      <c r="A2745" s="32"/>
    </row>
    <row r="2746" spans="1:1">
      <c r="A2746" s="32"/>
    </row>
    <row r="2747" spans="1:1">
      <c r="A2747" s="32"/>
    </row>
    <row r="2748" spans="1:1">
      <c r="A2748" s="32"/>
    </row>
    <row r="2749" spans="1:1">
      <c r="A2749" s="32"/>
    </row>
    <row r="2750" spans="1:1">
      <c r="A2750" s="32"/>
    </row>
    <row r="2751" spans="1:1">
      <c r="A2751" s="32"/>
    </row>
    <row r="2752" spans="1:1">
      <c r="A2752" s="32"/>
    </row>
    <row r="2753" spans="1:1">
      <c r="A2753" s="32"/>
    </row>
    <row r="2754" spans="1:1">
      <c r="A2754" s="32"/>
    </row>
    <row r="2755" spans="1:1">
      <c r="A2755" s="32"/>
    </row>
    <row r="2756" spans="1:1">
      <c r="A2756" s="32"/>
    </row>
    <row r="2757" spans="1:1">
      <c r="A2757" s="32"/>
    </row>
    <row r="2758" spans="1:1">
      <c r="A2758" s="32"/>
    </row>
    <row r="2759" spans="1:1">
      <c r="A2759" s="32"/>
    </row>
    <row r="2760" spans="1:1">
      <c r="A2760" s="32"/>
    </row>
    <row r="2761" spans="1:1">
      <c r="A2761" s="32"/>
    </row>
    <row r="2762" spans="1:1">
      <c r="A2762" s="32"/>
    </row>
    <row r="2763" spans="1:1">
      <c r="A2763" s="32"/>
    </row>
    <row r="2764" spans="1:1">
      <c r="A2764" s="32"/>
    </row>
    <row r="2765" spans="1:1">
      <c r="A2765" s="32"/>
    </row>
    <row r="2766" spans="1:1">
      <c r="A2766" s="32"/>
    </row>
    <row r="2767" spans="1:1">
      <c r="A2767" s="32"/>
    </row>
    <row r="2768" spans="1:1">
      <c r="A2768" s="32"/>
    </row>
    <row r="2769" spans="1:1">
      <c r="A2769" s="32"/>
    </row>
    <row r="2770" spans="1:1">
      <c r="A2770" s="32"/>
    </row>
    <row r="2771" spans="1:1">
      <c r="A2771" s="32"/>
    </row>
    <row r="2772" spans="1:1">
      <c r="A2772" s="32"/>
    </row>
    <row r="2773" spans="1:1">
      <c r="A2773" s="32"/>
    </row>
    <row r="2774" spans="1:1">
      <c r="A2774" s="32"/>
    </row>
    <row r="2775" spans="1:1">
      <c r="A2775" s="32"/>
    </row>
    <row r="2776" spans="1:1">
      <c r="A2776" s="32"/>
    </row>
    <row r="2777" spans="1:1">
      <c r="A2777" s="32"/>
    </row>
    <row r="2778" spans="1:1">
      <c r="A2778" s="32"/>
    </row>
    <row r="2779" spans="1:1">
      <c r="A2779" s="32"/>
    </row>
    <row r="2780" spans="1:1">
      <c r="A2780" s="32"/>
    </row>
    <row r="2781" spans="1:1">
      <c r="A2781" s="32"/>
    </row>
    <row r="2782" spans="1:1">
      <c r="A2782" s="32"/>
    </row>
    <row r="2783" spans="1:1">
      <c r="A2783" s="32"/>
    </row>
    <row r="2784" spans="1:1">
      <c r="A2784" s="32"/>
    </row>
    <row r="2785" spans="1:1">
      <c r="A2785" s="32"/>
    </row>
    <row r="2786" spans="1:1">
      <c r="A2786" s="32"/>
    </row>
    <row r="2787" spans="1:1">
      <c r="A2787" s="32"/>
    </row>
    <row r="2788" spans="1:1">
      <c r="A2788" s="32"/>
    </row>
    <row r="2789" spans="1:1">
      <c r="A2789" s="32"/>
    </row>
    <row r="2790" spans="1:1">
      <c r="A2790" s="32"/>
    </row>
    <row r="2791" spans="1:1">
      <c r="A2791" s="32"/>
    </row>
    <row r="2792" spans="1:1">
      <c r="A2792" s="32"/>
    </row>
    <row r="2793" spans="1:1">
      <c r="A2793" s="32"/>
    </row>
    <row r="2794" spans="1:1">
      <c r="A2794" s="32"/>
    </row>
    <row r="2795" spans="1:1">
      <c r="A2795" s="32"/>
    </row>
    <row r="2796" spans="1:1">
      <c r="A2796" s="32"/>
    </row>
    <row r="2797" spans="1:1">
      <c r="A2797" s="32"/>
    </row>
    <row r="2798" spans="1:1">
      <c r="A2798" s="32"/>
    </row>
    <row r="2799" spans="1:1">
      <c r="A2799" s="32"/>
    </row>
    <row r="2800" spans="1:1">
      <c r="A2800" s="32"/>
    </row>
    <row r="2801" spans="1:1">
      <c r="A2801" s="32"/>
    </row>
    <row r="2802" spans="1:1">
      <c r="A2802" s="32"/>
    </row>
    <row r="2803" spans="1:1">
      <c r="A2803" s="32"/>
    </row>
    <row r="2804" spans="1:1">
      <c r="A2804" s="32"/>
    </row>
    <row r="2805" spans="1:1">
      <c r="A2805" s="32"/>
    </row>
    <row r="2806" spans="1:1">
      <c r="A2806" s="32"/>
    </row>
    <row r="2807" spans="1:1">
      <c r="A2807" s="32"/>
    </row>
    <row r="2808" spans="1:1">
      <c r="A2808" s="32"/>
    </row>
    <row r="2809" spans="1:1">
      <c r="A2809" s="32"/>
    </row>
    <row r="2810" spans="1:1">
      <c r="A2810" s="32"/>
    </row>
    <row r="2811" spans="1:1">
      <c r="A2811" s="32"/>
    </row>
    <row r="2812" spans="1:1">
      <c r="A2812" s="32"/>
    </row>
    <row r="2813" spans="1:1">
      <c r="A2813" s="32"/>
    </row>
    <row r="2814" spans="1:1">
      <c r="A2814" s="32"/>
    </row>
    <row r="2815" spans="1:1">
      <c r="A2815" s="32"/>
    </row>
    <row r="2816" spans="1:1">
      <c r="A2816" s="32"/>
    </row>
    <row r="2817" spans="1:1">
      <c r="A2817" s="32"/>
    </row>
    <row r="2818" spans="1:1">
      <c r="A2818" s="32"/>
    </row>
    <row r="2819" spans="1:1">
      <c r="A2819" s="32"/>
    </row>
    <row r="2820" spans="1:1">
      <c r="A2820" s="32"/>
    </row>
    <row r="2821" spans="1:1">
      <c r="A2821" s="32"/>
    </row>
    <row r="2822" spans="1:1">
      <c r="A2822" s="32"/>
    </row>
    <row r="2823" spans="1:1">
      <c r="A2823" s="32"/>
    </row>
    <row r="2824" spans="1:1">
      <c r="A2824" s="32"/>
    </row>
    <row r="2825" spans="1:1">
      <c r="A2825" s="32"/>
    </row>
    <row r="2826" spans="1:1">
      <c r="A2826" s="32"/>
    </row>
    <row r="2827" spans="1:1">
      <c r="A2827" s="32"/>
    </row>
    <row r="2828" spans="1:1">
      <c r="A2828" s="32"/>
    </row>
    <row r="2829" spans="1:1">
      <c r="A2829" s="32"/>
    </row>
    <row r="2830" spans="1:1">
      <c r="A2830" s="32"/>
    </row>
    <row r="2831" spans="1:1">
      <c r="A2831" s="32"/>
    </row>
    <row r="2832" spans="1:1">
      <c r="A2832" s="32"/>
    </row>
    <row r="2833" spans="1:1">
      <c r="A2833" s="32"/>
    </row>
    <row r="2834" spans="1:1">
      <c r="A2834" s="32"/>
    </row>
    <row r="2835" spans="1:1">
      <c r="A2835" s="32"/>
    </row>
    <row r="2836" spans="1:1">
      <c r="A2836" s="32"/>
    </row>
    <row r="2837" spans="1:1">
      <c r="A2837" s="32"/>
    </row>
    <row r="2838" spans="1:1">
      <c r="A2838" s="32"/>
    </row>
    <row r="2839" spans="1:1">
      <c r="A2839" s="32"/>
    </row>
    <row r="2840" spans="1:1">
      <c r="A2840" s="32"/>
    </row>
    <row r="2841" spans="1:1">
      <c r="A2841" s="32"/>
    </row>
    <row r="2842" spans="1:1">
      <c r="A2842" s="32"/>
    </row>
    <row r="2843" spans="1:1">
      <c r="A2843" s="32"/>
    </row>
    <row r="2844" spans="1:1">
      <c r="A2844" s="32"/>
    </row>
    <row r="2845" spans="1:1">
      <c r="A2845" s="32"/>
    </row>
    <row r="2846" spans="1:1">
      <c r="A2846" s="32"/>
    </row>
    <row r="2847" spans="1:1">
      <c r="A2847" s="32"/>
    </row>
    <row r="2848" spans="1:1">
      <c r="A2848" s="32"/>
    </row>
    <row r="2849" spans="1:1">
      <c r="A2849" s="32"/>
    </row>
    <row r="2850" spans="1:1">
      <c r="A2850" s="32"/>
    </row>
    <row r="2851" spans="1:1">
      <c r="A2851" s="32"/>
    </row>
    <row r="2852" spans="1:1">
      <c r="A2852" s="32"/>
    </row>
    <row r="2853" spans="1:1">
      <c r="A2853" s="32"/>
    </row>
    <row r="2854" spans="1:1">
      <c r="A2854" s="32"/>
    </row>
    <row r="2855" spans="1:1">
      <c r="A2855" s="32"/>
    </row>
    <row r="2856" spans="1:1">
      <c r="A2856" s="32"/>
    </row>
    <row r="2857" spans="1:1">
      <c r="A2857" s="32"/>
    </row>
    <row r="2858" spans="1:1">
      <c r="A2858" s="32"/>
    </row>
    <row r="2859" spans="1:1">
      <c r="A2859" s="32"/>
    </row>
    <row r="2860" spans="1:1">
      <c r="A2860" s="32"/>
    </row>
    <row r="2861" spans="1:1">
      <c r="A2861" s="32"/>
    </row>
    <row r="2862" spans="1:1">
      <c r="A2862" s="32"/>
    </row>
    <row r="2863" spans="1:1">
      <c r="A2863" s="32"/>
    </row>
    <row r="2864" spans="1:1">
      <c r="A2864" s="32"/>
    </row>
    <row r="2865" spans="1:1">
      <c r="A2865" s="32"/>
    </row>
    <row r="2866" spans="1:1">
      <c r="A2866" s="32"/>
    </row>
    <row r="2867" spans="1:1">
      <c r="A2867" s="32"/>
    </row>
    <row r="2868" spans="1:1">
      <c r="A2868" s="32"/>
    </row>
    <row r="2869" spans="1:1">
      <c r="A2869" s="32"/>
    </row>
    <row r="2870" spans="1:1">
      <c r="A2870" s="32"/>
    </row>
    <row r="2871" spans="1:1">
      <c r="A2871" s="32"/>
    </row>
    <row r="2872" spans="1:1">
      <c r="A2872" s="32"/>
    </row>
    <row r="2873" spans="1:1">
      <c r="A2873" s="32"/>
    </row>
    <row r="2874" spans="1:1">
      <c r="A2874" s="32"/>
    </row>
    <row r="2875" spans="1:1">
      <c r="A2875" s="32"/>
    </row>
    <row r="2876" spans="1:1">
      <c r="A2876" s="32"/>
    </row>
    <row r="2877" spans="1:1">
      <c r="A2877" s="32"/>
    </row>
    <row r="2878" spans="1:1">
      <c r="A2878" s="32"/>
    </row>
    <row r="2879" spans="1:1">
      <c r="A2879" s="32"/>
    </row>
    <row r="2880" spans="1:1">
      <c r="A2880" s="32"/>
    </row>
    <row r="2881" spans="1:1">
      <c r="A2881" s="32"/>
    </row>
    <row r="2882" spans="1:1">
      <c r="A2882" s="32"/>
    </row>
    <row r="2883" spans="1:1">
      <c r="A2883" s="32"/>
    </row>
    <row r="2884" spans="1:1">
      <c r="A2884" s="32"/>
    </row>
    <row r="2885" spans="1:1">
      <c r="A2885" s="32"/>
    </row>
    <row r="2886" spans="1:1">
      <c r="A2886" s="32"/>
    </row>
    <row r="2887" spans="1:1">
      <c r="A2887" s="32"/>
    </row>
    <row r="2888" spans="1:1">
      <c r="A2888" s="32"/>
    </row>
    <row r="2889" spans="1:1">
      <c r="A2889" s="32"/>
    </row>
    <row r="2890" spans="1:1">
      <c r="A2890" s="32"/>
    </row>
    <row r="2891" spans="1:1">
      <c r="A2891" s="32"/>
    </row>
    <row r="2892" spans="1:1">
      <c r="A2892" s="32"/>
    </row>
    <row r="2893" spans="1:1">
      <c r="A2893" s="32"/>
    </row>
    <row r="2894" spans="1:1">
      <c r="A2894" s="32"/>
    </row>
    <row r="2895" spans="1:1">
      <c r="A2895" s="32"/>
    </row>
    <row r="2896" spans="1:1">
      <c r="A2896" s="32"/>
    </row>
    <row r="2897" spans="1:1">
      <c r="A2897" s="32"/>
    </row>
    <row r="2898" spans="1:1">
      <c r="A2898" s="32"/>
    </row>
    <row r="2899" spans="1:1">
      <c r="A2899" s="32"/>
    </row>
    <row r="2900" spans="1:1">
      <c r="A2900" s="32"/>
    </row>
    <row r="2901" spans="1:1">
      <c r="A2901" s="32"/>
    </row>
    <row r="2902" spans="1:1">
      <c r="A2902" s="32"/>
    </row>
    <row r="2903" spans="1:1">
      <c r="A2903" s="32"/>
    </row>
    <row r="2904" spans="1:1">
      <c r="A2904" s="32"/>
    </row>
    <row r="2905" spans="1:1">
      <c r="A2905" s="32"/>
    </row>
    <row r="2906" spans="1:1">
      <c r="A2906" s="32"/>
    </row>
    <row r="2907" spans="1:1">
      <c r="A2907" s="32"/>
    </row>
    <row r="2908" spans="1:1">
      <c r="A2908" s="32"/>
    </row>
    <row r="2909" spans="1:1">
      <c r="A2909" s="32"/>
    </row>
    <row r="2910" spans="1:1">
      <c r="A2910" s="32"/>
    </row>
    <row r="2911" spans="1:1">
      <c r="A2911" s="32"/>
    </row>
    <row r="2912" spans="1:1">
      <c r="A2912" s="32"/>
    </row>
    <row r="2913" spans="1:1">
      <c r="A2913" s="32"/>
    </row>
    <row r="2914" spans="1:1">
      <c r="A2914" s="32"/>
    </row>
    <row r="2915" spans="1:1">
      <c r="A2915" s="32"/>
    </row>
    <row r="2916" spans="1:1">
      <c r="A2916" s="32"/>
    </row>
    <row r="2917" spans="1:1">
      <c r="A2917" s="32"/>
    </row>
    <row r="2918" spans="1:1">
      <c r="A2918" s="32"/>
    </row>
    <row r="2919" spans="1:1">
      <c r="A2919" s="32"/>
    </row>
    <row r="2920" spans="1:1">
      <c r="A2920" s="32"/>
    </row>
    <row r="2921" spans="1:1">
      <c r="A2921" s="32"/>
    </row>
    <row r="2922" spans="1:1">
      <c r="A2922" s="32"/>
    </row>
    <row r="2923" spans="1:1">
      <c r="A2923" s="32"/>
    </row>
    <row r="2924" spans="1:1">
      <c r="A2924" s="32"/>
    </row>
    <row r="2925" spans="1:1">
      <c r="A2925" s="32"/>
    </row>
    <row r="2926" spans="1:1">
      <c r="A2926" s="32"/>
    </row>
    <row r="2927" spans="1:1">
      <c r="A2927" s="32"/>
    </row>
    <row r="2928" spans="1:1">
      <c r="A2928" s="32"/>
    </row>
    <row r="2929" spans="1:1">
      <c r="A2929" s="32"/>
    </row>
    <row r="2930" spans="1:1">
      <c r="A2930" s="32"/>
    </row>
    <row r="2931" spans="1:1">
      <c r="A2931" s="32"/>
    </row>
    <row r="2932" spans="1:1">
      <c r="A2932" s="32"/>
    </row>
    <row r="2933" spans="1:1">
      <c r="A2933" s="32"/>
    </row>
    <row r="2934" spans="1:1">
      <c r="A2934" s="32"/>
    </row>
    <row r="2935" spans="1:1">
      <c r="A2935" s="32"/>
    </row>
    <row r="2936" spans="1:1">
      <c r="A2936" s="32"/>
    </row>
    <row r="2937" spans="1:1">
      <c r="A2937" s="32"/>
    </row>
    <row r="2938" spans="1:1">
      <c r="A2938" s="32"/>
    </row>
    <row r="2939" spans="1:1">
      <c r="A2939" s="32"/>
    </row>
    <row r="2940" spans="1:1">
      <c r="A2940" s="32"/>
    </row>
    <row r="2941" spans="1:1">
      <c r="A2941" s="32"/>
    </row>
    <row r="2942" spans="1:1">
      <c r="A2942" s="32"/>
    </row>
    <row r="2943" spans="1:1">
      <c r="A2943" s="32"/>
    </row>
    <row r="2944" spans="1:1">
      <c r="A2944" s="32"/>
    </row>
    <row r="2945" spans="1:1">
      <c r="A2945" s="32"/>
    </row>
    <row r="2946" spans="1:1">
      <c r="A2946" s="32"/>
    </row>
    <row r="2947" spans="1:1">
      <c r="A2947" s="32"/>
    </row>
    <row r="2948" spans="1:1">
      <c r="A2948" s="32"/>
    </row>
    <row r="2949" spans="1:1">
      <c r="A2949" s="32"/>
    </row>
    <row r="2950" spans="1:1">
      <c r="A2950" s="32"/>
    </row>
    <row r="2951" spans="1:1">
      <c r="A2951" s="32"/>
    </row>
    <row r="2952" spans="1:1">
      <c r="A2952" s="32"/>
    </row>
    <row r="2953" spans="1:1">
      <c r="A2953" s="32"/>
    </row>
    <row r="2954" spans="1:1">
      <c r="A2954" s="32"/>
    </row>
    <row r="2955" spans="1:1">
      <c r="A2955" s="32"/>
    </row>
    <row r="2956" spans="1:1">
      <c r="A2956" s="32"/>
    </row>
    <row r="2957" spans="1:1">
      <c r="A2957" s="32"/>
    </row>
    <row r="2958" spans="1:1">
      <c r="A2958" s="32"/>
    </row>
    <row r="2959" spans="1:1">
      <c r="A2959" s="32"/>
    </row>
    <row r="2960" spans="1:1">
      <c r="A2960" s="32"/>
    </row>
    <row r="2961" spans="1:1">
      <c r="A2961" s="32"/>
    </row>
    <row r="2962" spans="1:1">
      <c r="A2962" s="32"/>
    </row>
    <row r="2963" spans="1:1">
      <c r="A2963" s="32"/>
    </row>
    <row r="2964" spans="1:1">
      <c r="A2964" s="32"/>
    </row>
    <row r="2965" spans="1:1">
      <c r="A2965" s="32"/>
    </row>
    <row r="2966" spans="1:1">
      <c r="A2966" s="32"/>
    </row>
    <row r="2967" spans="1:1">
      <c r="A2967" s="32"/>
    </row>
    <row r="2968" spans="1:1">
      <c r="A2968" s="32"/>
    </row>
    <row r="2969" spans="1:1">
      <c r="A2969" s="32"/>
    </row>
    <row r="2970" spans="1:1">
      <c r="A2970" s="32"/>
    </row>
    <row r="2971" spans="1:1">
      <c r="A2971" s="32"/>
    </row>
    <row r="2972" spans="1:1">
      <c r="A2972" s="32"/>
    </row>
    <row r="2973" spans="1:1">
      <c r="A2973" s="32"/>
    </row>
    <row r="2974" spans="1:1">
      <c r="A2974" s="32"/>
    </row>
    <row r="2975" spans="1:1">
      <c r="A2975" s="32"/>
    </row>
    <row r="2976" spans="1:1">
      <c r="A2976" s="32"/>
    </row>
    <row r="2977" spans="1:1">
      <c r="A2977" s="32"/>
    </row>
    <row r="2978" spans="1:1">
      <c r="A2978" s="32"/>
    </row>
    <row r="2979" spans="1:1">
      <c r="A2979" s="32"/>
    </row>
    <row r="2980" spans="1:1">
      <c r="A2980" s="32"/>
    </row>
    <row r="2981" spans="1:1">
      <c r="A2981" s="32"/>
    </row>
    <row r="2982" spans="1:1">
      <c r="A2982" s="32"/>
    </row>
    <row r="2983" spans="1:1">
      <c r="A2983" s="32"/>
    </row>
    <row r="2984" spans="1:1">
      <c r="A2984" s="32"/>
    </row>
    <row r="2985" spans="1:1">
      <c r="A2985" s="32"/>
    </row>
    <row r="2986" spans="1:1">
      <c r="A2986" s="32"/>
    </row>
    <row r="2987" spans="1:1">
      <c r="A2987" s="32"/>
    </row>
    <row r="2988" spans="1:1">
      <c r="A2988" s="32"/>
    </row>
    <row r="2989" spans="1:1">
      <c r="A2989" s="32"/>
    </row>
    <row r="2990" spans="1:1">
      <c r="A2990" s="32"/>
    </row>
    <row r="2991" spans="1:1">
      <c r="A2991" s="32"/>
    </row>
    <row r="2992" spans="1:1">
      <c r="A2992" s="32"/>
    </row>
    <row r="2993" spans="1:1">
      <c r="A2993" s="32"/>
    </row>
    <row r="2994" spans="1:1">
      <c r="A2994" s="32"/>
    </row>
    <row r="2995" spans="1:1">
      <c r="A2995" s="32"/>
    </row>
    <row r="2996" spans="1:1">
      <c r="A2996" s="32"/>
    </row>
    <row r="2997" spans="1:1">
      <c r="A2997" s="32"/>
    </row>
    <row r="2998" spans="1:1">
      <c r="A2998" s="32"/>
    </row>
    <row r="2999" spans="1:1">
      <c r="A2999" s="32"/>
    </row>
    <row r="3000" spans="1:1">
      <c r="A3000" s="32"/>
    </row>
    <row r="3001" spans="1:1">
      <c r="A3001" s="32"/>
    </row>
    <row r="3002" spans="1:1">
      <c r="A3002" s="32"/>
    </row>
    <row r="3003" spans="1:1">
      <c r="A3003" s="32"/>
    </row>
    <row r="3004" spans="1:1">
      <c r="A3004" s="32"/>
    </row>
    <row r="3005" spans="1:1">
      <c r="A3005" s="32"/>
    </row>
    <row r="3006" spans="1:1">
      <c r="A3006" s="32"/>
    </row>
    <row r="3007" spans="1:1">
      <c r="A3007" s="32"/>
    </row>
    <row r="3008" spans="1:1">
      <c r="A3008" s="32"/>
    </row>
    <row r="3009" spans="1:1">
      <c r="A3009" s="32"/>
    </row>
    <row r="3010" spans="1:1">
      <c r="A3010" s="32"/>
    </row>
    <row r="3011" spans="1:1">
      <c r="A3011" s="32"/>
    </row>
    <row r="3012" spans="1:1">
      <c r="A3012" s="32"/>
    </row>
    <row r="3013" spans="1:1">
      <c r="A3013" s="32"/>
    </row>
    <row r="3014" spans="1:1">
      <c r="A3014" s="32"/>
    </row>
    <row r="3015" spans="1:1">
      <c r="A3015" s="32"/>
    </row>
    <row r="3016" spans="1:1">
      <c r="A3016" s="32"/>
    </row>
    <row r="3017" spans="1:1">
      <c r="A3017" s="32"/>
    </row>
    <row r="3018" spans="1:1">
      <c r="A3018" s="32"/>
    </row>
    <row r="3019" spans="1:1">
      <c r="A3019" s="32"/>
    </row>
    <row r="3020" spans="1:1">
      <c r="A3020" s="32"/>
    </row>
    <row r="3021" spans="1:1">
      <c r="A3021" s="32"/>
    </row>
    <row r="3022" spans="1:1">
      <c r="A3022" s="32"/>
    </row>
    <row r="3023" spans="1:1">
      <c r="A3023" s="32"/>
    </row>
    <row r="3024" spans="1:1">
      <c r="A3024" s="32"/>
    </row>
    <row r="3025" spans="1:1">
      <c r="A3025" s="32"/>
    </row>
    <row r="3026" spans="1:1">
      <c r="A3026" s="32"/>
    </row>
    <row r="3027" spans="1:1">
      <c r="A3027" s="32"/>
    </row>
    <row r="3028" spans="1:1">
      <c r="A3028" s="32"/>
    </row>
    <row r="3029" spans="1:1">
      <c r="A3029" s="32"/>
    </row>
    <row r="3030" spans="1:1">
      <c r="A3030" s="32"/>
    </row>
    <row r="3031" spans="1:1">
      <c r="A3031" s="32"/>
    </row>
    <row r="3032" spans="1:1">
      <c r="A3032" s="32"/>
    </row>
    <row r="3033" spans="1:1">
      <c r="A3033" s="32"/>
    </row>
    <row r="3034" spans="1:1">
      <c r="A3034" s="32"/>
    </row>
    <row r="3035" spans="1:1">
      <c r="A3035" s="32"/>
    </row>
    <row r="3036" spans="1:1">
      <c r="A3036" s="32"/>
    </row>
    <row r="3037" spans="1:1">
      <c r="A3037" s="32"/>
    </row>
    <row r="3038" spans="1:1">
      <c r="A3038" s="32"/>
    </row>
    <row r="3039" spans="1:1">
      <c r="A3039" s="32"/>
    </row>
    <row r="3040" spans="1:1">
      <c r="A3040" s="32"/>
    </row>
    <row r="3041" spans="1:1">
      <c r="A3041" s="32"/>
    </row>
    <row r="3042" spans="1:1">
      <c r="A3042" s="32"/>
    </row>
    <row r="3043" spans="1:1">
      <c r="A3043" s="32"/>
    </row>
    <row r="3044" spans="1:1">
      <c r="A3044" s="32"/>
    </row>
    <row r="3045" spans="1:1">
      <c r="A3045" s="32"/>
    </row>
    <row r="3046" spans="1:1">
      <c r="A3046" s="32"/>
    </row>
    <row r="3047" spans="1:1">
      <c r="A3047" s="32"/>
    </row>
    <row r="3048" spans="1:1">
      <c r="A3048" s="32"/>
    </row>
    <row r="3049" spans="1:1">
      <c r="A3049" s="32"/>
    </row>
    <row r="3050" spans="1:1">
      <c r="A3050" s="32"/>
    </row>
    <row r="3051" spans="1:1">
      <c r="A3051" s="32"/>
    </row>
    <row r="3052" spans="1:1">
      <c r="A3052" s="32"/>
    </row>
    <row r="3053" spans="1:1">
      <c r="A3053" s="32"/>
    </row>
    <row r="3054" spans="1:1">
      <c r="A3054" s="32"/>
    </row>
    <row r="3055" spans="1:1">
      <c r="A3055" s="32"/>
    </row>
    <row r="3056" spans="1:1">
      <c r="A3056" s="32"/>
    </row>
    <row r="3057" spans="1:1">
      <c r="A3057" s="32"/>
    </row>
    <row r="3058" spans="1:1">
      <c r="A3058" s="32"/>
    </row>
    <row r="3059" spans="1:1">
      <c r="A3059" s="32"/>
    </row>
    <row r="3060" spans="1:1">
      <c r="A3060" s="32"/>
    </row>
    <row r="3061" spans="1:1">
      <c r="A3061" s="32"/>
    </row>
    <row r="3062" spans="1:1">
      <c r="A3062" s="32"/>
    </row>
    <row r="3063" spans="1:1">
      <c r="A3063" s="32"/>
    </row>
    <row r="3064" spans="1:1">
      <c r="A3064" s="32"/>
    </row>
    <row r="3065" spans="1:1">
      <c r="A3065" s="32"/>
    </row>
    <row r="3066" spans="1:1">
      <c r="A3066" s="32"/>
    </row>
    <row r="3067" spans="1:1">
      <c r="A3067" s="32"/>
    </row>
    <row r="3068" spans="1:1">
      <c r="A3068" s="32"/>
    </row>
    <row r="3069" spans="1:1">
      <c r="A3069" s="32"/>
    </row>
    <row r="3070" spans="1:1">
      <c r="A3070" s="32"/>
    </row>
    <row r="3071" spans="1:1">
      <c r="A3071" s="32"/>
    </row>
    <row r="3072" spans="1:1">
      <c r="A3072" s="32"/>
    </row>
    <row r="3073" spans="1:1">
      <c r="A3073" s="32"/>
    </row>
    <row r="3074" spans="1:1">
      <c r="A3074" s="32"/>
    </row>
    <row r="3075" spans="1:1">
      <c r="A3075" s="32"/>
    </row>
    <row r="3076" spans="1:1">
      <c r="A3076" s="32"/>
    </row>
    <row r="3077" spans="1:1">
      <c r="A3077" s="32"/>
    </row>
    <row r="3078" spans="1:1">
      <c r="A3078" s="32"/>
    </row>
    <row r="3079" spans="1:1">
      <c r="A3079" s="32"/>
    </row>
    <row r="3080" spans="1:1">
      <c r="A3080" s="32"/>
    </row>
    <row r="3081" spans="1:1">
      <c r="A3081" s="32"/>
    </row>
    <row r="3082" spans="1:1">
      <c r="A3082" s="32"/>
    </row>
    <row r="3083" spans="1:1">
      <c r="A3083" s="32"/>
    </row>
    <row r="3084" spans="1:1">
      <c r="A3084" s="32"/>
    </row>
    <row r="3085" spans="1:1">
      <c r="A3085" s="32"/>
    </row>
    <row r="3086" spans="1:1">
      <c r="A3086" s="32"/>
    </row>
    <row r="3087" spans="1:1">
      <c r="A3087" s="32"/>
    </row>
    <row r="3088" spans="1:1">
      <c r="A3088" s="32"/>
    </row>
    <row r="3089" spans="1:1">
      <c r="A3089" s="32"/>
    </row>
    <row r="3090" spans="1:1">
      <c r="A3090" s="32"/>
    </row>
    <row r="3091" spans="1:1">
      <c r="A3091" s="32"/>
    </row>
    <row r="3092" spans="1:1">
      <c r="A3092" s="32"/>
    </row>
    <row r="3093" spans="1:1">
      <c r="A3093" s="32"/>
    </row>
    <row r="3094" spans="1:1">
      <c r="A3094" s="32"/>
    </row>
    <row r="3095" spans="1:1">
      <c r="A3095" s="32"/>
    </row>
    <row r="3096" spans="1:1">
      <c r="A3096" s="32"/>
    </row>
    <row r="3097" spans="1:1">
      <c r="A3097" s="32"/>
    </row>
    <row r="3098" spans="1:1">
      <c r="A3098" s="32"/>
    </row>
    <row r="3099" spans="1:1">
      <c r="A3099" s="32"/>
    </row>
    <row r="3100" spans="1:1">
      <c r="A3100" s="32"/>
    </row>
    <row r="3101" spans="1:1">
      <c r="A3101" s="32"/>
    </row>
    <row r="3102" spans="1:1">
      <c r="A3102" s="32"/>
    </row>
    <row r="3103" spans="1:1">
      <c r="A3103" s="32"/>
    </row>
    <row r="3104" spans="1:1">
      <c r="A3104" s="32"/>
    </row>
    <row r="3105" spans="1:1">
      <c r="A3105" s="32"/>
    </row>
    <row r="3106" spans="1:1">
      <c r="A3106" s="32"/>
    </row>
    <row r="3107" spans="1:1">
      <c r="A3107" s="32"/>
    </row>
    <row r="3108" spans="1:1">
      <c r="A3108" s="32"/>
    </row>
    <row r="3109" spans="1:1">
      <c r="A3109" s="32"/>
    </row>
    <row r="3110" spans="1:1">
      <c r="A3110" s="32"/>
    </row>
    <row r="3111" spans="1:1">
      <c r="A3111" s="32"/>
    </row>
    <row r="3112" spans="1:1">
      <c r="A3112" s="32"/>
    </row>
    <row r="3113" spans="1:1">
      <c r="A3113" s="32"/>
    </row>
    <row r="3114" spans="1:1">
      <c r="A3114" s="32"/>
    </row>
    <row r="3115" spans="1:1">
      <c r="A3115" s="32"/>
    </row>
    <row r="3116" spans="1:1">
      <c r="A3116" s="32"/>
    </row>
    <row r="3117" spans="1:1">
      <c r="A3117" s="32"/>
    </row>
    <row r="3118" spans="1:1">
      <c r="A3118" s="32"/>
    </row>
    <row r="3119" spans="1:1">
      <c r="A3119" s="32"/>
    </row>
    <row r="3120" spans="1:1">
      <c r="A3120" s="32"/>
    </row>
    <row r="3121" spans="1:1">
      <c r="A3121" s="32"/>
    </row>
    <row r="3122" spans="1:1">
      <c r="A3122" s="32"/>
    </row>
    <row r="3123" spans="1:1">
      <c r="A3123" s="32"/>
    </row>
    <row r="3124" spans="1:1">
      <c r="A3124" s="32"/>
    </row>
    <row r="3125" spans="1:1">
      <c r="A3125" s="32"/>
    </row>
    <row r="3126" spans="1:1">
      <c r="A3126" s="32"/>
    </row>
    <row r="3127" spans="1:1">
      <c r="A3127" s="32"/>
    </row>
    <row r="3128" spans="1:1">
      <c r="A3128" s="32"/>
    </row>
    <row r="3129" spans="1:1">
      <c r="A3129" s="32"/>
    </row>
    <row r="3130" spans="1:1">
      <c r="A3130" s="32"/>
    </row>
    <row r="3131" spans="1:1">
      <c r="A3131" s="32"/>
    </row>
    <row r="3132" spans="1:1">
      <c r="A3132" s="32"/>
    </row>
    <row r="3133" spans="1:1">
      <c r="A3133" s="32"/>
    </row>
    <row r="3134" spans="1:1">
      <c r="A3134" s="32"/>
    </row>
    <row r="3135" spans="1:1">
      <c r="A3135" s="32"/>
    </row>
    <row r="3136" spans="1:1">
      <c r="A3136" s="32"/>
    </row>
    <row r="3137" spans="1:1">
      <c r="A3137" s="32"/>
    </row>
    <row r="3138" spans="1:1">
      <c r="A3138" s="32"/>
    </row>
    <row r="3139" spans="1:1">
      <c r="A3139" s="32"/>
    </row>
    <row r="3140" spans="1:1">
      <c r="A3140" s="32"/>
    </row>
    <row r="3141" spans="1:1">
      <c r="A3141" s="32"/>
    </row>
    <row r="3142" spans="1:1">
      <c r="A3142" s="32"/>
    </row>
    <row r="3143" spans="1:1">
      <c r="A3143" s="32"/>
    </row>
    <row r="3144" spans="1:1">
      <c r="A3144" s="32"/>
    </row>
    <row r="3145" spans="1:1">
      <c r="A3145" s="32"/>
    </row>
    <row r="3146" spans="1:1">
      <c r="A3146" s="32"/>
    </row>
    <row r="3147" spans="1:1">
      <c r="A3147" s="32"/>
    </row>
    <row r="3148" spans="1:1">
      <c r="A3148" s="32"/>
    </row>
    <row r="3149" spans="1:1">
      <c r="A3149" s="32"/>
    </row>
    <row r="3150" spans="1:1">
      <c r="A3150" s="32"/>
    </row>
    <row r="3151" spans="1:1">
      <c r="A3151" s="32"/>
    </row>
    <row r="3152" spans="1:1">
      <c r="A3152" s="32"/>
    </row>
    <row r="3153" spans="1:1">
      <c r="A3153" s="32"/>
    </row>
    <row r="3154" spans="1:1">
      <c r="A3154" s="32"/>
    </row>
    <row r="3155" spans="1:1">
      <c r="A3155" s="32"/>
    </row>
    <row r="3156" spans="1:1">
      <c r="A3156" s="32"/>
    </row>
    <row r="3157" spans="1:1">
      <c r="A3157" s="32"/>
    </row>
    <row r="3158" spans="1:1">
      <c r="A3158" s="32"/>
    </row>
    <row r="3159" spans="1:1">
      <c r="A3159" s="32"/>
    </row>
    <row r="3160" spans="1:1">
      <c r="A3160" s="32"/>
    </row>
    <row r="3161" spans="1:1">
      <c r="A3161" s="32"/>
    </row>
    <row r="3162" spans="1:1">
      <c r="A3162" s="32"/>
    </row>
    <row r="3163" spans="1:1">
      <c r="A3163" s="32"/>
    </row>
    <row r="3164" spans="1:1">
      <c r="A3164" s="32"/>
    </row>
    <row r="3165" spans="1:1">
      <c r="A3165" s="32"/>
    </row>
    <row r="3166" spans="1:1">
      <c r="A3166" s="32"/>
    </row>
    <row r="3167" spans="1:1">
      <c r="A3167" s="32"/>
    </row>
    <row r="3168" spans="1:1">
      <c r="A3168" s="32"/>
    </row>
    <row r="3169" spans="1:1">
      <c r="A3169" s="32"/>
    </row>
    <row r="3170" spans="1:1">
      <c r="A3170" s="32"/>
    </row>
    <row r="3171" spans="1:1">
      <c r="A3171" s="32"/>
    </row>
    <row r="3172" spans="1:1">
      <c r="A3172" s="32"/>
    </row>
    <row r="3173" spans="1:1">
      <c r="A3173" s="32"/>
    </row>
    <row r="3174" spans="1:1">
      <c r="A3174" s="32"/>
    </row>
    <row r="3175" spans="1:1">
      <c r="A3175" s="32"/>
    </row>
    <row r="3176" spans="1:1">
      <c r="A3176" s="32"/>
    </row>
    <row r="3177" spans="1:1">
      <c r="A3177" s="32"/>
    </row>
    <row r="3178" spans="1:1">
      <c r="A3178" s="32"/>
    </row>
    <row r="3179" spans="1:1">
      <c r="A3179" s="32"/>
    </row>
    <row r="3180" spans="1:1">
      <c r="A3180" s="32"/>
    </row>
    <row r="3181" spans="1:1">
      <c r="A3181" s="32"/>
    </row>
    <row r="3182" spans="1:1">
      <c r="A3182" s="32"/>
    </row>
    <row r="3183" spans="1:1">
      <c r="A3183" s="32"/>
    </row>
    <row r="3184" spans="1:1">
      <c r="A3184" s="32"/>
    </row>
    <row r="3185" spans="1:1">
      <c r="A3185" s="32"/>
    </row>
    <row r="3186" spans="1:1">
      <c r="A3186" s="32"/>
    </row>
    <row r="3187" spans="1:1">
      <c r="A3187" s="32"/>
    </row>
    <row r="3188" spans="1:1">
      <c r="A3188" s="32"/>
    </row>
    <row r="3189" spans="1:1">
      <c r="A3189" s="32"/>
    </row>
    <row r="3190" spans="1:1">
      <c r="A3190" s="32"/>
    </row>
    <row r="3191" spans="1:1">
      <c r="A3191" s="32"/>
    </row>
    <row r="3192" spans="1:1">
      <c r="A3192" s="32"/>
    </row>
    <row r="3193" spans="1:1">
      <c r="A3193" s="32"/>
    </row>
    <row r="3194" spans="1:1">
      <c r="A3194" s="32"/>
    </row>
    <row r="3195" spans="1:1">
      <c r="A3195" s="32"/>
    </row>
    <row r="3196" spans="1:1">
      <c r="A3196" s="32"/>
    </row>
    <row r="3197" spans="1:1">
      <c r="A3197" s="32"/>
    </row>
    <row r="3198" spans="1:1">
      <c r="A3198" s="32"/>
    </row>
    <row r="3199" spans="1:1">
      <c r="A3199" s="32"/>
    </row>
    <row r="3200" spans="1:1">
      <c r="A3200" s="32"/>
    </row>
    <row r="3201" spans="1:1">
      <c r="A3201" s="32"/>
    </row>
    <row r="3202" spans="1:1">
      <c r="A3202" s="32"/>
    </row>
    <row r="3203" spans="1:1">
      <c r="A3203" s="32"/>
    </row>
    <row r="3204" spans="1:1">
      <c r="A3204" s="32"/>
    </row>
    <row r="3205" spans="1:1">
      <c r="A3205" s="32"/>
    </row>
    <row r="3206" spans="1:1">
      <c r="A3206" s="32"/>
    </row>
    <row r="3207" spans="1:1">
      <c r="A3207" s="32"/>
    </row>
    <row r="3208" spans="1:1">
      <c r="A3208" s="32"/>
    </row>
    <row r="3209" spans="1:1">
      <c r="A3209" s="32"/>
    </row>
    <row r="3210" spans="1:1">
      <c r="A3210" s="32"/>
    </row>
    <row r="3211" spans="1:1">
      <c r="A3211" s="32"/>
    </row>
    <row r="3212" spans="1:1">
      <c r="A3212" s="32"/>
    </row>
    <row r="3213" spans="1:1">
      <c r="A3213" s="32"/>
    </row>
    <row r="3214" spans="1:1">
      <c r="A3214" s="32"/>
    </row>
    <row r="3215" spans="1:1">
      <c r="A3215" s="32"/>
    </row>
    <row r="3216" spans="1:1">
      <c r="A3216" s="32"/>
    </row>
    <row r="3217" spans="1:1">
      <c r="A3217" s="32"/>
    </row>
    <row r="3218" spans="1:1">
      <c r="A3218" s="32"/>
    </row>
    <row r="3219" spans="1:1">
      <c r="A3219" s="32"/>
    </row>
    <row r="3220" spans="1:1">
      <c r="A3220" s="32"/>
    </row>
    <row r="3221" spans="1:1">
      <c r="A3221" s="32"/>
    </row>
    <row r="3222" spans="1:1">
      <c r="A3222" s="32"/>
    </row>
    <row r="3223" spans="1:1">
      <c r="A3223" s="32"/>
    </row>
    <row r="3224" spans="1:1">
      <c r="A3224" s="32"/>
    </row>
    <row r="3225" spans="1:1">
      <c r="A3225" s="32"/>
    </row>
    <row r="3226" spans="1:1">
      <c r="A3226" s="32"/>
    </row>
    <row r="3227" spans="1:1">
      <c r="A3227" s="32"/>
    </row>
    <row r="3228" spans="1:1">
      <c r="A3228" s="32"/>
    </row>
    <row r="3229" spans="1:1">
      <c r="A3229" s="32"/>
    </row>
    <row r="3230" spans="1:1">
      <c r="A3230" s="32"/>
    </row>
    <row r="3231" spans="1:1">
      <c r="A3231" s="32"/>
    </row>
    <row r="3232" spans="1:1">
      <c r="A3232" s="32"/>
    </row>
    <row r="3233" spans="1:1">
      <c r="A3233" s="32"/>
    </row>
    <row r="3234" spans="1:1">
      <c r="A3234" s="32"/>
    </row>
    <row r="3235" spans="1:1">
      <c r="A3235" s="32"/>
    </row>
    <row r="3236" spans="1:1">
      <c r="A3236" s="32"/>
    </row>
    <row r="3237" spans="1:1">
      <c r="A3237" s="32"/>
    </row>
    <row r="3238" spans="1:1">
      <c r="A3238" s="32"/>
    </row>
    <row r="3239" spans="1:1">
      <c r="A3239" s="32"/>
    </row>
    <row r="3240" spans="1:1">
      <c r="A3240" s="32"/>
    </row>
    <row r="3241" spans="1:1">
      <c r="A3241" s="32"/>
    </row>
    <row r="3242" spans="1:1">
      <c r="A3242" s="32"/>
    </row>
    <row r="3243" spans="1:1">
      <c r="A3243" s="32"/>
    </row>
    <row r="3244" spans="1:1">
      <c r="A3244" s="32"/>
    </row>
    <row r="3245" spans="1:1">
      <c r="A3245" s="32"/>
    </row>
    <row r="3246" spans="1:1">
      <c r="A3246" s="32"/>
    </row>
    <row r="3247" spans="1:1">
      <c r="A3247" s="32"/>
    </row>
    <row r="3248" spans="1:1">
      <c r="A3248" s="32"/>
    </row>
    <row r="3249" spans="1:1">
      <c r="A3249" s="32"/>
    </row>
    <row r="3250" spans="1:1">
      <c r="A3250" s="32"/>
    </row>
    <row r="3251" spans="1:1">
      <c r="A3251" s="32"/>
    </row>
    <row r="3252" spans="1:1">
      <c r="A3252" s="32"/>
    </row>
    <row r="3253" spans="1:1">
      <c r="A3253" s="32"/>
    </row>
    <row r="3254" spans="1:1">
      <c r="A3254" s="32"/>
    </row>
    <row r="3255" spans="1:1">
      <c r="A3255" s="32"/>
    </row>
    <row r="3256" spans="1:1">
      <c r="A3256" s="32"/>
    </row>
    <row r="3257" spans="1:1">
      <c r="A3257" s="32"/>
    </row>
    <row r="3258" spans="1:1">
      <c r="A3258" s="32"/>
    </row>
    <row r="3259" spans="1:1">
      <c r="A3259" s="32"/>
    </row>
    <row r="3260" spans="1:1">
      <c r="A3260" s="32"/>
    </row>
    <row r="3261" spans="1:1">
      <c r="A3261" s="32"/>
    </row>
    <row r="3262" spans="1:1">
      <c r="A3262" s="32"/>
    </row>
    <row r="3263" spans="1:1">
      <c r="A3263" s="32"/>
    </row>
    <row r="3264" spans="1:1">
      <c r="A3264" s="32"/>
    </row>
    <row r="3265" spans="1:1">
      <c r="A3265" s="32"/>
    </row>
    <row r="3266" spans="1:1">
      <c r="A3266" s="32"/>
    </row>
    <row r="3267" spans="1:1">
      <c r="A3267" s="32"/>
    </row>
    <row r="3268" spans="1:1">
      <c r="A3268" s="32"/>
    </row>
    <row r="3269" spans="1:1">
      <c r="A3269" s="32"/>
    </row>
    <row r="3270" spans="1:1">
      <c r="A3270" s="32"/>
    </row>
    <row r="3271" spans="1:1">
      <c r="A3271" s="32"/>
    </row>
    <row r="3272" spans="1:1">
      <c r="A3272" s="32"/>
    </row>
    <row r="3273" spans="1:1">
      <c r="A3273" s="32"/>
    </row>
    <row r="3274" spans="1:1">
      <c r="A3274" s="32"/>
    </row>
    <row r="3275" spans="1:1">
      <c r="A3275" s="32"/>
    </row>
    <row r="3276" spans="1:1">
      <c r="A3276" s="32"/>
    </row>
    <row r="3277" spans="1:1">
      <c r="A3277" s="32"/>
    </row>
    <row r="3278" spans="1:1">
      <c r="A3278" s="32"/>
    </row>
    <row r="3279" spans="1:1">
      <c r="A3279" s="32"/>
    </row>
    <row r="3280" spans="1:1">
      <c r="A3280" s="32"/>
    </row>
    <row r="3281" spans="1:1">
      <c r="A3281" s="32"/>
    </row>
    <row r="3282" spans="1:1">
      <c r="A3282" s="32"/>
    </row>
    <row r="3283" spans="1:1">
      <c r="A3283" s="32"/>
    </row>
    <row r="3284" spans="1:1">
      <c r="A3284" s="32"/>
    </row>
    <row r="3285" spans="1:1">
      <c r="A3285" s="32"/>
    </row>
    <row r="3286" spans="1:1">
      <c r="A3286" s="32"/>
    </row>
    <row r="3287" spans="1:1">
      <c r="A3287" s="32"/>
    </row>
    <row r="3288" spans="1:1">
      <c r="A3288" s="32"/>
    </row>
    <row r="3289" spans="1:1">
      <c r="A3289" s="32"/>
    </row>
    <row r="3290" spans="1:1">
      <c r="A3290" s="32"/>
    </row>
    <row r="3291" spans="1:1">
      <c r="A3291" s="32"/>
    </row>
    <row r="3292" spans="1:1">
      <c r="A3292" s="32"/>
    </row>
    <row r="3293" spans="1:1">
      <c r="A3293" s="32"/>
    </row>
    <row r="3294" spans="1:1">
      <c r="A3294" s="32"/>
    </row>
    <row r="3295" spans="1:1">
      <c r="A3295" s="32"/>
    </row>
    <row r="3296" spans="1:1">
      <c r="A3296" s="32"/>
    </row>
    <row r="3297" spans="1:1">
      <c r="A3297" s="32"/>
    </row>
    <row r="3298" spans="1:1">
      <c r="A3298" s="32"/>
    </row>
    <row r="3299" spans="1:1">
      <c r="A3299" s="32"/>
    </row>
    <row r="3300" spans="1:1">
      <c r="A3300" s="32"/>
    </row>
    <row r="3301" spans="1:1">
      <c r="A3301" s="32"/>
    </row>
    <row r="3302" spans="1:1">
      <c r="A3302" s="32"/>
    </row>
    <row r="3303" spans="1:1">
      <c r="A3303" s="32"/>
    </row>
    <row r="3304" spans="1:1">
      <c r="A3304" s="32"/>
    </row>
    <row r="3305" spans="1:1">
      <c r="A3305" s="32"/>
    </row>
    <row r="3306" spans="1:1">
      <c r="A3306" s="32"/>
    </row>
    <row r="3307" spans="1:1">
      <c r="A3307" s="32"/>
    </row>
    <row r="3308" spans="1:1">
      <c r="A3308" s="32"/>
    </row>
    <row r="3309" spans="1:1">
      <c r="A3309" s="32"/>
    </row>
    <row r="3310" spans="1:1">
      <c r="A3310" s="32"/>
    </row>
    <row r="3311" spans="1:1">
      <c r="A3311" s="32"/>
    </row>
    <row r="3312" spans="1:1">
      <c r="A3312" s="32"/>
    </row>
    <row r="3313" spans="1:1">
      <c r="A3313" s="32"/>
    </row>
    <row r="3314" spans="1:1">
      <c r="A3314" s="32"/>
    </row>
    <row r="3315" spans="1:1">
      <c r="A3315" s="32"/>
    </row>
    <row r="3316" spans="1:1">
      <c r="A3316" s="32"/>
    </row>
    <row r="3317" spans="1:1">
      <c r="A3317" s="32"/>
    </row>
    <row r="3318" spans="1:1">
      <c r="A3318" s="32"/>
    </row>
    <row r="3319" spans="1:1">
      <c r="A3319" s="32"/>
    </row>
    <row r="3320" spans="1:1">
      <c r="A3320" s="32"/>
    </row>
    <row r="3321" spans="1:1">
      <c r="A3321" s="32"/>
    </row>
    <row r="3322" spans="1:1">
      <c r="A3322" s="32"/>
    </row>
    <row r="3323" spans="1:1">
      <c r="A3323" s="32"/>
    </row>
    <row r="3324" spans="1:1">
      <c r="A3324" s="32"/>
    </row>
    <row r="3325" spans="1:1">
      <c r="A3325" s="32"/>
    </row>
    <row r="3326" spans="1:1">
      <c r="A3326" s="32"/>
    </row>
    <row r="3327" spans="1:1">
      <c r="A3327" s="32"/>
    </row>
    <row r="3328" spans="1:1">
      <c r="A3328" s="32"/>
    </row>
    <row r="3329" spans="1:1">
      <c r="A3329" s="32"/>
    </row>
    <row r="3330" spans="1:1">
      <c r="A3330" s="32"/>
    </row>
    <row r="3331" spans="1:1">
      <c r="A3331" s="32"/>
    </row>
    <row r="3332" spans="1:1">
      <c r="A3332" s="32"/>
    </row>
    <row r="3333" spans="1:1">
      <c r="A3333" s="32"/>
    </row>
    <row r="3334" spans="1:1">
      <c r="A3334" s="32"/>
    </row>
    <row r="3335" spans="1:1">
      <c r="A3335" s="32"/>
    </row>
    <row r="3336" spans="1:1">
      <c r="A3336" s="32"/>
    </row>
    <row r="3337" spans="1:1">
      <c r="A3337" s="32"/>
    </row>
    <row r="3338" spans="1:1">
      <c r="A3338" s="32"/>
    </row>
    <row r="3339" spans="1:1">
      <c r="A3339" s="32"/>
    </row>
    <row r="3340" spans="1:1">
      <c r="A3340" s="32"/>
    </row>
    <row r="3341" spans="1:1">
      <c r="A3341" s="32"/>
    </row>
    <row r="3342" spans="1:1">
      <c r="A3342" s="32"/>
    </row>
    <row r="3343" spans="1:1">
      <c r="A3343" s="32"/>
    </row>
    <row r="3344" spans="1:1">
      <c r="A3344" s="32"/>
    </row>
    <row r="3345" spans="1:1">
      <c r="A3345" s="32"/>
    </row>
    <row r="3346" spans="1:1">
      <c r="A3346" s="32"/>
    </row>
    <row r="3347" spans="1:1">
      <c r="A3347" s="32"/>
    </row>
    <row r="3348" spans="1:1">
      <c r="A3348" s="32"/>
    </row>
    <row r="3349" spans="1:1">
      <c r="A3349" s="32"/>
    </row>
    <row r="3350" spans="1:1">
      <c r="A3350" s="32"/>
    </row>
    <row r="3351" spans="1:1">
      <c r="A3351" s="32"/>
    </row>
    <row r="3352" spans="1:1">
      <c r="A3352" s="32"/>
    </row>
    <row r="3353" spans="1:1">
      <c r="A3353" s="32"/>
    </row>
    <row r="3354" spans="1:1">
      <c r="A3354" s="32"/>
    </row>
    <row r="3355" spans="1:1">
      <c r="A3355" s="32"/>
    </row>
    <row r="3356" spans="1:1">
      <c r="A3356" s="32"/>
    </row>
    <row r="3357" spans="1:1">
      <c r="A3357" s="32"/>
    </row>
    <row r="3358" spans="1:1">
      <c r="A3358" s="32"/>
    </row>
    <row r="3359" spans="1:1">
      <c r="A3359" s="32"/>
    </row>
    <row r="3360" spans="1:1">
      <c r="A3360" s="32"/>
    </row>
    <row r="3361" spans="1:1">
      <c r="A3361" s="32"/>
    </row>
    <row r="3362" spans="1:1">
      <c r="A3362" s="32"/>
    </row>
    <row r="3363" spans="1:1">
      <c r="A3363" s="32"/>
    </row>
    <row r="3364" spans="1:1">
      <c r="A3364" s="32"/>
    </row>
    <row r="3365" spans="1:1">
      <c r="A3365" s="32"/>
    </row>
    <row r="3366" spans="1:1">
      <c r="A3366" s="32"/>
    </row>
    <row r="3367" spans="1:1">
      <c r="A3367" s="32"/>
    </row>
    <row r="3368" spans="1:1">
      <c r="A3368" s="32"/>
    </row>
    <row r="3369" spans="1:1">
      <c r="A3369" s="32"/>
    </row>
    <row r="3370" spans="1:1">
      <c r="A3370" s="32"/>
    </row>
    <row r="3371" spans="1:1">
      <c r="A3371" s="32"/>
    </row>
    <row r="3372" spans="1:1">
      <c r="A3372" s="32"/>
    </row>
    <row r="3373" spans="1:1">
      <c r="A3373" s="32"/>
    </row>
    <row r="3374" spans="1:1">
      <c r="A3374" s="32"/>
    </row>
    <row r="3375" spans="1:1">
      <c r="A3375" s="32"/>
    </row>
    <row r="3376" spans="1:1">
      <c r="A3376" s="32"/>
    </row>
    <row r="3377" spans="1:1">
      <c r="A3377" s="32"/>
    </row>
    <row r="3378" spans="1:1">
      <c r="A3378" s="32"/>
    </row>
    <row r="3379" spans="1:1">
      <c r="A3379" s="32"/>
    </row>
    <row r="3380" spans="1:1">
      <c r="A3380" s="32"/>
    </row>
    <row r="3381" spans="1:1">
      <c r="A3381" s="32"/>
    </row>
    <row r="3382" spans="1:1">
      <c r="A3382" s="32"/>
    </row>
    <row r="3383" spans="1:1">
      <c r="A3383" s="32"/>
    </row>
    <row r="3384" spans="1:1">
      <c r="A3384" s="32"/>
    </row>
    <row r="3385" spans="1:1">
      <c r="A3385" s="32"/>
    </row>
    <row r="3386" spans="1:1">
      <c r="A3386" s="32"/>
    </row>
    <row r="3387" spans="1:1">
      <c r="A3387" s="32"/>
    </row>
    <row r="3388" spans="1:1">
      <c r="A3388" s="32"/>
    </row>
    <row r="3389" spans="1:1">
      <c r="A3389" s="32"/>
    </row>
    <row r="3390" spans="1:1">
      <c r="A3390" s="32"/>
    </row>
    <row r="3391" spans="1:1">
      <c r="A3391" s="32"/>
    </row>
    <row r="3392" spans="1:1">
      <c r="A3392" s="32"/>
    </row>
    <row r="3393" spans="1:1">
      <c r="A3393" s="32"/>
    </row>
    <row r="3394" spans="1:1">
      <c r="A3394" s="32"/>
    </row>
    <row r="3395" spans="1:1">
      <c r="A3395" s="32"/>
    </row>
    <row r="3396" spans="1:1">
      <c r="A3396" s="32"/>
    </row>
    <row r="3397" spans="1:1">
      <c r="A3397" s="32"/>
    </row>
    <row r="3398" spans="1:1">
      <c r="A3398" s="32"/>
    </row>
    <row r="3399" spans="1:1">
      <c r="A3399" s="32"/>
    </row>
    <row r="3400" spans="1:1">
      <c r="A3400" s="32"/>
    </row>
    <row r="3401" spans="1:1">
      <c r="A3401" s="32"/>
    </row>
    <row r="3402" spans="1:1">
      <c r="A3402" s="32"/>
    </row>
    <row r="3403" spans="1:1">
      <c r="A3403" s="32"/>
    </row>
    <row r="3404" spans="1:1">
      <c r="A3404" s="32"/>
    </row>
    <row r="3405" spans="1:1">
      <c r="A3405" s="32"/>
    </row>
    <row r="3406" spans="1:1">
      <c r="A3406" s="32"/>
    </row>
    <row r="3407" spans="1:1">
      <c r="A3407" s="32"/>
    </row>
    <row r="3408" spans="1:1">
      <c r="A3408" s="32"/>
    </row>
    <row r="3409" spans="1:1">
      <c r="A3409" s="32"/>
    </row>
    <row r="3410" spans="1:1">
      <c r="A3410" s="32"/>
    </row>
    <row r="3411" spans="1:1">
      <c r="A3411" s="32"/>
    </row>
    <row r="3412" spans="1:1">
      <c r="A3412" s="32"/>
    </row>
    <row r="3413" spans="1:1">
      <c r="A3413" s="32"/>
    </row>
    <row r="3414" spans="1:1">
      <c r="A3414" s="32"/>
    </row>
    <row r="3415" spans="1:1">
      <c r="A3415" s="32"/>
    </row>
    <row r="3416" spans="1:1">
      <c r="A3416" s="32"/>
    </row>
    <row r="3417" spans="1:1">
      <c r="A3417" s="32"/>
    </row>
    <row r="3418" spans="1:1">
      <c r="A3418" s="32"/>
    </row>
    <row r="3419" spans="1:1">
      <c r="A3419" s="32"/>
    </row>
    <row r="3420" spans="1:1">
      <c r="A3420" s="32"/>
    </row>
    <row r="3421" spans="1:1">
      <c r="A3421" s="32"/>
    </row>
    <row r="3422" spans="1:1">
      <c r="A3422" s="32"/>
    </row>
    <row r="3423" spans="1:1">
      <c r="A3423" s="32"/>
    </row>
    <row r="3424" spans="1:1">
      <c r="A3424" s="32"/>
    </row>
    <row r="3425" spans="1:1">
      <c r="A3425" s="32"/>
    </row>
    <row r="3426" spans="1:1">
      <c r="A3426" s="32"/>
    </row>
    <row r="3427" spans="1:1">
      <c r="A3427" s="32"/>
    </row>
    <row r="3428" spans="1:1">
      <c r="A3428" s="32"/>
    </row>
    <row r="3429" spans="1:1">
      <c r="A3429" s="32"/>
    </row>
    <row r="3430" spans="1:1">
      <c r="A3430" s="32"/>
    </row>
    <row r="3431" spans="1:1">
      <c r="A3431" s="32"/>
    </row>
    <row r="3432" spans="1:1">
      <c r="A3432" s="32"/>
    </row>
    <row r="3433" spans="1:1">
      <c r="A3433" s="32"/>
    </row>
    <row r="3434" spans="1:1">
      <c r="A3434" s="32"/>
    </row>
    <row r="3435" spans="1:1">
      <c r="A3435" s="32"/>
    </row>
    <row r="3436" spans="1:1">
      <c r="A3436" s="32"/>
    </row>
    <row r="3437" spans="1:1">
      <c r="A3437" s="32"/>
    </row>
    <row r="3438" spans="1:1">
      <c r="A3438" s="32"/>
    </row>
    <row r="3439" spans="1:1">
      <c r="A3439" s="32"/>
    </row>
    <row r="3440" spans="1:1">
      <c r="A3440" s="32"/>
    </row>
    <row r="3441" spans="1:1">
      <c r="A3441" s="32"/>
    </row>
    <row r="3442" spans="1:1">
      <c r="A3442" s="32"/>
    </row>
    <row r="3443" spans="1:1">
      <c r="A3443" s="32"/>
    </row>
    <row r="3444" spans="1:1">
      <c r="A3444" s="32"/>
    </row>
    <row r="3445" spans="1:1">
      <c r="A3445" s="32"/>
    </row>
    <row r="3446" spans="1:1">
      <c r="A3446" s="32"/>
    </row>
    <row r="3447" spans="1:1">
      <c r="A3447" s="32"/>
    </row>
    <row r="3448" spans="1:1">
      <c r="A3448" s="32"/>
    </row>
    <row r="3449" spans="1:1">
      <c r="A3449" s="32"/>
    </row>
    <row r="3450" spans="1:1">
      <c r="A3450" s="32"/>
    </row>
    <row r="3451" spans="1:1">
      <c r="A3451" s="32"/>
    </row>
    <row r="3452" spans="1:1">
      <c r="A3452" s="32"/>
    </row>
    <row r="3453" spans="1:1">
      <c r="A3453" s="32"/>
    </row>
    <row r="3454" spans="1:1">
      <c r="A3454" s="32"/>
    </row>
    <row r="3455" spans="1:1">
      <c r="A3455" s="32"/>
    </row>
    <row r="3456" spans="1:1">
      <c r="A3456" s="32"/>
    </row>
    <row r="3457" spans="1:1">
      <c r="A3457" s="32"/>
    </row>
    <row r="3458" spans="1:1">
      <c r="A3458" s="32"/>
    </row>
    <row r="3459" spans="1:1">
      <c r="A3459" s="32"/>
    </row>
    <row r="3460" spans="1:1">
      <c r="A3460" s="32"/>
    </row>
    <row r="3461" spans="1:1">
      <c r="A3461" s="32"/>
    </row>
    <row r="3462" spans="1:1">
      <c r="A3462" s="32"/>
    </row>
    <row r="3463" spans="1:1">
      <c r="A3463" s="32"/>
    </row>
    <row r="3464" spans="1:1">
      <c r="A3464" s="32"/>
    </row>
    <row r="3465" spans="1:1">
      <c r="A3465" s="32"/>
    </row>
    <row r="3466" spans="1:1">
      <c r="A3466" s="32"/>
    </row>
    <row r="3467" spans="1:1">
      <c r="A3467" s="32"/>
    </row>
    <row r="3468" spans="1:1">
      <c r="A3468" s="32"/>
    </row>
    <row r="3469" spans="1:1">
      <c r="A3469" s="32"/>
    </row>
    <row r="3470" spans="1:1">
      <c r="A3470" s="32"/>
    </row>
    <row r="3471" spans="1:1">
      <c r="A3471" s="32"/>
    </row>
    <row r="3472" spans="1:1">
      <c r="A3472" s="32"/>
    </row>
    <row r="3473" spans="1:1">
      <c r="A3473" s="32"/>
    </row>
    <row r="3474" spans="1:1">
      <c r="A3474" s="32"/>
    </row>
    <row r="3475" spans="1:1">
      <c r="A3475" s="32"/>
    </row>
    <row r="3476" spans="1:1">
      <c r="A3476" s="32"/>
    </row>
    <row r="3477" spans="1:1">
      <c r="A3477" s="32"/>
    </row>
    <row r="3478" spans="1:1">
      <c r="A3478" s="32"/>
    </row>
    <row r="3479" spans="1:1">
      <c r="A3479" s="32"/>
    </row>
    <row r="3480" spans="1:1">
      <c r="A3480" s="32"/>
    </row>
    <row r="3481" spans="1:1">
      <c r="A3481" s="32"/>
    </row>
    <row r="3482" spans="1:1">
      <c r="A3482" s="32"/>
    </row>
    <row r="3483" spans="1:1">
      <c r="A3483" s="32"/>
    </row>
    <row r="3484" spans="1:1">
      <c r="A3484" s="32"/>
    </row>
    <row r="3485" spans="1:1">
      <c r="A3485" s="32"/>
    </row>
    <row r="3486" spans="1:1">
      <c r="A3486" s="32"/>
    </row>
    <row r="3487" spans="1:1">
      <c r="A3487" s="32"/>
    </row>
    <row r="3488" spans="1:1">
      <c r="A3488" s="32"/>
    </row>
    <row r="3489" spans="1:1">
      <c r="A3489" s="32"/>
    </row>
    <row r="3490" spans="1:1">
      <c r="A3490" s="32"/>
    </row>
    <row r="3491" spans="1:1">
      <c r="A3491" s="32"/>
    </row>
    <row r="3492" spans="1:1">
      <c r="A3492" s="32"/>
    </row>
    <row r="3493" spans="1:1">
      <c r="A3493" s="32"/>
    </row>
    <row r="3494" spans="1:1">
      <c r="A3494" s="32"/>
    </row>
    <row r="3495" spans="1:1">
      <c r="A3495" s="32"/>
    </row>
    <row r="3496" spans="1:1">
      <c r="A3496" s="32"/>
    </row>
    <row r="3497" spans="1:1">
      <c r="A3497" s="32"/>
    </row>
    <row r="3498" spans="1:1">
      <c r="A3498" s="32"/>
    </row>
    <row r="3499" spans="1:1">
      <c r="A3499" s="32"/>
    </row>
    <row r="3500" spans="1:1">
      <c r="A3500" s="32"/>
    </row>
    <row r="3501" spans="1:1">
      <c r="A3501" s="32"/>
    </row>
    <row r="3502" spans="1:1">
      <c r="A3502" s="32"/>
    </row>
    <row r="3503" spans="1:1">
      <c r="A3503" s="32"/>
    </row>
    <row r="3504" spans="1:1">
      <c r="A3504" s="32"/>
    </row>
    <row r="3505" spans="1:1">
      <c r="A3505" s="32"/>
    </row>
    <row r="3506" spans="1:1">
      <c r="A3506" s="32"/>
    </row>
    <row r="3507" spans="1:1">
      <c r="A3507" s="32"/>
    </row>
    <row r="3508" spans="1:1">
      <c r="A3508" s="32"/>
    </row>
    <row r="3509" spans="1:1">
      <c r="A3509" s="32"/>
    </row>
    <row r="3510" spans="1:1">
      <c r="A3510" s="32"/>
    </row>
    <row r="3511" spans="1:1">
      <c r="A3511" s="32"/>
    </row>
    <row r="3512" spans="1:1">
      <c r="A3512" s="32"/>
    </row>
    <row r="3513" spans="1:1">
      <c r="A3513" s="32"/>
    </row>
    <row r="3514" spans="1:1">
      <c r="A3514" s="32"/>
    </row>
    <row r="3515" spans="1:1">
      <c r="A3515" s="32"/>
    </row>
    <row r="3516" spans="1:1">
      <c r="A3516" s="32"/>
    </row>
    <row r="3517" spans="1:1">
      <c r="A3517" s="32"/>
    </row>
    <row r="3518" spans="1:1">
      <c r="A3518" s="32"/>
    </row>
    <row r="3519" spans="1:1">
      <c r="A3519" s="32"/>
    </row>
    <row r="3520" spans="1:1">
      <c r="A3520" s="32"/>
    </row>
    <row r="3521" spans="1:1">
      <c r="A3521" s="32"/>
    </row>
    <row r="3522" spans="1:1">
      <c r="A3522" s="32"/>
    </row>
    <row r="3523" spans="1:1">
      <c r="A3523" s="32"/>
    </row>
    <row r="3524" spans="1:1">
      <c r="A3524" s="32"/>
    </row>
    <row r="3525" spans="1:1">
      <c r="A3525" s="32"/>
    </row>
    <row r="3526" spans="1:1">
      <c r="A3526" s="32"/>
    </row>
    <row r="3527" spans="1:1">
      <c r="A3527" s="32"/>
    </row>
    <row r="3528" spans="1:1">
      <c r="A3528" s="32"/>
    </row>
    <row r="3529" spans="1:1">
      <c r="A3529" s="32"/>
    </row>
    <row r="3530" spans="1:1">
      <c r="A3530" s="32"/>
    </row>
    <row r="3531" spans="1:1">
      <c r="A3531" s="32"/>
    </row>
    <row r="3532" spans="1:1">
      <c r="A3532" s="32"/>
    </row>
    <row r="3533" spans="1:1">
      <c r="A3533" s="32"/>
    </row>
    <row r="3534" spans="1:1">
      <c r="A3534" s="32"/>
    </row>
    <row r="3535" spans="1:1">
      <c r="A3535" s="32"/>
    </row>
    <row r="3536" spans="1:1">
      <c r="A3536" s="32"/>
    </row>
    <row r="3537" spans="1:1">
      <c r="A3537" s="32"/>
    </row>
    <row r="3538" spans="1:1">
      <c r="A3538" s="32"/>
    </row>
    <row r="3539" spans="1:1">
      <c r="A3539" s="32"/>
    </row>
    <row r="3540" spans="1:1">
      <c r="A3540" s="32"/>
    </row>
    <row r="3541" spans="1:1">
      <c r="A3541" s="32"/>
    </row>
    <row r="3542" spans="1:1">
      <c r="A3542" s="32"/>
    </row>
    <row r="3543" spans="1:1">
      <c r="A3543" s="32"/>
    </row>
    <row r="3544" spans="1:1">
      <c r="A3544" s="32"/>
    </row>
    <row r="3545" spans="1:1">
      <c r="A3545" s="32"/>
    </row>
    <row r="3546" spans="1:1">
      <c r="A3546" s="32"/>
    </row>
    <row r="3547" spans="1:1">
      <c r="A3547" s="32"/>
    </row>
    <row r="3548" spans="1:1">
      <c r="A3548" s="32"/>
    </row>
    <row r="3549" spans="1:1">
      <c r="A3549" s="32"/>
    </row>
    <row r="3550" spans="1:1">
      <c r="A3550" s="32"/>
    </row>
    <row r="3551" spans="1:1">
      <c r="A3551" s="32"/>
    </row>
    <row r="3552" spans="1:1">
      <c r="A3552" s="32"/>
    </row>
    <row r="3553" spans="1:1">
      <c r="A3553" s="32"/>
    </row>
    <row r="3554" spans="1:1">
      <c r="A3554" s="32"/>
    </row>
    <row r="3555" spans="1:1">
      <c r="A3555" s="32"/>
    </row>
    <row r="3556" spans="1:1">
      <c r="A3556" s="32"/>
    </row>
    <row r="3557" spans="1:1">
      <c r="A3557" s="32"/>
    </row>
    <row r="3558" spans="1:1">
      <c r="A3558" s="32"/>
    </row>
    <row r="3559" spans="1:1">
      <c r="A3559" s="32"/>
    </row>
    <row r="3560" spans="1:1">
      <c r="A3560" s="32"/>
    </row>
    <row r="3561" spans="1:1">
      <c r="A3561" s="32"/>
    </row>
    <row r="3562" spans="1:1">
      <c r="A3562" s="32"/>
    </row>
    <row r="3563" spans="1:1">
      <c r="A3563" s="32"/>
    </row>
    <row r="3564" spans="1:1">
      <c r="A3564" s="32"/>
    </row>
    <row r="3565" spans="1:1">
      <c r="A3565" s="32"/>
    </row>
    <row r="3566" spans="1:1">
      <c r="A3566" s="32"/>
    </row>
    <row r="3567" spans="1:1">
      <c r="A3567" s="32"/>
    </row>
    <row r="3568" spans="1:1">
      <c r="A3568" s="32"/>
    </row>
    <row r="3569" spans="1:1">
      <c r="A3569" s="32"/>
    </row>
    <row r="3570" spans="1:1">
      <c r="A3570" s="32"/>
    </row>
    <row r="3571" spans="1:1">
      <c r="A3571" s="32"/>
    </row>
    <row r="3572" spans="1:1">
      <c r="A3572" s="32"/>
    </row>
    <row r="3573" spans="1:1">
      <c r="A3573" s="32"/>
    </row>
    <row r="3574" spans="1:1">
      <c r="A3574" s="32"/>
    </row>
    <row r="3575" spans="1:1">
      <c r="A3575" s="32"/>
    </row>
    <row r="3576" spans="1:1">
      <c r="A3576" s="32"/>
    </row>
    <row r="3577" spans="1:1">
      <c r="A3577" s="32"/>
    </row>
    <row r="3578" spans="1:1">
      <c r="A3578" s="32"/>
    </row>
    <row r="3579" spans="1:1">
      <c r="A3579" s="32"/>
    </row>
    <row r="3580" spans="1:1">
      <c r="A3580" s="32"/>
    </row>
    <row r="3581" spans="1:1">
      <c r="A3581" s="32"/>
    </row>
    <row r="3582" spans="1:1">
      <c r="A3582" s="32"/>
    </row>
    <row r="3583" spans="1:1">
      <c r="A3583" s="32"/>
    </row>
    <row r="3584" spans="1:1">
      <c r="A3584" s="32"/>
    </row>
    <row r="3585" spans="1:1">
      <c r="A3585" s="32"/>
    </row>
    <row r="3586" spans="1:1">
      <c r="A3586" s="32"/>
    </row>
    <row r="3587" spans="1:1">
      <c r="A3587" s="32"/>
    </row>
    <row r="3588" spans="1:1">
      <c r="A3588" s="32"/>
    </row>
    <row r="3589" spans="1:1">
      <c r="A3589" s="32"/>
    </row>
    <row r="3590" spans="1:1">
      <c r="A3590" s="32"/>
    </row>
    <row r="3591" spans="1:1">
      <c r="A3591" s="32"/>
    </row>
    <row r="3592" spans="1:1">
      <c r="A3592" s="32"/>
    </row>
    <row r="3593" spans="1:1">
      <c r="A3593" s="32"/>
    </row>
    <row r="3594" spans="1:1">
      <c r="A3594" s="32"/>
    </row>
    <row r="3595" spans="1:1">
      <c r="A3595" s="32"/>
    </row>
    <row r="3596" spans="1:1">
      <c r="A3596" s="32"/>
    </row>
    <row r="3597" spans="1:1">
      <c r="A3597" s="32"/>
    </row>
    <row r="3598" spans="1:1">
      <c r="A3598" s="32"/>
    </row>
    <row r="3599" spans="1:1">
      <c r="A3599" s="32"/>
    </row>
    <row r="3600" spans="1:1">
      <c r="A3600" s="32"/>
    </row>
    <row r="3601" spans="1:1">
      <c r="A3601" s="32"/>
    </row>
    <row r="3602" spans="1:1">
      <c r="A3602" s="32"/>
    </row>
    <row r="3603" spans="1:1">
      <c r="A3603" s="32"/>
    </row>
    <row r="3604" spans="1:1">
      <c r="A3604" s="32"/>
    </row>
    <row r="3605" spans="1:1">
      <c r="A3605" s="32"/>
    </row>
    <row r="3606" spans="1:1">
      <c r="A3606" s="32"/>
    </row>
    <row r="3607" spans="1:1">
      <c r="A3607" s="32"/>
    </row>
    <row r="3608" spans="1:1">
      <c r="A3608" s="32"/>
    </row>
    <row r="3609" spans="1:1">
      <c r="A3609" s="32"/>
    </row>
    <row r="3610" spans="1:1">
      <c r="A3610" s="32"/>
    </row>
    <row r="3611" spans="1:1">
      <c r="A3611" s="32"/>
    </row>
    <row r="3612" spans="1:1">
      <c r="A3612" s="32"/>
    </row>
    <row r="3613" spans="1:1">
      <c r="A3613" s="32"/>
    </row>
    <row r="3614" spans="1:1">
      <c r="A3614" s="32"/>
    </row>
    <row r="3615" spans="1:1">
      <c r="A3615" s="32"/>
    </row>
    <row r="3616" spans="1:1">
      <c r="A3616" s="32"/>
    </row>
    <row r="3617" spans="1:1">
      <c r="A3617" s="32"/>
    </row>
    <row r="3618" spans="1:1">
      <c r="A3618" s="32"/>
    </row>
    <row r="3619" spans="1:1">
      <c r="A3619" s="32"/>
    </row>
    <row r="3620" spans="1:1">
      <c r="A3620" s="32"/>
    </row>
    <row r="3621" spans="1:1">
      <c r="A3621" s="32"/>
    </row>
    <row r="3622" spans="1:1">
      <c r="A3622" s="32"/>
    </row>
    <row r="3623" spans="1:1">
      <c r="A3623" s="32"/>
    </row>
    <row r="3624" spans="1:1">
      <c r="A3624" s="32"/>
    </row>
    <row r="3625" spans="1:1">
      <c r="A3625" s="32"/>
    </row>
    <row r="3626" spans="1:1">
      <c r="A3626" s="32"/>
    </row>
    <row r="3627" spans="1:1">
      <c r="A3627" s="32"/>
    </row>
    <row r="3628" spans="1:1">
      <c r="A3628" s="32"/>
    </row>
    <row r="3629" spans="1:1">
      <c r="A3629" s="32"/>
    </row>
    <row r="3630" spans="1:1">
      <c r="A3630" s="32"/>
    </row>
    <row r="3631" spans="1:1">
      <c r="A3631" s="32"/>
    </row>
    <row r="3632" spans="1:1">
      <c r="A3632" s="32"/>
    </row>
    <row r="3633" spans="1:1">
      <c r="A3633" s="32"/>
    </row>
    <row r="3634" spans="1:1">
      <c r="A3634" s="32"/>
    </row>
    <row r="3635" spans="1:1">
      <c r="A3635" s="32"/>
    </row>
    <row r="3636" spans="1:1">
      <c r="A3636" s="32"/>
    </row>
    <row r="3637" spans="1:1">
      <c r="A3637" s="32"/>
    </row>
    <row r="3638" spans="1:1">
      <c r="A3638" s="32"/>
    </row>
    <row r="3639" spans="1:1">
      <c r="A3639" s="32"/>
    </row>
    <row r="3640" spans="1:1">
      <c r="A3640" s="32"/>
    </row>
    <row r="3641" spans="1:1">
      <c r="A3641" s="32"/>
    </row>
    <row r="3642" spans="1:1">
      <c r="A3642" s="32"/>
    </row>
    <row r="3643" spans="1:1">
      <c r="A3643" s="32"/>
    </row>
    <row r="3644" spans="1:1">
      <c r="A3644" s="32"/>
    </row>
    <row r="3645" spans="1:1">
      <c r="A3645" s="32"/>
    </row>
    <row r="3646" spans="1:1">
      <c r="A3646" s="32"/>
    </row>
    <row r="3647" spans="1:1">
      <c r="A3647" s="32"/>
    </row>
    <row r="3648" spans="1:1">
      <c r="A3648" s="32"/>
    </row>
    <row r="3649" spans="1:1">
      <c r="A3649" s="32"/>
    </row>
    <row r="3650" spans="1:1">
      <c r="A3650" s="32"/>
    </row>
    <row r="3651" spans="1:1">
      <c r="A3651" s="32"/>
    </row>
    <row r="3652" spans="1:1">
      <c r="A3652" s="32"/>
    </row>
    <row r="3653" spans="1:1">
      <c r="A3653" s="32"/>
    </row>
    <row r="3654" spans="1:1">
      <c r="A3654" s="32"/>
    </row>
    <row r="3655" spans="1:1">
      <c r="A3655" s="32"/>
    </row>
    <row r="3656" spans="1:1">
      <c r="A3656" s="32"/>
    </row>
    <row r="3657" spans="1:1">
      <c r="A3657" s="32"/>
    </row>
    <row r="3658" spans="1:1">
      <c r="A3658" s="32"/>
    </row>
    <row r="3659" spans="1:1">
      <c r="A3659" s="32"/>
    </row>
    <row r="3660" spans="1:1">
      <c r="A3660" s="32"/>
    </row>
    <row r="3661" spans="1:1">
      <c r="A3661" s="32"/>
    </row>
    <row r="3662" spans="1:1">
      <c r="A3662" s="32"/>
    </row>
    <row r="3663" spans="1:1">
      <c r="A3663" s="32"/>
    </row>
    <row r="3664" spans="1:1">
      <c r="A3664" s="32"/>
    </row>
    <row r="3665" spans="1:1">
      <c r="A3665" s="32"/>
    </row>
    <row r="3666" spans="1:1">
      <c r="A3666" s="32"/>
    </row>
    <row r="3667" spans="1:1">
      <c r="A3667" s="32"/>
    </row>
    <row r="3668" spans="1:1">
      <c r="A3668" s="32"/>
    </row>
    <row r="3669" spans="1:1">
      <c r="A3669" s="32"/>
    </row>
    <row r="3670" spans="1:1">
      <c r="A3670" s="32"/>
    </row>
    <row r="3671" spans="1:1">
      <c r="A3671" s="32"/>
    </row>
    <row r="3672" spans="1:1">
      <c r="A3672" s="32"/>
    </row>
    <row r="3673" spans="1:1">
      <c r="A3673" s="32"/>
    </row>
    <row r="3674" spans="1:1">
      <c r="A3674" s="32"/>
    </row>
    <row r="3675" spans="1:1">
      <c r="A3675" s="32"/>
    </row>
    <row r="3676" spans="1:1">
      <c r="A3676" s="32"/>
    </row>
    <row r="3677" spans="1:1">
      <c r="A3677" s="32"/>
    </row>
    <row r="3678" spans="1:1">
      <c r="A3678" s="32"/>
    </row>
    <row r="3679" spans="1:1">
      <c r="A3679" s="32"/>
    </row>
    <row r="3680" spans="1:1">
      <c r="A3680" s="32"/>
    </row>
    <row r="3681" spans="1:1">
      <c r="A3681" s="32"/>
    </row>
    <row r="3682" spans="1:1">
      <c r="A3682" s="32"/>
    </row>
    <row r="3683" spans="1:1">
      <c r="A3683" s="32"/>
    </row>
    <row r="3684" spans="1:1">
      <c r="A3684" s="32"/>
    </row>
    <row r="3685" spans="1:1">
      <c r="A3685" s="32"/>
    </row>
    <row r="3686" spans="1:1">
      <c r="A3686" s="32"/>
    </row>
    <row r="3687" spans="1:1">
      <c r="A3687" s="32"/>
    </row>
    <row r="3688" spans="1:1">
      <c r="A3688" s="32"/>
    </row>
    <row r="3689" spans="1:1">
      <c r="A3689" s="32"/>
    </row>
    <row r="3690" spans="1:1">
      <c r="A3690" s="32"/>
    </row>
    <row r="3691" spans="1:1">
      <c r="A3691" s="32"/>
    </row>
    <row r="3692" spans="1:1">
      <c r="A3692" s="32"/>
    </row>
    <row r="3693" spans="1:1">
      <c r="A3693" s="32"/>
    </row>
    <row r="3694" spans="1:1">
      <c r="A3694" s="32"/>
    </row>
    <row r="3695" spans="1:1">
      <c r="A3695" s="32"/>
    </row>
    <row r="3696" spans="1:1">
      <c r="A3696" s="32"/>
    </row>
    <row r="3697" spans="1:1">
      <c r="A3697" s="32"/>
    </row>
    <row r="3698" spans="1:1">
      <c r="A3698" s="32"/>
    </row>
    <row r="3699" spans="1:1">
      <c r="A3699" s="32"/>
    </row>
    <row r="3700" spans="1:1">
      <c r="A3700" s="32"/>
    </row>
    <row r="3701" spans="1:1">
      <c r="A3701" s="32"/>
    </row>
    <row r="3702" spans="1:1">
      <c r="A3702" s="32"/>
    </row>
    <row r="3703" spans="1:1">
      <c r="A3703" s="32"/>
    </row>
    <row r="3704" spans="1:1">
      <c r="A3704" s="32"/>
    </row>
    <row r="3705" spans="1:1">
      <c r="A3705" s="32"/>
    </row>
    <row r="3706" spans="1:1">
      <c r="A3706" s="32"/>
    </row>
    <row r="3707" spans="1:1">
      <c r="A3707" s="32"/>
    </row>
    <row r="3708" spans="1:1">
      <c r="A3708" s="32"/>
    </row>
    <row r="3709" spans="1:1">
      <c r="A3709" s="32"/>
    </row>
    <row r="3710" spans="1:1">
      <c r="A3710" s="32"/>
    </row>
    <row r="3711" spans="1:1">
      <c r="A3711" s="32"/>
    </row>
    <row r="3712" spans="1:1">
      <c r="A3712" s="32"/>
    </row>
    <row r="3713" spans="1:1">
      <c r="A3713" s="32"/>
    </row>
    <row r="3714" spans="1:1">
      <c r="A3714" s="32"/>
    </row>
    <row r="3715" spans="1:1">
      <c r="A3715" s="32"/>
    </row>
    <row r="3716" spans="1:1">
      <c r="A3716" s="32"/>
    </row>
    <row r="3717" spans="1:1">
      <c r="A3717" s="32"/>
    </row>
    <row r="3718" spans="1:1">
      <c r="A3718" s="32"/>
    </row>
    <row r="3719" spans="1:1">
      <c r="A3719" s="32"/>
    </row>
    <row r="3720" spans="1:1">
      <c r="A3720" s="32"/>
    </row>
    <row r="3721" spans="1:1">
      <c r="A3721" s="32"/>
    </row>
    <row r="3722" spans="1:1">
      <c r="A3722" s="32"/>
    </row>
    <row r="3723" spans="1:1">
      <c r="A3723" s="32"/>
    </row>
    <row r="3724" spans="1:1">
      <c r="A3724" s="32"/>
    </row>
    <row r="3725" spans="1:1">
      <c r="A3725" s="32"/>
    </row>
    <row r="3726" spans="1:1">
      <c r="A3726" s="32"/>
    </row>
    <row r="3727" spans="1:1">
      <c r="A3727" s="32"/>
    </row>
    <row r="3728" spans="1:1">
      <c r="A3728" s="32"/>
    </row>
    <row r="3729" spans="1:1">
      <c r="A3729" s="32"/>
    </row>
    <row r="3730" spans="1:1">
      <c r="A3730" s="32"/>
    </row>
    <row r="3731" spans="1:1">
      <c r="A3731" s="32"/>
    </row>
    <row r="3732" spans="1:1">
      <c r="A3732" s="32"/>
    </row>
    <row r="3733" spans="1:1">
      <c r="A3733" s="32"/>
    </row>
    <row r="3734" spans="1:1">
      <c r="A3734" s="32"/>
    </row>
    <row r="3735" spans="1:1">
      <c r="A3735" s="32"/>
    </row>
    <row r="3736" spans="1:1">
      <c r="A3736" s="32"/>
    </row>
    <row r="3737" spans="1:1">
      <c r="A3737" s="32"/>
    </row>
    <row r="3738" spans="1:1">
      <c r="A3738" s="32"/>
    </row>
    <row r="3739" spans="1:1">
      <c r="A3739" s="32"/>
    </row>
    <row r="3740" spans="1:1">
      <c r="A3740" s="32"/>
    </row>
    <row r="3741" spans="1:1">
      <c r="A3741" s="32"/>
    </row>
    <row r="3742" spans="1:1">
      <c r="A3742" s="32"/>
    </row>
    <row r="3743" spans="1:1">
      <c r="A3743" s="32"/>
    </row>
    <row r="3744" spans="1:1">
      <c r="A3744" s="32"/>
    </row>
    <row r="3745" spans="1:1">
      <c r="A3745" s="32"/>
    </row>
    <row r="3746" spans="1:1">
      <c r="A3746" s="32"/>
    </row>
    <row r="3747" spans="1:1">
      <c r="A3747" s="32"/>
    </row>
    <row r="3748" spans="1:1">
      <c r="A3748" s="32"/>
    </row>
    <row r="3749" spans="1:1">
      <c r="A3749" s="32"/>
    </row>
    <row r="3750" spans="1:1">
      <c r="A3750" s="32"/>
    </row>
    <row r="3751" spans="1:1">
      <c r="A3751" s="32"/>
    </row>
    <row r="3752" spans="1:1">
      <c r="A3752" s="32"/>
    </row>
    <row r="3753" spans="1:1">
      <c r="A3753" s="32"/>
    </row>
    <row r="3754" spans="1:1">
      <c r="A3754" s="32"/>
    </row>
    <row r="3755" spans="1:1">
      <c r="A3755" s="32"/>
    </row>
    <row r="3756" spans="1:1">
      <c r="A3756" s="32"/>
    </row>
    <row r="3757" spans="1:1">
      <c r="A3757" s="32"/>
    </row>
    <row r="3758" spans="1:1">
      <c r="A3758" s="32"/>
    </row>
    <row r="3759" spans="1:1">
      <c r="A3759" s="32"/>
    </row>
    <row r="3760" spans="1:1">
      <c r="A3760" s="32"/>
    </row>
    <row r="3761" spans="1:1">
      <c r="A3761" s="32"/>
    </row>
    <row r="3762" spans="1:1">
      <c r="A3762" s="32"/>
    </row>
    <row r="3763" spans="1:1">
      <c r="A3763" s="32"/>
    </row>
    <row r="3764" spans="1:1">
      <c r="A3764" s="32"/>
    </row>
    <row r="3765" spans="1:1">
      <c r="A3765" s="32"/>
    </row>
    <row r="3766" spans="1:1">
      <c r="A3766" s="32"/>
    </row>
    <row r="3767" spans="1:1">
      <c r="A3767" s="32"/>
    </row>
    <row r="3768" spans="1:1">
      <c r="A3768" s="32"/>
    </row>
    <row r="3769" spans="1:1">
      <c r="A3769" s="32"/>
    </row>
    <row r="3770" spans="1:1">
      <c r="A3770" s="32"/>
    </row>
    <row r="3771" spans="1:1">
      <c r="A3771" s="32"/>
    </row>
    <row r="3772" spans="1:1">
      <c r="A3772" s="32"/>
    </row>
    <row r="3773" spans="1:1">
      <c r="A3773" s="32"/>
    </row>
    <row r="3774" spans="1:1">
      <c r="A3774" s="32"/>
    </row>
    <row r="3775" spans="1:1">
      <c r="A3775" s="32"/>
    </row>
    <row r="3776" spans="1:1">
      <c r="A3776" s="32"/>
    </row>
    <row r="3777" spans="1:1">
      <c r="A3777" s="32"/>
    </row>
    <row r="3778" spans="1:1">
      <c r="A3778" s="32"/>
    </row>
    <row r="3779" spans="1:1">
      <c r="A3779" s="32"/>
    </row>
    <row r="3780" spans="1:1">
      <c r="A3780" s="32"/>
    </row>
    <row r="3781" spans="1:1">
      <c r="A3781" s="32"/>
    </row>
    <row r="3782" spans="1:1">
      <c r="A3782" s="32"/>
    </row>
    <row r="3783" spans="1:1">
      <c r="A3783" s="32"/>
    </row>
    <row r="3784" spans="1:1">
      <c r="A3784" s="32"/>
    </row>
    <row r="3785" spans="1:1">
      <c r="A3785" s="32"/>
    </row>
    <row r="3786" spans="1:1">
      <c r="A3786" s="32"/>
    </row>
    <row r="3787" spans="1:1">
      <c r="A3787" s="32"/>
    </row>
    <row r="3788" spans="1:1">
      <c r="A3788" s="32"/>
    </row>
    <row r="3789" spans="1:1">
      <c r="A3789" s="32"/>
    </row>
    <row r="3790" spans="1:1">
      <c r="A3790" s="32"/>
    </row>
    <row r="3791" spans="1:1">
      <c r="A3791" s="32"/>
    </row>
    <row r="3792" spans="1:1">
      <c r="A3792" s="32"/>
    </row>
    <row r="3793" spans="1:1">
      <c r="A3793" s="32"/>
    </row>
    <row r="3794" spans="1:1">
      <c r="A3794" s="32"/>
    </row>
    <row r="3795" spans="1:1">
      <c r="A3795" s="32"/>
    </row>
    <row r="3796" spans="1:1">
      <c r="A3796" s="32"/>
    </row>
    <row r="3797" spans="1:1">
      <c r="A3797" s="32"/>
    </row>
    <row r="3798" spans="1:1">
      <c r="A3798" s="32"/>
    </row>
    <row r="3799" spans="1:1">
      <c r="A3799" s="32"/>
    </row>
    <row r="3800" spans="1:1">
      <c r="A3800" s="32"/>
    </row>
    <row r="3801" spans="1:1">
      <c r="A3801" s="32"/>
    </row>
    <row r="3802" spans="1:1">
      <c r="A3802" s="32"/>
    </row>
    <row r="3803" spans="1:1">
      <c r="A3803" s="32"/>
    </row>
    <row r="3804" spans="1:1">
      <c r="A3804" s="32"/>
    </row>
    <row r="3805" spans="1:1">
      <c r="A3805" s="32"/>
    </row>
    <row r="3806" spans="1:1">
      <c r="A3806" s="32"/>
    </row>
    <row r="3807" spans="1:1">
      <c r="A3807" s="32"/>
    </row>
    <row r="3808" spans="1:1">
      <c r="A3808" s="32"/>
    </row>
    <row r="3809" spans="1:1">
      <c r="A3809" s="32"/>
    </row>
    <row r="3810" spans="1:1">
      <c r="A3810" s="32"/>
    </row>
    <row r="3811" spans="1:1">
      <c r="A3811" s="32"/>
    </row>
    <row r="3812" spans="1:1">
      <c r="A3812" s="32"/>
    </row>
    <row r="3813" spans="1:1">
      <c r="A3813" s="32"/>
    </row>
    <row r="3814" spans="1:1">
      <c r="A3814" s="32"/>
    </row>
    <row r="3815" spans="1:1">
      <c r="A3815" s="32"/>
    </row>
    <row r="3816" spans="1:1">
      <c r="A3816" s="32"/>
    </row>
    <row r="3817" spans="1:1">
      <c r="A3817" s="32"/>
    </row>
    <row r="3818" spans="1:1">
      <c r="A3818" s="32"/>
    </row>
    <row r="3819" spans="1:1">
      <c r="A3819" s="32"/>
    </row>
    <row r="3820" spans="1:1">
      <c r="A3820" s="32"/>
    </row>
    <row r="3821" spans="1:1">
      <c r="A3821" s="32"/>
    </row>
    <row r="3822" spans="1:1">
      <c r="A3822" s="32"/>
    </row>
    <row r="3823" spans="1:1">
      <c r="A3823" s="32"/>
    </row>
    <row r="3824" spans="1:1">
      <c r="A3824" s="32"/>
    </row>
    <row r="3825" spans="1:1">
      <c r="A3825" s="32"/>
    </row>
    <row r="3826" spans="1:1">
      <c r="A3826" s="32"/>
    </row>
    <row r="3827" spans="1:1">
      <c r="A3827" s="32"/>
    </row>
    <row r="3828" spans="1:1">
      <c r="A3828" s="32"/>
    </row>
    <row r="3829" spans="1:1">
      <c r="A3829" s="32"/>
    </row>
    <row r="3830" spans="1:1">
      <c r="A3830" s="32"/>
    </row>
    <row r="3831" spans="1:1">
      <c r="A3831" s="32"/>
    </row>
    <row r="3832" spans="1:1">
      <c r="A3832" s="32"/>
    </row>
    <row r="3833" spans="1:1">
      <c r="A3833" s="32"/>
    </row>
    <row r="3834" spans="1:1">
      <c r="A3834" s="32"/>
    </row>
    <row r="3835" spans="1:1">
      <c r="A3835" s="32"/>
    </row>
    <row r="3836" spans="1:1">
      <c r="A3836" s="32"/>
    </row>
    <row r="3837" spans="1:1">
      <c r="A3837" s="32"/>
    </row>
    <row r="3838" spans="1:1">
      <c r="A3838" s="32"/>
    </row>
    <row r="3839" spans="1:1">
      <c r="A3839" s="32"/>
    </row>
    <row r="3840" spans="1:1">
      <c r="A3840" s="32"/>
    </row>
    <row r="3841" spans="1:1">
      <c r="A3841" s="32"/>
    </row>
    <row r="3842" spans="1:1">
      <c r="A3842" s="32"/>
    </row>
    <row r="3843" spans="1:1">
      <c r="A3843" s="32"/>
    </row>
    <row r="3844" spans="1:1">
      <c r="A3844" s="32"/>
    </row>
    <row r="3845" spans="1:1">
      <c r="A3845" s="32"/>
    </row>
    <row r="3846" spans="1:1">
      <c r="A3846" s="32"/>
    </row>
    <row r="3847" spans="1:1">
      <c r="A3847" s="32"/>
    </row>
    <row r="3848" spans="1:1">
      <c r="A3848" s="32"/>
    </row>
    <row r="3849" spans="1:1">
      <c r="A3849" s="32"/>
    </row>
    <row r="3850" spans="1:1">
      <c r="A3850" s="32"/>
    </row>
    <row r="3851" spans="1:1">
      <c r="A3851" s="32"/>
    </row>
    <row r="3852" spans="1:1">
      <c r="A3852" s="32"/>
    </row>
    <row r="3853" spans="1:1">
      <c r="A3853" s="32"/>
    </row>
    <row r="3854" spans="1:1">
      <c r="A3854" s="32"/>
    </row>
    <row r="3855" spans="1:1">
      <c r="A3855" s="32"/>
    </row>
    <row r="3856" spans="1:1">
      <c r="A3856" s="32"/>
    </row>
    <row r="3857" spans="1:1">
      <c r="A3857" s="32"/>
    </row>
    <row r="3858" spans="1:1">
      <c r="A3858" s="32"/>
    </row>
    <row r="3859" spans="1:1">
      <c r="A3859" s="32"/>
    </row>
    <row r="3860" spans="1:1">
      <c r="A3860" s="32"/>
    </row>
    <row r="3861" spans="1:1">
      <c r="A3861" s="32"/>
    </row>
    <row r="3862" spans="1:1">
      <c r="A3862" s="32"/>
    </row>
    <row r="3863" spans="1:1">
      <c r="A3863" s="32"/>
    </row>
    <row r="3864" spans="1:1">
      <c r="A3864" s="32"/>
    </row>
    <row r="3865" spans="1:1">
      <c r="A3865" s="32"/>
    </row>
    <row r="3866" spans="1:1">
      <c r="A3866" s="32"/>
    </row>
    <row r="3867" spans="1:1">
      <c r="A3867" s="32"/>
    </row>
    <row r="3868" spans="1:1">
      <c r="A3868" s="32"/>
    </row>
    <row r="3869" spans="1:1">
      <c r="A3869" s="32"/>
    </row>
    <row r="3870" spans="1:1">
      <c r="A3870" s="32"/>
    </row>
    <row r="3871" spans="1:1">
      <c r="A3871" s="32"/>
    </row>
    <row r="3872" spans="1:1">
      <c r="A3872" s="32"/>
    </row>
    <row r="3873" spans="1:1">
      <c r="A3873" s="32"/>
    </row>
    <row r="3874" spans="1:1">
      <c r="A3874" s="32"/>
    </row>
    <row r="3875" spans="1:1">
      <c r="A3875" s="32"/>
    </row>
    <row r="3876" spans="1:1">
      <c r="A3876" s="32"/>
    </row>
    <row r="3877" spans="1:1">
      <c r="A3877" s="32"/>
    </row>
    <row r="3878" spans="1:1">
      <c r="A3878" s="32"/>
    </row>
    <row r="3879" spans="1:1">
      <c r="A3879" s="32"/>
    </row>
    <row r="3880" spans="1:1">
      <c r="A3880" s="32"/>
    </row>
    <row r="3881" spans="1:1">
      <c r="A3881" s="32"/>
    </row>
    <row r="3882" spans="1:1">
      <c r="A3882" s="32"/>
    </row>
    <row r="3883" spans="1:1">
      <c r="A3883" s="32"/>
    </row>
    <row r="3884" spans="1:1">
      <c r="A3884" s="32"/>
    </row>
    <row r="3885" spans="1:1">
      <c r="A3885" s="32"/>
    </row>
    <row r="3886" spans="1:1">
      <c r="A3886" s="32"/>
    </row>
    <row r="3887" spans="1:1">
      <c r="A3887" s="32"/>
    </row>
    <row r="3888" spans="1:1">
      <c r="A3888" s="32"/>
    </row>
    <row r="3889" spans="1:1">
      <c r="A3889" s="32"/>
    </row>
    <row r="3890" spans="1:1">
      <c r="A3890" s="32"/>
    </row>
    <row r="3891" spans="1:1">
      <c r="A3891" s="32"/>
    </row>
    <row r="3892" spans="1:1">
      <c r="A3892" s="32"/>
    </row>
    <row r="3893" spans="1:1">
      <c r="A3893" s="32"/>
    </row>
    <row r="3894" spans="1:1">
      <c r="A3894" s="32"/>
    </row>
    <row r="3895" spans="1:1">
      <c r="A3895" s="32"/>
    </row>
    <row r="3896" spans="1:1">
      <c r="A3896" s="32"/>
    </row>
    <row r="3897" spans="1:1">
      <c r="A3897" s="32"/>
    </row>
    <row r="3898" spans="1:1">
      <c r="A3898" s="32"/>
    </row>
    <row r="3899" spans="1:1">
      <c r="A3899" s="32"/>
    </row>
    <row r="3900" spans="1:1">
      <c r="A3900" s="32"/>
    </row>
    <row r="3901" spans="1:1">
      <c r="A3901" s="32"/>
    </row>
    <row r="3902" spans="1:1">
      <c r="A3902" s="32"/>
    </row>
    <row r="3903" spans="1:1">
      <c r="A3903" s="32"/>
    </row>
    <row r="3904" spans="1:1">
      <c r="A3904" s="32"/>
    </row>
    <row r="3905" spans="1:1">
      <c r="A3905" s="32"/>
    </row>
    <row r="3906" spans="1:1">
      <c r="A3906" s="32"/>
    </row>
    <row r="3907" spans="1:1">
      <c r="A3907" s="32"/>
    </row>
    <row r="3908" spans="1:1">
      <c r="A3908" s="32"/>
    </row>
    <row r="3909" spans="1:1">
      <c r="A3909" s="32"/>
    </row>
    <row r="3910" spans="1:1">
      <c r="A3910" s="32"/>
    </row>
    <row r="3911" spans="1:1">
      <c r="A3911" s="32"/>
    </row>
    <row r="3912" spans="1:1">
      <c r="A3912" s="32"/>
    </row>
    <row r="3913" spans="1:1">
      <c r="A3913" s="32"/>
    </row>
    <row r="3914" spans="1:1">
      <c r="A3914" s="32"/>
    </row>
    <row r="3915" spans="1:1">
      <c r="A3915" s="32"/>
    </row>
    <row r="3916" spans="1:1">
      <c r="A3916" s="32"/>
    </row>
    <row r="3917" spans="1:1">
      <c r="A3917" s="32"/>
    </row>
    <row r="3918" spans="1:1">
      <c r="A3918" s="32"/>
    </row>
    <row r="3919" spans="1:1">
      <c r="A3919" s="32"/>
    </row>
    <row r="3920" spans="1:1">
      <c r="A3920" s="32"/>
    </row>
    <row r="3921" spans="1:1">
      <c r="A3921" s="32"/>
    </row>
    <row r="3922" spans="1:1">
      <c r="A3922" s="32"/>
    </row>
    <row r="3923" spans="1:1">
      <c r="A3923" s="32"/>
    </row>
    <row r="3924" spans="1:1">
      <c r="A3924" s="32"/>
    </row>
    <row r="3925" spans="1:1">
      <c r="A3925" s="32"/>
    </row>
    <row r="3926" spans="1:1">
      <c r="A3926" s="32"/>
    </row>
    <row r="3927" spans="1:1">
      <c r="A3927" s="32"/>
    </row>
    <row r="3928" spans="1:1">
      <c r="A3928" s="32"/>
    </row>
    <row r="3929" spans="1:1">
      <c r="A3929" s="32"/>
    </row>
    <row r="3930" spans="1:1">
      <c r="A3930" s="32"/>
    </row>
    <row r="3931" spans="1:1">
      <c r="A3931" s="32"/>
    </row>
    <row r="3932" spans="1:1">
      <c r="A3932" s="32"/>
    </row>
    <row r="3933" spans="1:1">
      <c r="A3933" s="32"/>
    </row>
    <row r="3934" spans="1:1">
      <c r="A3934" s="32"/>
    </row>
    <row r="3935" spans="1:1">
      <c r="A3935" s="32"/>
    </row>
    <row r="3936" spans="1:1">
      <c r="A3936" s="32"/>
    </row>
    <row r="3937" spans="1:1">
      <c r="A3937" s="32"/>
    </row>
    <row r="3938" spans="1:1">
      <c r="A3938" s="32"/>
    </row>
    <row r="3939" spans="1:1">
      <c r="A3939" s="32"/>
    </row>
    <row r="3940" spans="1:1">
      <c r="A3940" s="32"/>
    </row>
    <row r="3941" spans="1:1">
      <c r="A3941" s="32"/>
    </row>
    <row r="3942" spans="1:1">
      <c r="A3942" s="32"/>
    </row>
    <row r="3943" spans="1:1">
      <c r="A3943" s="32"/>
    </row>
    <row r="3944" spans="1:1">
      <c r="A3944" s="32"/>
    </row>
    <row r="3945" spans="1:1">
      <c r="A3945" s="32"/>
    </row>
    <row r="3946" spans="1:1">
      <c r="A3946" s="32"/>
    </row>
    <row r="3947" spans="1:1">
      <c r="A3947" s="32"/>
    </row>
    <row r="3948" spans="1:1">
      <c r="A3948" s="32"/>
    </row>
    <row r="3949" spans="1:1">
      <c r="A3949" s="32"/>
    </row>
    <row r="3950" spans="1:1">
      <c r="A3950" s="32"/>
    </row>
    <row r="3951" spans="1:1">
      <c r="A3951" s="32"/>
    </row>
    <row r="3952" spans="1:1">
      <c r="A3952" s="32"/>
    </row>
    <row r="3953" spans="1:1">
      <c r="A3953" s="32"/>
    </row>
    <row r="3954" spans="1:1">
      <c r="A3954" s="32"/>
    </row>
    <row r="3955" spans="1:1">
      <c r="A3955" s="32"/>
    </row>
    <row r="3956" spans="1:1">
      <c r="A3956" s="32"/>
    </row>
    <row r="3957" spans="1:1">
      <c r="A3957" s="32"/>
    </row>
    <row r="3958" spans="1:1">
      <c r="A3958" s="32"/>
    </row>
    <row r="3959" spans="1:1">
      <c r="A3959" s="32"/>
    </row>
    <row r="3960" spans="1:1">
      <c r="A3960" s="32"/>
    </row>
    <row r="3961" spans="1:1">
      <c r="A3961" s="32"/>
    </row>
    <row r="3962" spans="1:1">
      <c r="A3962" s="32"/>
    </row>
    <row r="3963" spans="1:1">
      <c r="A3963" s="32"/>
    </row>
    <row r="3964" spans="1:1">
      <c r="A3964" s="32"/>
    </row>
    <row r="3965" spans="1:1">
      <c r="A3965" s="32"/>
    </row>
    <row r="3966" spans="1:1">
      <c r="A3966" s="32"/>
    </row>
    <row r="3967" spans="1:1">
      <c r="A3967" s="32"/>
    </row>
    <row r="3968" spans="1:1">
      <c r="A3968" s="32"/>
    </row>
    <row r="3969" spans="1:1">
      <c r="A3969" s="32"/>
    </row>
    <row r="3970" spans="1:1">
      <c r="A3970" s="32"/>
    </row>
    <row r="3971" spans="1:1">
      <c r="A3971" s="32"/>
    </row>
    <row r="3972" spans="1:1">
      <c r="A3972" s="32"/>
    </row>
    <row r="3973" spans="1:1">
      <c r="A3973" s="32"/>
    </row>
    <row r="3974" spans="1:1">
      <c r="A3974" s="32"/>
    </row>
    <row r="3975" spans="1:1">
      <c r="A3975" s="32"/>
    </row>
    <row r="3976" spans="1:1">
      <c r="A3976" s="32"/>
    </row>
    <row r="3977" spans="1:1">
      <c r="A3977" s="32"/>
    </row>
    <row r="3978" spans="1:1">
      <c r="A3978" s="32"/>
    </row>
    <row r="3979" spans="1:1">
      <c r="A3979" s="32"/>
    </row>
    <row r="3980" spans="1:1">
      <c r="A3980" s="32"/>
    </row>
    <row r="3981" spans="1:1">
      <c r="A3981" s="32"/>
    </row>
    <row r="3982" spans="1:1">
      <c r="A3982" s="32"/>
    </row>
    <row r="3983" spans="1:1">
      <c r="A3983" s="32"/>
    </row>
    <row r="3984" spans="1:1">
      <c r="A3984" s="32"/>
    </row>
    <row r="3985" spans="1:1">
      <c r="A3985" s="32"/>
    </row>
    <row r="3986" spans="1:1">
      <c r="A3986" s="32"/>
    </row>
    <row r="3987" spans="1:1">
      <c r="A3987" s="32"/>
    </row>
    <row r="3988" spans="1:1">
      <c r="A3988" s="32"/>
    </row>
    <row r="3989" spans="1:1">
      <c r="A3989" s="32"/>
    </row>
    <row r="3990" spans="1:1">
      <c r="A3990" s="32"/>
    </row>
    <row r="3991" spans="1:1">
      <c r="A3991" s="32"/>
    </row>
    <row r="3992" spans="1:1">
      <c r="A3992" s="32"/>
    </row>
    <row r="3993" spans="1:1">
      <c r="A3993" s="32"/>
    </row>
    <row r="3994" spans="1:1">
      <c r="A3994" s="32"/>
    </row>
    <row r="3995" spans="1:1">
      <c r="A3995" s="32"/>
    </row>
    <row r="3996" spans="1:1">
      <c r="A3996" s="32"/>
    </row>
    <row r="3997" spans="1:1">
      <c r="A3997" s="32"/>
    </row>
    <row r="3998" spans="1:1">
      <c r="A3998" s="32"/>
    </row>
    <row r="3999" spans="1:1">
      <c r="A3999" s="32"/>
    </row>
    <row r="4000" spans="1:1">
      <c r="A4000" s="32"/>
    </row>
    <row r="4001" spans="1:1">
      <c r="A4001" s="32"/>
    </row>
    <row r="4002" spans="1:1">
      <c r="A4002" s="32"/>
    </row>
    <row r="4003" spans="1:1">
      <c r="A4003" s="32"/>
    </row>
    <row r="4004" spans="1:1">
      <c r="A4004" s="32"/>
    </row>
    <row r="4005" spans="1:1">
      <c r="A4005" s="32"/>
    </row>
    <row r="4006" spans="1:1">
      <c r="A4006" s="32"/>
    </row>
    <row r="4007" spans="1:1">
      <c r="A4007" s="32"/>
    </row>
    <row r="4008" spans="1:1">
      <c r="A4008" s="32"/>
    </row>
    <row r="4009" spans="1:1">
      <c r="A4009" s="32"/>
    </row>
    <row r="4010" spans="1:1">
      <c r="A4010" s="32"/>
    </row>
    <row r="4011" spans="1:1">
      <c r="A4011" s="32"/>
    </row>
    <row r="4012" spans="1:1">
      <c r="A4012" s="32"/>
    </row>
    <row r="4013" spans="1:1">
      <c r="A4013" s="32"/>
    </row>
    <row r="4014" spans="1:1">
      <c r="A4014" s="32"/>
    </row>
    <row r="4015" spans="1:1">
      <c r="A4015" s="32"/>
    </row>
    <row r="4016" spans="1:1">
      <c r="A4016" s="32"/>
    </row>
    <row r="4017" spans="1:1">
      <c r="A4017" s="32"/>
    </row>
    <row r="4018" spans="1:1">
      <c r="A4018" s="32"/>
    </row>
    <row r="4019" spans="1:1">
      <c r="A4019" s="32"/>
    </row>
    <row r="4020" spans="1:1">
      <c r="A4020" s="32"/>
    </row>
    <row r="4021" spans="1:1">
      <c r="A4021" s="32"/>
    </row>
    <row r="4022" spans="1:1">
      <c r="A4022" s="32"/>
    </row>
    <row r="4023" spans="1:1">
      <c r="A4023" s="32"/>
    </row>
    <row r="4024" spans="1:1">
      <c r="A4024" s="32"/>
    </row>
    <row r="4025" spans="1:1">
      <c r="A4025" s="32"/>
    </row>
    <row r="4026" spans="1:1">
      <c r="A4026" s="32"/>
    </row>
    <row r="4027" spans="1:1">
      <c r="A4027" s="32"/>
    </row>
    <row r="4028" spans="1:1">
      <c r="A4028" s="32"/>
    </row>
    <row r="4029" spans="1:1">
      <c r="A4029" s="32"/>
    </row>
    <row r="4030" spans="1:1">
      <c r="A4030" s="32"/>
    </row>
    <row r="4031" spans="1:1">
      <c r="A4031" s="32"/>
    </row>
    <row r="4032" spans="1:1">
      <c r="A4032" s="32"/>
    </row>
    <row r="4033" spans="1:1">
      <c r="A4033" s="32"/>
    </row>
    <row r="4034" spans="1:1">
      <c r="A4034" s="32"/>
    </row>
    <row r="4035" spans="1:1">
      <c r="A4035" s="32"/>
    </row>
    <row r="4036" spans="1:1">
      <c r="A4036" s="32"/>
    </row>
    <row r="4037" spans="1:1">
      <c r="A4037" s="32"/>
    </row>
    <row r="4038" spans="1:1">
      <c r="A4038" s="32"/>
    </row>
    <row r="4039" spans="1:1">
      <c r="A4039" s="32"/>
    </row>
    <row r="4040" spans="1:1">
      <c r="A4040" s="32"/>
    </row>
    <row r="4041" spans="1:1">
      <c r="A4041" s="32"/>
    </row>
    <row r="4042" spans="1:1">
      <c r="A4042" s="32"/>
    </row>
    <row r="4043" spans="1:1">
      <c r="A4043" s="32"/>
    </row>
    <row r="4044" spans="1:1">
      <c r="A4044" s="32"/>
    </row>
    <row r="4045" spans="1:1">
      <c r="A4045" s="32"/>
    </row>
    <row r="4046" spans="1:1">
      <c r="A4046" s="32"/>
    </row>
    <row r="4047" spans="1:1">
      <c r="A4047" s="32"/>
    </row>
    <row r="4048" spans="1:1">
      <c r="A4048" s="32"/>
    </row>
    <row r="4049" spans="1:1">
      <c r="A4049" s="32"/>
    </row>
    <row r="4050" spans="1:1">
      <c r="A4050" s="32"/>
    </row>
    <row r="4051" spans="1:1">
      <c r="A4051" s="32"/>
    </row>
    <row r="4052" spans="1:1">
      <c r="A4052" s="32"/>
    </row>
    <row r="4053" spans="1:1">
      <c r="A4053" s="32"/>
    </row>
    <row r="4054" spans="1:1">
      <c r="A4054" s="32"/>
    </row>
    <row r="4055" spans="1:1">
      <c r="A4055" s="32"/>
    </row>
    <row r="4056" spans="1:1">
      <c r="A4056" s="32"/>
    </row>
    <row r="4057" spans="1:1">
      <c r="A4057" s="32"/>
    </row>
    <row r="4058" spans="1:1">
      <c r="A4058" s="32"/>
    </row>
    <row r="4059" spans="1:1">
      <c r="A4059" s="32"/>
    </row>
    <row r="4060" spans="1:1">
      <c r="A4060" s="32"/>
    </row>
    <row r="4061" spans="1:1">
      <c r="A4061" s="32"/>
    </row>
    <row r="4062" spans="1:1">
      <c r="A4062" s="32"/>
    </row>
    <row r="4063" spans="1:1">
      <c r="A4063" s="32"/>
    </row>
    <row r="4064" spans="1:1">
      <c r="A4064" s="32"/>
    </row>
    <row r="4065" spans="1:1">
      <c r="A4065" s="32"/>
    </row>
    <row r="4066" spans="1:1">
      <c r="A4066" s="32"/>
    </row>
    <row r="4067" spans="1:1">
      <c r="A4067" s="32"/>
    </row>
    <row r="4068" spans="1:1">
      <c r="A4068" s="32"/>
    </row>
    <row r="4069" spans="1:1">
      <c r="A4069" s="32"/>
    </row>
    <row r="4070" spans="1:1">
      <c r="A4070" s="32"/>
    </row>
    <row r="4071" spans="1:1">
      <c r="A4071" s="32"/>
    </row>
    <row r="4072" spans="1:1">
      <c r="A4072" s="32"/>
    </row>
    <row r="4073" spans="1:1">
      <c r="A4073" s="32"/>
    </row>
    <row r="4074" spans="1:1">
      <c r="A4074" s="32"/>
    </row>
    <row r="4075" spans="1:1">
      <c r="A4075" s="32"/>
    </row>
    <row r="4076" spans="1:1">
      <c r="A4076" s="32"/>
    </row>
    <row r="4077" spans="1:1">
      <c r="A4077" s="32"/>
    </row>
    <row r="4078" spans="1:1">
      <c r="A4078" s="32"/>
    </row>
    <row r="4079" spans="1:1">
      <c r="A4079" s="32"/>
    </row>
    <row r="4080" spans="1:1">
      <c r="A4080" s="32"/>
    </row>
    <row r="4081" spans="1:1">
      <c r="A4081" s="32"/>
    </row>
    <row r="4082" spans="1:1">
      <c r="A4082" s="32"/>
    </row>
    <row r="4083" spans="1:1">
      <c r="A4083" s="32"/>
    </row>
    <row r="4084" spans="1:1">
      <c r="A4084" s="32"/>
    </row>
    <row r="4085" spans="1:1">
      <c r="A4085" s="32"/>
    </row>
    <row r="4086" spans="1:1">
      <c r="A4086" s="32"/>
    </row>
    <row r="4087" spans="1:1">
      <c r="A4087" s="32"/>
    </row>
    <row r="4088" spans="1:1">
      <c r="A4088" s="32"/>
    </row>
    <row r="4089" spans="1:1">
      <c r="A4089" s="32"/>
    </row>
    <row r="4090" spans="1:1">
      <c r="A4090" s="32"/>
    </row>
    <row r="4091" spans="1:1">
      <c r="A4091" s="32"/>
    </row>
    <row r="4092" spans="1:1">
      <c r="A4092" s="32"/>
    </row>
    <row r="4093" spans="1:1">
      <c r="A4093" s="32"/>
    </row>
    <row r="4094" spans="1:1">
      <c r="A4094" s="32"/>
    </row>
    <row r="4095" spans="1:1">
      <c r="A4095" s="32"/>
    </row>
    <row r="4096" spans="1:1">
      <c r="A4096" s="32"/>
    </row>
    <row r="4097" spans="1:1">
      <c r="A4097" s="32"/>
    </row>
    <row r="4098" spans="1:1">
      <c r="A4098" s="32"/>
    </row>
    <row r="4099" spans="1:1">
      <c r="A4099" s="32"/>
    </row>
    <row r="4100" spans="1:1">
      <c r="A4100" s="32"/>
    </row>
    <row r="4101" spans="1:1">
      <c r="A4101" s="32"/>
    </row>
    <row r="4102" spans="1:1">
      <c r="A4102" s="32"/>
    </row>
    <row r="4103" spans="1:1">
      <c r="A4103" s="32"/>
    </row>
    <row r="4104" spans="1:1">
      <c r="A4104" s="32"/>
    </row>
    <row r="4105" spans="1:1">
      <c r="A4105" s="32"/>
    </row>
    <row r="4106" spans="1:1">
      <c r="A4106" s="32"/>
    </row>
    <row r="4107" spans="1:1">
      <c r="A4107" s="32"/>
    </row>
    <row r="4108" spans="1:1">
      <c r="A4108" s="32"/>
    </row>
    <row r="4109" spans="1:1">
      <c r="A4109" s="32"/>
    </row>
    <row r="4110" spans="1:1">
      <c r="A4110" s="32"/>
    </row>
    <row r="4111" spans="1:1">
      <c r="A4111" s="32"/>
    </row>
    <row r="4112" spans="1:1">
      <c r="A4112" s="32"/>
    </row>
    <row r="4113" spans="1:1">
      <c r="A4113" s="32"/>
    </row>
    <row r="4114" spans="1:1">
      <c r="A4114" s="32"/>
    </row>
    <row r="4115" spans="1:1">
      <c r="A4115" s="32"/>
    </row>
    <row r="4116" spans="1:1">
      <c r="A4116" s="32"/>
    </row>
    <row r="4117" spans="1:1">
      <c r="A4117" s="32"/>
    </row>
    <row r="4118" spans="1:1">
      <c r="A4118" s="32"/>
    </row>
    <row r="4119" spans="1:1">
      <c r="A4119" s="32"/>
    </row>
    <row r="4120" spans="1:1">
      <c r="A4120" s="32"/>
    </row>
    <row r="4121" spans="1:1">
      <c r="A4121" s="32"/>
    </row>
    <row r="4122" spans="1:1">
      <c r="A4122" s="32"/>
    </row>
    <row r="4123" spans="1:1">
      <c r="A4123" s="32"/>
    </row>
    <row r="4124" spans="1:1">
      <c r="A4124" s="32"/>
    </row>
    <row r="4125" spans="1:1">
      <c r="A4125" s="32"/>
    </row>
    <row r="4126" spans="1:1">
      <c r="A4126" s="32"/>
    </row>
    <row r="4127" spans="1:1">
      <c r="A4127" s="32"/>
    </row>
    <row r="4128" spans="1:1">
      <c r="A4128" s="32"/>
    </row>
    <row r="4129" spans="1:1">
      <c r="A4129" s="32"/>
    </row>
    <row r="4130" spans="1:1">
      <c r="A4130" s="32"/>
    </row>
    <row r="4131" spans="1:1">
      <c r="A4131" s="32"/>
    </row>
    <row r="4132" spans="1:1">
      <c r="A4132" s="32"/>
    </row>
    <row r="4133" spans="1:1">
      <c r="A4133" s="32"/>
    </row>
    <row r="4134" spans="1:1">
      <c r="A4134" s="32"/>
    </row>
    <row r="4135" spans="1:1">
      <c r="A4135" s="32"/>
    </row>
    <row r="4136" spans="1:1">
      <c r="A4136" s="32"/>
    </row>
    <row r="4137" spans="1:1">
      <c r="A4137" s="32"/>
    </row>
    <row r="4138" spans="1:1">
      <c r="A4138" s="32"/>
    </row>
    <row r="4139" spans="1:1">
      <c r="A4139" s="32"/>
    </row>
    <row r="4140" spans="1:1">
      <c r="A4140" s="32"/>
    </row>
    <row r="4141" spans="1:1">
      <c r="A4141" s="32"/>
    </row>
    <row r="4142" spans="1:1">
      <c r="A4142" s="32"/>
    </row>
    <row r="4143" spans="1:1">
      <c r="A4143" s="32"/>
    </row>
    <row r="4144" spans="1:1">
      <c r="A4144" s="32"/>
    </row>
    <row r="4145" spans="1:1">
      <c r="A4145" s="32"/>
    </row>
    <row r="4146" spans="1:1">
      <c r="A4146" s="32"/>
    </row>
    <row r="4147" spans="1:1">
      <c r="A4147" s="32"/>
    </row>
    <row r="4148" spans="1:1">
      <c r="A4148" s="32"/>
    </row>
    <row r="4149" spans="1:1">
      <c r="A4149" s="32"/>
    </row>
    <row r="4150" spans="1:1">
      <c r="A4150" s="32"/>
    </row>
    <row r="4151" spans="1:1">
      <c r="A4151" s="32"/>
    </row>
    <row r="4152" spans="1:1">
      <c r="A4152" s="32"/>
    </row>
    <row r="4153" spans="1:1">
      <c r="A4153" s="32"/>
    </row>
    <row r="4154" spans="1:1">
      <c r="A4154" s="32"/>
    </row>
    <row r="4155" spans="1:1">
      <c r="A4155" s="32"/>
    </row>
    <row r="4156" spans="1:1">
      <c r="A4156" s="32"/>
    </row>
    <row r="4157" spans="1:1">
      <c r="A4157" s="32"/>
    </row>
    <row r="4158" spans="1:1">
      <c r="A4158" s="32"/>
    </row>
    <row r="4159" spans="1:1">
      <c r="A4159" s="32"/>
    </row>
    <row r="4160" spans="1:1">
      <c r="A4160" s="32"/>
    </row>
    <row r="4161" spans="1:1">
      <c r="A4161" s="32"/>
    </row>
    <row r="4162" spans="1:1">
      <c r="A4162" s="32"/>
    </row>
    <row r="4163" spans="1:1">
      <c r="A4163" s="32"/>
    </row>
    <row r="4164" spans="1:1">
      <c r="A4164" s="32"/>
    </row>
    <row r="4165" spans="1:1">
      <c r="A4165" s="32"/>
    </row>
    <row r="4166" spans="1:1">
      <c r="A4166" s="32"/>
    </row>
    <row r="4167" spans="1:1">
      <c r="A4167" s="32"/>
    </row>
    <row r="4168" spans="1:1">
      <c r="A4168" s="32"/>
    </row>
    <row r="4169" spans="1:1">
      <c r="A4169" s="32"/>
    </row>
    <row r="4170" spans="1:1">
      <c r="A4170" s="32"/>
    </row>
    <row r="4171" spans="1:1">
      <c r="A4171" s="32"/>
    </row>
    <row r="4172" spans="1:1">
      <c r="A4172" s="32"/>
    </row>
    <row r="4173" spans="1:1">
      <c r="A4173" s="32"/>
    </row>
    <row r="4174" spans="1:1">
      <c r="A4174" s="32"/>
    </row>
    <row r="4175" spans="1:1">
      <c r="A4175" s="32"/>
    </row>
    <row r="4176" spans="1:1">
      <c r="A4176" s="32"/>
    </row>
    <row r="4177" spans="1:1">
      <c r="A4177" s="32"/>
    </row>
    <row r="4178" spans="1:1">
      <c r="A4178" s="32"/>
    </row>
    <row r="4179" spans="1:1">
      <c r="A4179" s="32"/>
    </row>
    <row r="4180" spans="1:1">
      <c r="A4180" s="32"/>
    </row>
    <row r="4181" spans="1:1">
      <c r="A4181" s="32"/>
    </row>
    <row r="4182" spans="1:1">
      <c r="A4182" s="32"/>
    </row>
    <row r="4183" spans="1:1">
      <c r="A4183" s="32"/>
    </row>
    <row r="4184" spans="1:1">
      <c r="A4184" s="32"/>
    </row>
    <row r="4185" spans="1:1">
      <c r="A4185" s="32"/>
    </row>
    <row r="4186" spans="1:1">
      <c r="A4186" s="32"/>
    </row>
    <row r="4187" spans="1:1">
      <c r="A4187" s="32"/>
    </row>
    <row r="4188" spans="1:1">
      <c r="A4188" s="32"/>
    </row>
    <row r="4189" spans="1:1">
      <c r="A4189" s="32"/>
    </row>
    <row r="4190" spans="1:1">
      <c r="A4190" s="32"/>
    </row>
    <row r="4191" spans="1:1">
      <c r="A4191" s="32"/>
    </row>
    <row r="4192" spans="1:1">
      <c r="A4192" s="32"/>
    </row>
    <row r="4193" spans="1:1">
      <c r="A4193" s="32"/>
    </row>
    <row r="4194" spans="1:1">
      <c r="A4194" s="32"/>
    </row>
    <row r="4195" spans="1:1">
      <c r="A4195" s="32"/>
    </row>
    <row r="4196" spans="1:1">
      <c r="A4196" s="32"/>
    </row>
    <row r="4197" spans="1:1">
      <c r="A4197" s="32"/>
    </row>
    <row r="4198" spans="1:1">
      <c r="A4198" s="32"/>
    </row>
    <row r="4199" spans="1:1">
      <c r="A4199" s="32"/>
    </row>
    <row r="4200" spans="1:1">
      <c r="A4200" s="32"/>
    </row>
    <row r="4201" spans="1:1">
      <c r="A4201" s="32"/>
    </row>
    <row r="4202" spans="1:1">
      <c r="A4202" s="32"/>
    </row>
    <row r="4203" spans="1:1">
      <c r="A4203" s="32"/>
    </row>
    <row r="4204" spans="1:1">
      <c r="A4204" s="32"/>
    </row>
    <row r="4205" spans="1:1">
      <c r="A4205" s="32"/>
    </row>
    <row r="4206" spans="1:1">
      <c r="A4206" s="32"/>
    </row>
    <row r="4207" spans="1:1">
      <c r="A4207" s="32"/>
    </row>
    <row r="4208" spans="1:1">
      <c r="A4208" s="32"/>
    </row>
    <row r="4209" spans="1:1">
      <c r="A4209" s="32"/>
    </row>
    <row r="4210" spans="1:1">
      <c r="A4210" s="32"/>
    </row>
    <row r="4211" spans="1:1">
      <c r="A4211" s="32"/>
    </row>
    <row r="4212" spans="1:1">
      <c r="A4212" s="32"/>
    </row>
    <row r="4213" spans="1:1">
      <c r="A4213" s="32"/>
    </row>
    <row r="4214" spans="1:1">
      <c r="A4214" s="32"/>
    </row>
    <row r="4215" spans="1:1">
      <c r="A4215" s="32"/>
    </row>
    <row r="4216" spans="1:1">
      <c r="A4216" s="32"/>
    </row>
    <row r="4217" spans="1:1">
      <c r="A4217" s="32"/>
    </row>
    <row r="4218" spans="1:1">
      <c r="A4218" s="32"/>
    </row>
    <row r="4219" spans="1:1">
      <c r="A4219" s="32"/>
    </row>
    <row r="4220" spans="1:1">
      <c r="A4220" s="32"/>
    </row>
    <row r="4221" spans="1:1">
      <c r="A4221" s="32"/>
    </row>
    <row r="4222" spans="1:1">
      <c r="A4222" s="32"/>
    </row>
    <row r="4223" spans="1:1">
      <c r="A4223" s="32"/>
    </row>
    <row r="4224" spans="1:1">
      <c r="A4224" s="32"/>
    </row>
    <row r="4225" spans="1:1">
      <c r="A4225" s="32"/>
    </row>
    <row r="4226" spans="1:1">
      <c r="A4226" s="32"/>
    </row>
    <row r="4227" spans="1:1">
      <c r="A4227" s="32"/>
    </row>
    <row r="4228" spans="1:1">
      <c r="A4228" s="32"/>
    </row>
    <row r="4229" spans="1:1">
      <c r="A4229" s="32"/>
    </row>
    <row r="4230" spans="1:1">
      <c r="A4230" s="32"/>
    </row>
    <row r="4231" spans="1:1">
      <c r="A4231" s="32"/>
    </row>
    <row r="4232" spans="1:1">
      <c r="A4232" s="32"/>
    </row>
    <row r="4233" spans="1:1">
      <c r="A4233" s="32"/>
    </row>
    <row r="4234" spans="1:1">
      <c r="A4234" s="32"/>
    </row>
    <row r="4235" spans="1:1">
      <c r="A4235" s="32"/>
    </row>
    <row r="4236" spans="1:1">
      <c r="A4236" s="32"/>
    </row>
    <row r="4237" spans="1:1">
      <c r="A4237" s="32"/>
    </row>
    <row r="4238" spans="1:1">
      <c r="A4238" s="32"/>
    </row>
    <row r="4239" spans="1:1">
      <c r="A4239" s="32"/>
    </row>
    <row r="4240" spans="1:1">
      <c r="A4240" s="32"/>
    </row>
    <row r="4241" spans="1:1">
      <c r="A4241" s="32"/>
    </row>
    <row r="4242" spans="1:1">
      <c r="A4242" s="32"/>
    </row>
    <row r="4243" spans="1:1">
      <c r="A4243" s="32"/>
    </row>
    <row r="4244" spans="1:1">
      <c r="A4244" s="32"/>
    </row>
    <row r="4245" spans="1:1">
      <c r="A4245" s="32"/>
    </row>
    <row r="4246" spans="1:1">
      <c r="A4246" s="32"/>
    </row>
    <row r="4247" spans="1:1">
      <c r="A4247" s="32"/>
    </row>
    <row r="4248" spans="1:1">
      <c r="A4248" s="32"/>
    </row>
    <row r="4249" spans="1:1">
      <c r="A4249" s="32"/>
    </row>
    <row r="4250" spans="1:1">
      <c r="A4250" s="32"/>
    </row>
    <row r="4251" spans="1:1">
      <c r="A4251" s="32"/>
    </row>
    <row r="4252" spans="1:1">
      <c r="A4252" s="32"/>
    </row>
    <row r="4253" spans="1:1">
      <c r="A4253" s="32"/>
    </row>
    <row r="4254" spans="1:1">
      <c r="A4254" s="32"/>
    </row>
    <row r="4255" spans="1:1">
      <c r="A4255" s="32"/>
    </row>
    <row r="4256" spans="1:1">
      <c r="A4256" s="32"/>
    </row>
    <row r="4257" spans="1:1">
      <c r="A4257" s="32"/>
    </row>
    <row r="4258" spans="1:1">
      <c r="A4258" s="32"/>
    </row>
    <row r="4259" spans="1:1">
      <c r="A4259" s="32"/>
    </row>
    <row r="4260" spans="1:1">
      <c r="A4260" s="32"/>
    </row>
    <row r="4261" spans="1:1">
      <c r="A4261" s="32"/>
    </row>
    <row r="4262" spans="1:1">
      <c r="A4262" s="32"/>
    </row>
    <row r="4263" spans="1:1">
      <c r="A4263" s="32"/>
    </row>
    <row r="4264" spans="1:1">
      <c r="A4264" s="32"/>
    </row>
    <row r="4265" spans="1:1">
      <c r="A4265" s="32"/>
    </row>
    <row r="4266" spans="1:1">
      <c r="A4266" s="32"/>
    </row>
    <row r="4267" spans="1:1">
      <c r="A4267" s="32"/>
    </row>
    <row r="4268" spans="1:1">
      <c r="A4268" s="32"/>
    </row>
    <row r="4269" spans="1:1">
      <c r="A4269" s="32"/>
    </row>
    <row r="4270" spans="1:1">
      <c r="A4270" s="32"/>
    </row>
    <row r="4271" spans="1:1">
      <c r="A4271" s="32"/>
    </row>
    <row r="4272" spans="1:1">
      <c r="A4272" s="32"/>
    </row>
    <row r="4273" spans="1:1">
      <c r="A4273" s="32"/>
    </row>
    <row r="4274" spans="1:1">
      <c r="A4274" s="32"/>
    </row>
    <row r="4275" spans="1:1">
      <c r="A4275" s="32"/>
    </row>
    <row r="4276" spans="1:1">
      <c r="A4276" s="32"/>
    </row>
    <row r="4277" spans="1:1">
      <c r="A4277" s="32"/>
    </row>
    <row r="4278" spans="1:1">
      <c r="A4278" s="32"/>
    </row>
    <row r="4279" spans="1:1">
      <c r="A4279" s="32"/>
    </row>
    <row r="4280" spans="1:1">
      <c r="A4280" s="32"/>
    </row>
    <row r="4281" spans="1:1">
      <c r="A4281" s="32"/>
    </row>
    <row r="4282" spans="1:1">
      <c r="A4282" s="32"/>
    </row>
    <row r="4283" spans="1:1">
      <c r="A4283" s="32"/>
    </row>
    <row r="4284" spans="1:1">
      <c r="A4284" s="32"/>
    </row>
    <row r="4285" spans="1:1">
      <c r="A4285" s="32"/>
    </row>
    <row r="4286" spans="1:1">
      <c r="A4286" s="32"/>
    </row>
    <row r="4287" spans="1:1">
      <c r="A4287" s="32"/>
    </row>
    <row r="4288" spans="1:1">
      <c r="A4288" s="32"/>
    </row>
    <row r="4289" spans="1:1">
      <c r="A4289" s="32"/>
    </row>
    <row r="4290" spans="1:1">
      <c r="A4290" s="32"/>
    </row>
    <row r="4291" spans="1:1">
      <c r="A4291" s="32"/>
    </row>
    <row r="4292" spans="1:1">
      <c r="A4292" s="32"/>
    </row>
    <row r="4293" spans="1:1">
      <c r="A4293" s="32"/>
    </row>
    <row r="4294" spans="1:1">
      <c r="A4294" s="32"/>
    </row>
    <row r="4295" spans="1:1">
      <c r="A4295" s="32"/>
    </row>
    <row r="4296" spans="1:1">
      <c r="A4296" s="32"/>
    </row>
    <row r="4297" spans="1:1">
      <c r="A4297" s="32"/>
    </row>
    <row r="4298" spans="1:1">
      <c r="A4298" s="32"/>
    </row>
    <row r="4299" spans="1:1">
      <c r="A4299" s="32"/>
    </row>
    <row r="4300" spans="1:1">
      <c r="A4300" s="32"/>
    </row>
    <row r="4301" spans="1:1">
      <c r="A4301" s="32"/>
    </row>
    <row r="4302" spans="1:1">
      <c r="A4302" s="32"/>
    </row>
    <row r="4303" spans="1:1">
      <c r="A4303" s="32"/>
    </row>
    <row r="4304" spans="1:1">
      <c r="A4304" s="32"/>
    </row>
    <row r="4305" spans="1:1">
      <c r="A4305" s="32"/>
    </row>
    <row r="4306" spans="1:1">
      <c r="A4306" s="32"/>
    </row>
    <row r="4307" spans="1:1">
      <c r="A4307" s="32"/>
    </row>
    <row r="4308" spans="1:1">
      <c r="A4308" s="32"/>
    </row>
    <row r="4309" spans="1:1">
      <c r="A4309" s="32"/>
    </row>
    <row r="4310" spans="1:1">
      <c r="A4310" s="32"/>
    </row>
    <row r="4311" spans="1:1">
      <c r="A4311" s="32"/>
    </row>
    <row r="4312" spans="1:1">
      <c r="A4312" s="32"/>
    </row>
    <row r="4313" spans="1:1">
      <c r="A4313" s="32"/>
    </row>
    <row r="4314" spans="1:1">
      <c r="A4314" s="32"/>
    </row>
    <row r="4315" spans="1:1">
      <c r="A4315" s="32"/>
    </row>
    <row r="4316" spans="1:1">
      <c r="A4316" s="32"/>
    </row>
    <row r="4317" spans="1:1">
      <c r="A4317" s="32"/>
    </row>
    <row r="4318" spans="1:1">
      <c r="A4318" s="32"/>
    </row>
    <row r="4319" spans="1:1">
      <c r="A4319" s="32"/>
    </row>
    <row r="4320" spans="1:1">
      <c r="A4320" s="32"/>
    </row>
    <row r="4321" spans="1:1">
      <c r="A4321" s="32"/>
    </row>
    <row r="4322" spans="1:1">
      <c r="A4322" s="32"/>
    </row>
    <row r="4323" spans="1:1">
      <c r="A4323" s="32"/>
    </row>
    <row r="4324" spans="1:1">
      <c r="A4324" s="32"/>
    </row>
    <row r="4325" spans="1:1">
      <c r="A4325" s="32"/>
    </row>
    <row r="4326" spans="1:1">
      <c r="A4326" s="32"/>
    </row>
    <row r="4327" spans="1:1">
      <c r="A4327" s="32"/>
    </row>
    <row r="4328" spans="1:1">
      <c r="A4328" s="32"/>
    </row>
    <row r="4329" spans="1:1">
      <c r="A4329" s="32"/>
    </row>
    <row r="4330" spans="1:1">
      <c r="A4330" s="32"/>
    </row>
    <row r="4331" spans="1:1">
      <c r="A4331" s="32"/>
    </row>
    <row r="4332" spans="1:1">
      <c r="A4332" s="32"/>
    </row>
    <row r="4333" spans="1:1">
      <c r="A4333" s="32"/>
    </row>
    <row r="4334" spans="1:1">
      <c r="A4334" s="32"/>
    </row>
    <row r="4335" spans="1:1">
      <c r="A4335" s="32"/>
    </row>
    <row r="4336" spans="1:1">
      <c r="A4336" s="32"/>
    </row>
    <row r="4337" spans="1:1">
      <c r="A4337" s="32"/>
    </row>
    <row r="4338" spans="1:1">
      <c r="A4338" s="32"/>
    </row>
    <row r="4339" spans="1:1">
      <c r="A4339" s="32"/>
    </row>
    <row r="4340" spans="1:1">
      <c r="A4340" s="32"/>
    </row>
    <row r="4341" spans="1:1">
      <c r="A4341" s="32"/>
    </row>
    <row r="4342" spans="1:1">
      <c r="A4342" s="32"/>
    </row>
    <row r="4343" spans="1:1">
      <c r="A4343" s="32"/>
    </row>
    <row r="4344" spans="1:1">
      <c r="A4344" s="32"/>
    </row>
    <row r="4345" spans="1:1">
      <c r="A4345" s="32"/>
    </row>
    <row r="4346" spans="1:1">
      <c r="A4346" s="32"/>
    </row>
    <row r="4347" spans="1:1">
      <c r="A4347" s="32"/>
    </row>
    <row r="4348" spans="1:1">
      <c r="A4348" s="32"/>
    </row>
    <row r="4349" spans="1:1">
      <c r="A4349" s="32"/>
    </row>
    <row r="4350" spans="1:1">
      <c r="A4350" s="32"/>
    </row>
    <row r="4351" spans="1:1">
      <c r="A4351" s="32"/>
    </row>
    <row r="4352" spans="1:1">
      <c r="A4352" s="32"/>
    </row>
    <row r="4353" spans="1:1">
      <c r="A4353" s="32"/>
    </row>
    <row r="4354" spans="1:1">
      <c r="A4354" s="32"/>
    </row>
    <row r="4355" spans="1:1">
      <c r="A4355" s="32"/>
    </row>
    <row r="4356" spans="1:1">
      <c r="A4356" s="32"/>
    </row>
    <row r="4357" spans="1:1">
      <c r="A4357" s="32"/>
    </row>
    <row r="4358" spans="1:1">
      <c r="A4358" s="32"/>
    </row>
    <row r="4359" spans="1:1">
      <c r="A4359" s="32"/>
    </row>
    <row r="4360" spans="1:1">
      <c r="A4360" s="32"/>
    </row>
    <row r="4361" spans="1:1">
      <c r="A4361" s="32"/>
    </row>
    <row r="4362" spans="1:1">
      <c r="A4362" s="32"/>
    </row>
    <row r="4363" spans="1:1">
      <c r="A4363" s="32"/>
    </row>
    <row r="4364" spans="1:1">
      <c r="A4364" s="32"/>
    </row>
    <row r="4365" spans="1:1">
      <c r="A4365" s="32"/>
    </row>
    <row r="4366" spans="1:1">
      <c r="A4366" s="32"/>
    </row>
    <row r="4367" spans="1:1">
      <c r="A4367" s="32"/>
    </row>
    <row r="4368" spans="1:1">
      <c r="A4368" s="32"/>
    </row>
    <row r="4369" spans="1:1">
      <c r="A4369" s="32"/>
    </row>
    <row r="4370" spans="1:1">
      <c r="A4370" s="32"/>
    </row>
    <row r="4371" spans="1:1">
      <c r="A4371" s="32"/>
    </row>
    <row r="4372" spans="1:1">
      <c r="A4372" s="32"/>
    </row>
    <row r="4373" spans="1:1">
      <c r="A4373" s="32"/>
    </row>
    <row r="4374" spans="1:1">
      <c r="A4374" s="32"/>
    </row>
    <row r="4375" spans="1:1">
      <c r="A4375" s="32"/>
    </row>
    <row r="4376" spans="1:1">
      <c r="A4376" s="32"/>
    </row>
    <row r="4377" spans="1:1">
      <c r="A4377" s="32"/>
    </row>
    <row r="4378" spans="1:1">
      <c r="A4378" s="32"/>
    </row>
    <row r="4379" spans="1:1">
      <c r="A4379" s="32"/>
    </row>
    <row r="4380" spans="1:1">
      <c r="A4380" s="32"/>
    </row>
    <row r="4381" spans="1:1">
      <c r="A4381" s="32"/>
    </row>
    <row r="4382" spans="1:1">
      <c r="A4382" s="32"/>
    </row>
    <row r="4383" spans="1:1">
      <c r="A4383" s="32"/>
    </row>
    <row r="4384" spans="1:1">
      <c r="A4384" s="32"/>
    </row>
    <row r="4385" spans="1:1">
      <c r="A4385" s="32"/>
    </row>
    <row r="4386" spans="1:1">
      <c r="A4386" s="32"/>
    </row>
    <row r="4387" spans="1:1">
      <c r="A4387" s="32"/>
    </row>
    <row r="4388" spans="1:1">
      <c r="A4388" s="32"/>
    </row>
    <row r="4389" spans="1:1">
      <c r="A4389" s="32"/>
    </row>
    <row r="4390" spans="1:1">
      <c r="A4390" s="32"/>
    </row>
    <row r="4391" spans="1:1">
      <c r="A4391" s="32"/>
    </row>
    <row r="4392" spans="1:1">
      <c r="A4392" s="32"/>
    </row>
    <row r="4393" spans="1:1">
      <c r="A4393" s="32"/>
    </row>
    <row r="4394" spans="1:1">
      <c r="A4394" s="32"/>
    </row>
    <row r="4395" spans="1:1">
      <c r="A4395" s="32"/>
    </row>
    <row r="4396" spans="1:1">
      <c r="A4396" s="32"/>
    </row>
    <row r="4397" spans="1:1">
      <c r="A4397" s="32"/>
    </row>
    <row r="4398" spans="1:1">
      <c r="A4398" s="32"/>
    </row>
    <row r="4399" spans="1:1">
      <c r="A4399" s="32"/>
    </row>
    <row r="4400" spans="1:1">
      <c r="A4400" s="32"/>
    </row>
    <row r="4401" spans="1:1">
      <c r="A4401" s="32"/>
    </row>
    <row r="4402" spans="1:1">
      <c r="A4402" s="32"/>
    </row>
    <row r="4403" spans="1:1">
      <c r="A4403" s="32"/>
    </row>
    <row r="4404" spans="1:1">
      <c r="A4404" s="32"/>
    </row>
    <row r="4405" spans="1:1">
      <c r="A4405" s="32"/>
    </row>
    <row r="4406" spans="1:1">
      <c r="A4406" s="32"/>
    </row>
    <row r="4407" spans="1:1">
      <c r="A4407" s="32"/>
    </row>
    <row r="4408" spans="1:1">
      <c r="A4408" s="32"/>
    </row>
    <row r="4409" spans="1:1">
      <c r="A4409" s="32"/>
    </row>
    <row r="4410" spans="1:1">
      <c r="A4410" s="32"/>
    </row>
    <row r="4411" spans="1:1">
      <c r="A4411" s="32"/>
    </row>
    <row r="4412" spans="1:1">
      <c r="A4412" s="32"/>
    </row>
    <row r="4413" spans="1:1">
      <c r="A4413" s="32"/>
    </row>
    <row r="4414" spans="1:1">
      <c r="A4414" s="32"/>
    </row>
    <row r="4415" spans="1:1">
      <c r="A4415" s="32"/>
    </row>
    <row r="4416" spans="1:1">
      <c r="A4416" s="32"/>
    </row>
    <row r="4417" spans="1:1">
      <c r="A4417" s="32"/>
    </row>
    <row r="4418" spans="1:1">
      <c r="A4418" s="32"/>
    </row>
    <row r="4419" spans="1:1">
      <c r="A4419" s="32"/>
    </row>
    <row r="4420" spans="1:1">
      <c r="A4420" s="32"/>
    </row>
    <row r="4421" spans="1:1">
      <c r="A4421" s="32"/>
    </row>
    <row r="4422" spans="1:1">
      <c r="A4422" s="32"/>
    </row>
    <row r="4423" spans="1:1">
      <c r="A4423" s="32"/>
    </row>
    <row r="4424" spans="1:1">
      <c r="A4424" s="32"/>
    </row>
    <row r="4425" spans="1:1">
      <c r="A4425" s="32"/>
    </row>
    <row r="4426" spans="1:1">
      <c r="A4426" s="32"/>
    </row>
    <row r="4427" spans="1:1">
      <c r="A4427" s="32"/>
    </row>
    <row r="4428" spans="1:1">
      <c r="A4428" s="32"/>
    </row>
    <row r="4429" spans="1:1">
      <c r="A4429" s="32"/>
    </row>
    <row r="4430" spans="1:1">
      <c r="A4430" s="32"/>
    </row>
    <row r="4431" spans="1:1">
      <c r="A4431" s="32"/>
    </row>
    <row r="4432" spans="1:1">
      <c r="A4432" s="32"/>
    </row>
    <row r="4433" spans="1:1">
      <c r="A4433" s="32"/>
    </row>
    <row r="4434" spans="1:1">
      <c r="A4434" s="32"/>
    </row>
    <row r="4435" spans="1:1">
      <c r="A4435" s="32"/>
    </row>
    <row r="4436" spans="1:1">
      <c r="A4436" s="32"/>
    </row>
    <row r="4437" spans="1:1">
      <c r="A4437" s="32"/>
    </row>
    <row r="4438" spans="1:1">
      <c r="A4438" s="32"/>
    </row>
    <row r="4439" spans="1:1">
      <c r="A4439" s="32"/>
    </row>
    <row r="4440" spans="1:1">
      <c r="A4440" s="32"/>
    </row>
    <row r="4441" spans="1:1">
      <c r="A4441" s="32"/>
    </row>
    <row r="4442" spans="1:1">
      <c r="A4442" s="32"/>
    </row>
    <row r="4443" spans="1:1">
      <c r="A4443" s="32"/>
    </row>
    <row r="4444" spans="1:1">
      <c r="A4444" s="32"/>
    </row>
    <row r="4445" spans="1:1">
      <c r="A4445" s="32"/>
    </row>
    <row r="4446" spans="1:1">
      <c r="A4446" s="32"/>
    </row>
    <row r="4447" spans="1:1">
      <c r="A4447" s="32"/>
    </row>
    <row r="4448" spans="1:1">
      <c r="A4448" s="32"/>
    </row>
    <row r="4449" spans="1:1">
      <c r="A4449" s="32"/>
    </row>
    <row r="4450" spans="1:1">
      <c r="A4450" s="32"/>
    </row>
    <row r="4451" spans="1:1">
      <c r="A4451" s="32"/>
    </row>
    <row r="4452" spans="1:1">
      <c r="A4452" s="32"/>
    </row>
    <row r="4453" spans="1:1">
      <c r="A4453" s="32"/>
    </row>
    <row r="4454" spans="1:1">
      <c r="A4454" s="32"/>
    </row>
    <row r="4455" spans="1:1">
      <c r="A4455" s="32"/>
    </row>
    <row r="4456" spans="1:1">
      <c r="A4456" s="32"/>
    </row>
    <row r="4457" spans="1:1">
      <c r="A4457" s="32"/>
    </row>
    <row r="4458" spans="1:1">
      <c r="A4458" s="32"/>
    </row>
    <row r="4459" spans="1:1">
      <c r="A4459" s="32"/>
    </row>
    <row r="4460" spans="1:1">
      <c r="A4460" s="32"/>
    </row>
    <row r="4461" spans="1:1">
      <c r="A4461" s="32"/>
    </row>
    <row r="4462" spans="1:1">
      <c r="A4462" s="32"/>
    </row>
    <row r="4463" spans="1:1">
      <c r="A4463" s="32"/>
    </row>
    <row r="4464" spans="1:1">
      <c r="A4464" s="32"/>
    </row>
    <row r="4465" spans="1:1">
      <c r="A4465" s="32"/>
    </row>
    <row r="4466" spans="1:1">
      <c r="A4466" s="32"/>
    </row>
    <row r="4467" spans="1:1">
      <c r="A4467" s="32"/>
    </row>
    <row r="4468" spans="1:1">
      <c r="A4468" s="32"/>
    </row>
    <row r="4469" spans="1:1">
      <c r="A4469" s="32"/>
    </row>
    <row r="4470" spans="1:1">
      <c r="A4470" s="32"/>
    </row>
    <row r="4471" spans="1:1">
      <c r="A4471" s="32"/>
    </row>
    <row r="4472" spans="1:1">
      <c r="A4472" s="32"/>
    </row>
    <row r="4473" spans="1:1">
      <c r="A4473" s="32"/>
    </row>
    <row r="4474" spans="1:1">
      <c r="A4474" s="32"/>
    </row>
    <row r="4475" spans="1:1">
      <c r="A4475" s="32"/>
    </row>
    <row r="4476" spans="1:1">
      <c r="A4476" s="32"/>
    </row>
    <row r="4477" spans="1:1">
      <c r="A4477" s="32"/>
    </row>
    <row r="4478" spans="1:1">
      <c r="A4478" s="32"/>
    </row>
    <row r="4479" spans="1:1">
      <c r="A4479" s="32"/>
    </row>
    <row r="4480" spans="1:1">
      <c r="A4480" s="32"/>
    </row>
    <row r="4481" spans="1:1">
      <c r="A4481" s="32"/>
    </row>
    <row r="4482" spans="1:1">
      <c r="A4482" s="32"/>
    </row>
    <row r="4483" spans="1:1">
      <c r="A4483" s="32"/>
    </row>
    <row r="4484" spans="1:1">
      <c r="A4484" s="32"/>
    </row>
    <row r="4485" spans="1:1">
      <c r="A4485" s="32"/>
    </row>
    <row r="4486" spans="1:1">
      <c r="A4486" s="32"/>
    </row>
    <row r="4487" spans="1:1">
      <c r="A4487" s="32"/>
    </row>
    <row r="4488" spans="1:1">
      <c r="A4488" s="32"/>
    </row>
    <row r="4489" spans="1:1">
      <c r="A4489" s="32"/>
    </row>
    <row r="4490" spans="1:1">
      <c r="A4490" s="32"/>
    </row>
    <row r="4491" spans="1:1">
      <c r="A4491" s="32"/>
    </row>
    <row r="4492" spans="1:1">
      <c r="A4492" s="32"/>
    </row>
    <row r="4493" spans="1:1">
      <c r="A4493" s="32"/>
    </row>
    <row r="4494" spans="1:1">
      <c r="A4494" s="32"/>
    </row>
    <row r="4495" spans="1:1">
      <c r="A4495" s="32"/>
    </row>
    <row r="4496" spans="1:1">
      <c r="A4496" s="32"/>
    </row>
    <row r="4497" spans="1:1">
      <c r="A4497" s="32"/>
    </row>
    <row r="4498" spans="1:1">
      <c r="A4498" s="32"/>
    </row>
    <row r="4499" spans="1:1">
      <c r="A4499" s="32"/>
    </row>
    <row r="4500" spans="1:1">
      <c r="A4500" s="32"/>
    </row>
    <row r="4501" spans="1:1">
      <c r="A4501" s="32"/>
    </row>
    <row r="4502" spans="1:1">
      <c r="A4502" s="32"/>
    </row>
    <row r="4503" spans="1:1">
      <c r="A4503" s="32"/>
    </row>
    <row r="4504" spans="1:1">
      <c r="A4504" s="32"/>
    </row>
    <row r="4505" spans="1:1">
      <c r="A4505" s="32"/>
    </row>
    <row r="4506" spans="1:1">
      <c r="A4506" s="32"/>
    </row>
    <row r="4507" spans="1:1">
      <c r="A4507" s="32"/>
    </row>
    <row r="4508" spans="1:1">
      <c r="A4508" s="32"/>
    </row>
    <row r="4509" spans="1:1">
      <c r="A4509" s="32"/>
    </row>
    <row r="4510" spans="1:1">
      <c r="A4510" s="32"/>
    </row>
    <row r="4511" spans="1:1">
      <c r="A4511" s="32"/>
    </row>
    <row r="4512" spans="1:1">
      <c r="A4512" s="32"/>
    </row>
    <row r="4513" spans="1:1">
      <c r="A4513" s="32"/>
    </row>
    <row r="4514" spans="1:1">
      <c r="A4514" s="32"/>
    </row>
    <row r="4515" spans="1:1">
      <c r="A4515" s="32"/>
    </row>
    <row r="4516" spans="1:1">
      <c r="A4516" s="32"/>
    </row>
    <row r="4517" spans="1:1">
      <c r="A4517" s="32"/>
    </row>
    <row r="4518" spans="1:1">
      <c r="A4518" s="32"/>
    </row>
    <row r="4519" spans="1:1">
      <c r="A4519" s="32"/>
    </row>
    <row r="4520" spans="1:1">
      <c r="A4520" s="32"/>
    </row>
    <row r="4521" spans="1:1">
      <c r="A4521" s="32"/>
    </row>
    <row r="4522" spans="1:1">
      <c r="A4522" s="32"/>
    </row>
    <row r="4523" spans="1:1">
      <c r="A4523" s="32"/>
    </row>
    <row r="4524" spans="1:1">
      <c r="A4524" s="32"/>
    </row>
    <row r="4525" spans="1:1">
      <c r="A4525" s="32"/>
    </row>
    <row r="4526" spans="1:1">
      <c r="A4526" s="32"/>
    </row>
    <row r="4527" spans="1:1">
      <c r="A4527" s="32"/>
    </row>
    <row r="4528" spans="1:1">
      <c r="A4528" s="32"/>
    </row>
    <row r="4529" spans="1:1">
      <c r="A4529" s="32"/>
    </row>
    <row r="4530" spans="1:1">
      <c r="A4530" s="32"/>
    </row>
    <row r="4531" spans="1:1">
      <c r="A4531" s="32"/>
    </row>
    <row r="4532" spans="1:1">
      <c r="A4532" s="32"/>
    </row>
    <row r="4533" spans="1:1">
      <c r="A4533" s="32"/>
    </row>
    <row r="4534" spans="1:1">
      <c r="A4534" s="32"/>
    </row>
    <row r="4535" spans="1:1">
      <c r="A4535" s="32"/>
    </row>
    <row r="4536" spans="1:1">
      <c r="A4536" s="32"/>
    </row>
    <row r="4537" spans="1:1">
      <c r="A4537" s="32"/>
    </row>
    <row r="4538" spans="1:1">
      <c r="A4538" s="32"/>
    </row>
    <row r="4539" spans="1:1">
      <c r="A4539" s="32"/>
    </row>
    <row r="4540" spans="1:1">
      <c r="A4540" s="32"/>
    </row>
    <row r="4541" spans="1:1">
      <c r="A4541" s="32"/>
    </row>
    <row r="4542" spans="1:1">
      <c r="A4542" s="32"/>
    </row>
    <row r="4543" spans="1:1">
      <c r="A4543" s="32"/>
    </row>
    <row r="4544" spans="1:1">
      <c r="A4544" s="32"/>
    </row>
    <row r="4545" spans="1:1">
      <c r="A4545" s="32"/>
    </row>
    <row r="4546" spans="1:1">
      <c r="A4546" s="32"/>
    </row>
    <row r="4547" spans="1:1">
      <c r="A4547" s="32"/>
    </row>
    <row r="4548" spans="1:1">
      <c r="A4548" s="32"/>
    </row>
    <row r="4549" spans="1:1">
      <c r="A4549" s="32"/>
    </row>
    <row r="4550" spans="1:1">
      <c r="A4550" s="32"/>
    </row>
    <row r="4551" spans="1:1">
      <c r="A4551" s="32"/>
    </row>
    <row r="4552" spans="1:1">
      <c r="A4552" s="32"/>
    </row>
    <row r="4553" spans="1:1">
      <c r="A4553" s="32"/>
    </row>
    <row r="4554" spans="1:1">
      <c r="A4554" s="32"/>
    </row>
    <row r="4555" spans="1:1">
      <c r="A4555" s="32"/>
    </row>
    <row r="4556" spans="1:1">
      <c r="A4556" s="32"/>
    </row>
    <row r="4557" spans="1:1">
      <c r="A4557" s="32"/>
    </row>
    <row r="4558" spans="1:1">
      <c r="A4558" s="32"/>
    </row>
    <row r="4559" spans="1:1">
      <c r="A4559" s="32"/>
    </row>
    <row r="4560" spans="1:1">
      <c r="A4560" s="32"/>
    </row>
    <row r="4561" spans="1:1">
      <c r="A4561" s="32"/>
    </row>
    <row r="4562" spans="1:1">
      <c r="A4562" s="32"/>
    </row>
    <row r="4563" spans="1:1">
      <c r="A4563" s="32"/>
    </row>
    <row r="4564" spans="1:1">
      <c r="A4564" s="32"/>
    </row>
    <row r="4565" spans="1:1">
      <c r="A4565" s="32"/>
    </row>
    <row r="4566" spans="1:1">
      <c r="A4566" s="32"/>
    </row>
    <row r="4567" spans="1:1">
      <c r="A4567" s="32"/>
    </row>
    <row r="4568" spans="1:1">
      <c r="A4568" s="32"/>
    </row>
    <row r="4569" spans="1:1">
      <c r="A4569" s="32"/>
    </row>
    <row r="4570" spans="1:1">
      <c r="A4570" s="32"/>
    </row>
    <row r="4571" spans="1:1">
      <c r="A4571" s="32"/>
    </row>
    <row r="4572" spans="1:1">
      <c r="A4572" s="32"/>
    </row>
    <row r="4573" spans="1:1">
      <c r="A4573" s="32"/>
    </row>
    <row r="4574" spans="1:1">
      <c r="A4574" s="32"/>
    </row>
    <row r="4575" spans="1:1">
      <c r="A4575" s="32"/>
    </row>
    <row r="4576" spans="1:1">
      <c r="A4576" s="32"/>
    </row>
    <row r="4577" spans="1:1">
      <c r="A4577" s="32"/>
    </row>
    <row r="4578" spans="1:1">
      <c r="A4578" s="32"/>
    </row>
    <row r="4579" spans="1:1">
      <c r="A4579" s="32"/>
    </row>
    <row r="4580" spans="1:1">
      <c r="A4580" s="32"/>
    </row>
    <row r="4581" spans="1:1">
      <c r="A4581" s="32"/>
    </row>
    <row r="4582" spans="1:1">
      <c r="A4582" s="32"/>
    </row>
    <row r="4583" spans="1:1">
      <c r="A4583" s="32"/>
    </row>
    <row r="4584" spans="1:1">
      <c r="A4584" s="32"/>
    </row>
    <row r="4585" spans="1:1">
      <c r="A4585" s="32"/>
    </row>
    <row r="4586" spans="1:1">
      <c r="A4586" s="32"/>
    </row>
    <row r="4587" spans="1:1">
      <c r="A4587" s="32"/>
    </row>
    <row r="4588" spans="1:1">
      <c r="A4588" s="32"/>
    </row>
    <row r="4589" spans="1:1">
      <c r="A4589" s="32"/>
    </row>
    <row r="4590" spans="1:1">
      <c r="A4590" s="32"/>
    </row>
    <row r="4591" spans="1:1">
      <c r="A4591" s="32"/>
    </row>
    <row r="4592" spans="1:1">
      <c r="A4592" s="32"/>
    </row>
    <row r="4593" spans="1:1">
      <c r="A4593" s="32"/>
    </row>
    <row r="4594" spans="1:1">
      <c r="A4594" s="32"/>
    </row>
    <row r="4595" spans="1:1">
      <c r="A4595" s="32"/>
    </row>
    <row r="4596" spans="1:1">
      <c r="A4596" s="32"/>
    </row>
    <row r="4597" spans="1:1">
      <c r="A4597" s="32"/>
    </row>
    <row r="4598" spans="1:1">
      <c r="A4598" s="32"/>
    </row>
    <row r="4599" spans="1:1">
      <c r="A4599" s="32"/>
    </row>
    <row r="4600" spans="1:1">
      <c r="A4600" s="32"/>
    </row>
    <row r="4601" spans="1:1">
      <c r="A4601" s="32"/>
    </row>
    <row r="4602" spans="1:1">
      <c r="A4602" s="32"/>
    </row>
    <row r="4603" spans="1:1">
      <c r="A4603" s="32"/>
    </row>
    <row r="4604" spans="1:1">
      <c r="A4604" s="32"/>
    </row>
    <row r="4605" spans="1:1">
      <c r="A4605" s="32"/>
    </row>
    <row r="4606" spans="1:1">
      <c r="A4606" s="32"/>
    </row>
    <row r="4607" spans="1:1">
      <c r="A4607" s="32"/>
    </row>
    <row r="4608" spans="1:1">
      <c r="A4608" s="32"/>
    </row>
    <row r="4609" spans="1:1">
      <c r="A4609" s="32"/>
    </row>
    <row r="4610" spans="1:1">
      <c r="A4610" s="32"/>
    </row>
    <row r="4611" spans="1:1">
      <c r="A4611" s="32"/>
    </row>
    <row r="4612" spans="1:1">
      <c r="A4612" s="32"/>
    </row>
    <row r="4613" spans="1:1">
      <c r="A4613" s="32"/>
    </row>
    <row r="4614" spans="1:1">
      <c r="A4614" s="32"/>
    </row>
    <row r="4615" spans="1:1">
      <c r="A4615" s="32"/>
    </row>
    <row r="4616" spans="1:1">
      <c r="A4616" s="32"/>
    </row>
    <row r="4617" spans="1:1">
      <c r="A4617" s="32"/>
    </row>
    <row r="4618" spans="1:1">
      <c r="A4618" s="32"/>
    </row>
    <row r="4619" spans="1:1">
      <c r="A4619" s="32"/>
    </row>
    <row r="4620" spans="1:1">
      <c r="A4620" s="32"/>
    </row>
    <row r="4621" spans="1:1">
      <c r="A4621" s="32"/>
    </row>
    <row r="4622" spans="1:1">
      <c r="A4622" s="32"/>
    </row>
    <row r="4623" spans="1:1">
      <c r="A4623" s="32"/>
    </row>
    <row r="4624" spans="1:1">
      <c r="A4624" s="32"/>
    </row>
    <row r="4625" spans="1:1">
      <c r="A4625" s="32"/>
    </row>
    <row r="4626" spans="1:1">
      <c r="A4626" s="32"/>
    </row>
    <row r="4627" spans="1:1">
      <c r="A4627" s="32"/>
    </row>
    <row r="4628" spans="1:1">
      <c r="A4628" s="32"/>
    </row>
    <row r="4629" spans="1:1">
      <c r="A4629" s="32"/>
    </row>
    <row r="4630" spans="1:1">
      <c r="A4630" s="32"/>
    </row>
    <row r="4631" spans="1:1">
      <c r="A4631" s="32"/>
    </row>
    <row r="4632" spans="1:1">
      <c r="A4632" s="32"/>
    </row>
    <row r="4633" spans="1:1">
      <c r="A4633" s="32"/>
    </row>
    <row r="4634" spans="1:1">
      <c r="A4634" s="32"/>
    </row>
    <row r="4635" spans="1:1">
      <c r="A4635" s="32"/>
    </row>
    <row r="4636" spans="1:1">
      <c r="A4636" s="32"/>
    </row>
    <row r="4637" spans="1:1">
      <c r="A4637" s="32"/>
    </row>
    <row r="4638" spans="1:1">
      <c r="A4638" s="32"/>
    </row>
    <row r="4639" spans="1:1">
      <c r="A4639" s="32"/>
    </row>
    <row r="4640" spans="1:1">
      <c r="A4640" s="32"/>
    </row>
    <row r="4641" spans="1:1">
      <c r="A4641" s="32"/>
    </row>
    <row r="4642" spans="1:1">
      <c r="A4642" s="32"/>
    </row>
    <row r="4643" spans="1:1">
      <c r="A4643" s="32"/>
    </row>
    <row r="4644" spans="1:1">
      <c r="A4644" s="32"/>
    </row>
    <row r="4645" spans="1:1">
      <c r="A4645" s="32"/>
    </row>
    <row r="4646" spans="1:1">
      <c r="A4646" s="32"/>
    </row>
    <row r="4647" spans="1:1">
      <c r="A4647" s="32"/>
    </row>
    <row r="4648" spans="1:1">
      <c r="A4648" s="32"/>
    </row>
    <row r="4649" spans="1:1">
      <c r="A4649" s="32"/>
    </row>
    <row r="4650" spans="1:1">
      <c r="A4650" s="32"/>
    </row>
    <row r="4651" spans="1:1">
      <c r="A4651" s="32"/>
    </row>
    <row r="4652" spans="1:1">
      <c r="A4652" s="32"/>
    </row>
    <row r="4653" spans="1:1">
      <c r="A4653" s="32"/>
    </row>
    <row r="4654" spans="1:1">
      <c r="A4654" s="32"/>
    </row>
    <row r="4655" spans="1:1">
      <c r="A4655" s="32"/>
    </row>
    <row r="4656" spans="1:1">
      <c r="A4656" s="32"/>
    </row>
    <row r="4657" spans="1:1">
      <c r="A4657" s="32"/>
    </row>
    <row r="4658" spans="1:1">
      <c r="A4658" s="32"/>
    </row>
    <row r="4659" spans="1:1">
      <c r="A4659" s="32"/>
    </row>
    <row r="4660" spans="1:1">
      <c r="A4660" s="32"/>
    </row>
    <row r="4661" spans="1:1">
      <c r="A4661" s="32"/>
    </row>
    <row r="4662" spans="1:1">
      <c r="A4662" s="32"/>
    </row>
    <row r="4663" spans="1:1">
      <c r="A4663" s="32"/>
    </row>
    <row r="4664" spans="1:1">
      <c r="A4664" s="32"/>
    </row>
    <row r="4665" spans="1:1">
      <c r="A4665" s="32"/>
    </row>
    <row r="4666" spans="1:1">
      <c r="A4666" s="32"/>
    </row>
    <row r="4667" spans="1:1">
      <c r="A4667" s="32"/>
    </row>
    <row r="4668" spans="1:1">
      <c r="A4668" s="32"/>
    </row>
    <row r="4669" spans="1:1">
      <c r="A4669" s="32"/>
    </row>
    <row r="4670" spans="1:1">
      <c r="A4670" s="32"/>
    </row>
    <row r="4671" spans="1:1">
      <c r="A4671" s="32"/>
    </row>
    <row r="4672" spans="1:1">
      <c r="A4672" s="32"/>
    </row>
    <row r="4673" spans="1:1">
      <c r="A4673" s="32"/>
    </row>
    <row r="4674" spans="1:1">
      <c r="A4674" s="32"/>
    </row>
    <row r="4675" spans="1:1">
      <c r="A4675" s="32"/>
    </row>
    <row r="4676" spans="1:1">
      <c r="A4676" s="32"/>
    </row>
    <row r="4677" spans="1:1">
      <c r="A4677" s="32"/>
    </row>
    <row r="4678" spans="1:1">
      <c r="A4678" s="32"/>
    </row>
    <row r="4679" spans="1:1">
      <c r="A4679" s="32"/>
    </row>
    <row r="4680" spans="1:1">
      <c r="A4680" s="32"/>
    </row>
    <row r="4681" spans="1:1">
      <c r="A4681" s="32"/>
    </row>
    <row r="4682" spans="1:1">
      <c r="A4682" s="32"/>
    </row>
    <row r="4683" spans="1:1">
      <c r="A4683" s="32"/>
    </row>
    <row r="4684" spans="1:1">
      <c r="A4684" s="32"/>
    </row>
    <row r="4685" spans="1:1">
      <c r="A4685" s="32"/>
    </row>
    <row r="4686" spans="1:1">
      <c r="A4686" s="32"/>
    </row>
    <row r="4687" spans="1:1">
      <c r="A4687" s="32"/>
    </row>
    <row r="4688" spans="1:1">
      <c r="A4688" s="32"/>
    </row>
    <row r="4689" spans="1:1">
      <c r="A4689" s="32"/>
    </row>
    <row r="4690" spans="1:1">
      <c r="A4690" s="32"/>
    </row>
    <row r="4691" spans="1:1">
      <c r="A4691" s="32"/>
    </row>
    <row r="4692" spans="1:1">
      <c r="A4692" s="32"/>
    </row>
    <row r="4693" spans="1:1">
      <c r="A4693" s="32"/>
    </row>
    <row r="4694" spans="1:1">
      <c r="A4694" s="32"/>
    </row>
    <row r="4695" spans="1:1">
      <c r="A4695" s="32"/>
    </row>
    <row r="4696" spans="1:1">
      <c r="A4696" s="32"/>
    </row>
    <row r="4697" spans="1:1">
      <c r="A4697" s="32"/>
    </row>
    <row r="4698" spans="1:1">
      <c r="A4698" s="32"/>
    </row>
    <row r="4699" spans="1:1">
      <c r="A4699" s="32"/>
    </row>
    <row r="4700" spans="1:1">
      <c r="A4700" s="32"/>
    </row>
    <row r="4701" spans="1:1">
      <c r="A4701" s="32"/>
    </row>
    <row r="4702" spans="1:1">
      <c r="A4702" s="32"/>
    </row>
    <row r="4703" spans="1:1">
      <c r="A4703" s="32"/>
    </row>
    <row r="4704" spans="1:1">
      <c r="A4704" s="32"/>
    </row>
    <row r="4705" spans="1:1">
      <c r="A4705" s="32"/>
    </row>
    <row r="4706" spans="1:1">
      <c r="A4706" s="32"/>
    </row>
    <row r="4707" spans="1:1">
      <c r="A4707" s="32"/>
    </row>
    <row r="4708" spans="1:1">
      <c r="A4708" s="32"/>
    </row>
    <row r="4709" spans="1:1">
      <c r="A4709" s="32"/>
    </row>
    <row r="4710" spans="1:1">
      <c r="A4710" s="32"/>
    </row>
    <row r="4711" spans="1:1">
      <c r="A4711" s="32"/>
    </row>
    <row r="4712" spans="1:1">
      <c r="A4712" s="32"/>
    </row>
    <row r="4713" spans="1:1">
      <c r="A4713" s="32"/>
    </row>
    <row r="4714" spans="1:1">
      <c r="A4714" s="32"/>
    </row>
    <row r="4715" spans="1:1">
      <c r="A4715" s="32"/>
    </row>
    <row r="4716" spans="1:1">
      <c r="A4716" s="32"/>
    </row>
    <row r="4717" spans="1:1">
      <c r="A4717" s="32"/>
    </row>
    <row r="4718" spans="1:1">
      <c r="A4718" s="32"/>
    </row>
    <row r="4719" spans="1:1">
      <c r="A4719" s="32"/>
    </row>
    <row r="4720" spans="1:1">
      <c r="A4720" s="32"/>
    </row>
    <row r="4721" spans="1:1">
      <c r="A4721" s="32"/>
    </row>
    <row r="4722" spans="1:1">
      <c r="A4722" s="32"/>
    </row>
    <row r="4723" spans="1:1">
      <c r="A4723" s="32"/>
    </row>
    <row r="4724" spans="1:1">
      <c r="A4724" s="32"/>
    </row>
    <row r="4725" spans="1:1">
      <c r="A4725" s="32"/>
    </row>
    <row r="4726" spans="1:1">
      <c r="A4726" s="32"/>
    </row>
    <row r="4727" spans="1:1">
      <c r="A4727" s="32"/>
    </row>
    <row r="4728" spans="1:1">
      <c r="A4728" s="32"/>
    </row>
    <row r="4729" spans="1:1">
      <c r="A4729" s="32"/>
    </row>
    <row r="4730" spans="1:1">
      <c r="A4730" s="32"/>
    </row>
    <row r="4731" spans="1:1">
      <c r="A4731" s="32"/>
    </row>
    <row r="4732" spans="1:1">
      <c r="A4732" s="32"/>
    </row>
    <row r="4733" spans="1:1">
      <c r="A4733" s="32"/>
    </row>
    <row r="4734" spans="1:1">
      <c r="A4734" s="32"/>
    </row>
    <row r="4735" spans="1:1">
      <c r="A4735" s="32"/>
    </row>
    <row r="4736" spans="1:1">
      <c r="A4736" s="32"/>
    </row>
    <row r="4737" spans="1:1">
      <c r="A4737" s="32"/>
    </row>
    <row r="4738" spans="1:1">
      <c r="A4738" s="32"/>
    </row>
    <row r="4739" spans="1:1">
      <c r="A4739" s="32"/>
    </row>
    <row r="4740" spans="1:1">
      <c r="A4740" s="32"/>
    </row>
    <row r="4741" spans="1:1">
      <c r="A4741" s="32"/>
    </row>
    <row r="4742" spans="1:1">
      <c r="A4742" s="32"/>
    </row>
    <row r="4743" spans="1:1">
      <c r="A4743" s="32"/>
    </row>
    <row r="4744" spans="1:1">
      <c r="A4744" s="32"/>
    </row>
    <row r="4745" spans="1:1">
      <c r="A4745" s="32"/>
    </row>
    <row r="4746" spans="1:1">
      <c r="A4746" s="32"/>
    </row>
    <row r="4747" spans="1:1">
      <c r="A4747" s="32"/>
    </row>
    <row r="4748" spans="1:1">
      <c r="A4748" s="32"/>
    </row>
    <row r="4749" spans="1:1">
      <c r="A4749" s="32"/>
    </row>
    <row r="4750" spans="1:1">
      <c r="A4750" s="32"/>
    </row>
    <row r="4751" spans="1:1">
      <c r="A4751" s="32"/>
    </row>
    <row r="4752" spans="1:1">
      <c r="A4752" s="32"/>
    </row>
    <row r="4753" spans="1:1">
      <c r="A4753" s="32"/>
    </row>
    <row r="4754" spans="1:1">
      <c r="A4754" s="32"/>
    </row>
    <row r="4755" spans="1:1">
      <c r="A4755" s="32"/>
    </row>
    <row r="4756" spans="1:1">
      <c r="A4756" s="32"/>
    </row>
    <row r="4757" spans="1:1">
      <c r="A4757" s="32"/>
    </row>
    <row r="4758" spans="1:1">
      <c r="A4758" s="32"/>
    </row>
    <row r="4759" spans="1:1">
      <c r="A4759" s="32"/>
    </row>
    <row r="4760" spans="1:1">
      <c r="A4760" s="32"/>
    </row>
    <row r="4761" spans="1:1">
      <c r="A4761" s="32"/>
    </row>
    <row r="4762" spans="1:1">
      <c r="A4762" s="32"/>
    </row>
    <row r="4763" spans="1:1">
      <c r="A4763" s="32"/>
    </row>
    <row r="4764" spans="1:1">
      <c r="A4764" s="32"/>
    </row>
    <row r="4765" spans="1:1">
      <c r="A4765" s="32"/>
    </row>
    <row r="4766" spans="1:1">
      <c r="A4766" s="32"/>
    </row>
    <row r="4767" spans="1:1">
      <c r="A4767" s="32"/>
    </row>
    <row r="4768" spans="1:1">
      <c r="A4768" s="32"/>
    </row>
    <row r="4769" spans="1:1">
      <c r="A4769" s="32"/>
    </row>
    <row r="4770" spans="1:1">
      <c r="A4770" s="32"/>
    </row>
    <row r="4771" spans="1:1">
      <c r="A4771" s="32"/>
    </row>
    <row r="4772" spans="1:1">
      <c r="A4772" s="32"/>
    </row>
    <row r="4773" spans="1:1">
      <c r="A4773" s="32"/>
    </row>
    <row r="4774" spans="1:1">
      <c r="A4774" s="32"/>
    </row>
    <row r="4775" spans="1:1">
      <c r="A4775" s="32"/>
    </row>
    <row r="4776" spans="1:1">
      <c r="A4776" s="32"/>
    </row>
    <row r="4777" spans="1:1">
      <c r="A4777" s="32"/>
    </row>
    <row r="4778" spans="1:1">
      <c r="A4778" s="32"/>
    </row>
    <row r="4779" spans="1:1">
      <c r="A4779" s="32"/>
    </row>
    <row r="4780" spans="1:1">
      <c r="A4780" s="32"/>
    </row>
    <row r="4781" spans="1:1">
      <c r="A4781" s="32"/>
    </row>
    <row r="4782" spans="1:1">
      <c r="A4782" s="32"/>
    </row>
    <row r="4783" spans="1:1">
      <c r="A4783" s="32"/>
    </row>
    <row r="4784" spans="1:1">
      <c r="A4784" s="32"/>
    </row>
    <row r="4785" spans="1:1">
      <c r="A4785" s="32"/>
    </row>
    <row r="4786" spans="1:1">
      <c r="A4786" s="32"/>
    </row>
    <row r="4787" spans="1:1">
      <c r="A4787" s="32"/>
    </row>
    <row r="4788" spans="1:1">
      <c r="A4788" s="32"/>
    </row>
    <row r="4789" spans="1:1">
      <c r="A4789" s="32"/>
    </row>
    <row r="4790" spans="1:1">
      <c r="A4790" s="32"/>
    </row>
    <row r="4791" spans="1:1">
      <c r="A4791" s="32"/>
    </row>
    <row r="4792" spans="1:1">
      <c r="A4792" s="32"/>
    </row>
    <row r="4793" spans="1:1">
      <c r="A4793" s="32"/>
    </row>
    <row r="4794" spans="1:1">
      <c r="A4794" s="32"/>
    </row>
    <row r="4795" spans="1:1">
      <c r="A4795" s="32"/>
    </row>
    <row r="4796" spans="1:1">
      <c r="A4796" s="32"/>
    </row>
    <row r="4797" spans="1:1">
      <c r="A4797" s="32"/>
    </row>
    <row r="4798" spans="1:1">
      <c r="A4798" s="32"/>
    </row>
    <row r="4799" spans="1:1">
      <c r="A4799" s="32"/>
    </row>
    <row r="4800" spans="1:1">
      <c r="A4800" s="32"/>
    </row>
    <row r="4801" spans="1:1">
      <c r="A4801" s="32"/>
    </row>
    <row r="4802" spans="1:1">
      <c r="A4802" s="32"/>
    </row>
    <row r="4803" spans="1:1">
      <c r="A4803" s="32"/>
    </row>
    <row r="4804" spans="1:1">
      <c r="A4804" s="32"/>
    </row>
    <row r="4805" spans="1:1">
      <c r="A4805" s="32"/>
    </row>
    <row r="4806" spans="1:1">
      <c r="A4806" s="32"/>
    </row>
    <row r="4807" spans="1:1">
      <c r="A4807" s="32"/>
    </row>
    <row r="4808" spans="1:1">
      <c r="A4808" s="32"/>
    </row>
    <row r="4809" spans="1:1">
      <c r="A4809" s="32"/>
    </row>
    <row r="4810" spans="1:1">
      <c r="A4810" s="32"/>
    </row>
    <row r="4811" spans="1:1">
      <c r="A4811" s="32"/>
    </row>
    <row r="4812" spans="1:1">
      <c r="A4812" s="32"/>
    </row>
    <row r="4813" spans="1:1">
      <c r="A4813" s="32"/>
    </row>
    <row r="4814" spans="1:1">
      <c r="A4814" s="32"/>
    </row>
    <row r="4815" spans="1:1">
      <c r="A4815" s="32"/>
    </row>
    <row r="4816" spans="1:1">
      <c r="A4816" s="32"/>
    </row>
    <row r="4817" spans="1:1">
      <c r="A4817" s="32"/>
    </row>
    <row r="4818" spans="1:1">
      <c r="A4818" s="32"/>
    </row>
    <row r="4819" spans="1:1">
      <c r="A4819" s="32"/>
    </row>
    <row r="4820" spans="1:1">
      <c r="A4820" s="32"/>
    </row>
    <row r="4821" spans="1:1">
      <c r="A4821" s="32"/>
    </row>
    <row r="4822" spans="1:1">
      <c r="A4822" s="32"/>
    </row>
    <row r="4823" spans="1:1">
      <c r="A4823" s="32"/>
    </row>
    <row r="4824" spans="1:1">
      <c r="A4824" s="32"/>
    </row>
    <row r="4825" spans="1:1">
      <c r="A4825" s="32"/>
    </row>
    <row r="4826" spans="1:1">
      <c r="A4826" s="32"/>
    </row>
    <row r="4827" spans="1:1">
      <c r="A4827" s="32"/>
    </row>
    <row r="4828" spans="1:1">
      <c r="A4828" s="32"/>
    </row>
    <row r="4829" spans="1:1">
      <c r="A4829" s="32"/>
    </row>
    <row r="4830" spans="1:1">
      <c r="A4830" s="32"/>
    </row>
    <row r="4831" spans="1:1">
      <c r="A4831" s="32"/>
    </row>
    <row r="4832" spans="1:1">
      <c r="A4832" s="32"/>
    </row>
    <row r="4833" spans="1:1">
      <c r="A4833" s="32"/>
    </row>
    <row r="4834" spans="1:1">
      <c r="A4834" s="32"/>
    </row>
    <row r="4835" spans="1:1">
      <c r="A4835" s="32"/>
    </row>
    <row r="4836" spans="1:1">
      <c r="A4836" s="32"/>
    </row>
    <row r="4837" spans="1:1">
      <c r="A4837" s="32"/>
    </row>
    <row r="4838" spans="1:1">
      <c r="A4838" s="32"/>
    </row>
    <row r="4839" spans="1:1">
      <c r="A4839" s="32"/>
    </row>
    <row r="4840" spans="1:1">
      <c r="A4840" s="32"/>
    </row>
    <row r="4841" spans="1:1">
      <c r="A4841" s="32"/>
    </row>
    <row r="4842" spans="1:1">
      <c r="A4842" s="32"/>
    </row>
    <row r="4843" spans="1:1">
      <c r="A4843" s="32"/>
    </row>
    <row r="4844" spans="1:1">
      <c r="A4844" s="32"/>
    </row>
    <row r="4845" spans="1:1">
      <c r="A4845" s="32"/>
    </row>
    <row r="4846" spans="1:1">
      <c r="A4846" s="32"/>
    </row>
    <row r="4847" spans="1:1">
      <c r="A4847" s="32"/>
    </row>
    <row r="4848" spans="1:1">
      <c r="A4848" s="32"/>
    </row>
    <row r="4849" spans="1:1">
      <c r="A4849" s="32"/>
    </row>
    <row r="4850" spans="1:1">
      <c r="A4850" s="32"/>
    </row>
    <row r="4851" spans="1:1">
      <c r="A4851" s="32"/>
    </row>
    <row r="4852" spans="1:1">
      <c r="A4852" s="32"/>
    </row>
    <row r="4853" spans="1:1">
      <c r="A4853" s="32"/>
    </row>
    <row r="4854" spans="1:1">
      <c r="A4854" s="32"/>
    </row>
    <row r="4855" spans="1:1">
      <c r="A4855" s="32"/>
    </row>
    <row r="4856" spans="1:1">
      <c r="A4856" s="32"/>
    </row>
    <row r="4857" spans="1:1">
      <c r="A4857" s="32"/>
    </row>
    <row r="4858" spans="1:1">
      <c r="A4858" s="32"/>
    </row>
    <row r="4859" spans="1:1">
      <c r="A4859" s="32"/>
    </row>
    <row r="4860" spans="1:1">
      <c r="A4860" s="32"/>
    </row>
    <row r="4861" spans="1:1">
      <c r="A4861" s="32"/>
    </row>
    <row r="4862" spans="1:1">
      <c r="A4862" s="32"/>
    </row>
    <row r="4863" spans="1:1">
      <c r="A4863" s="32"/>
    </row>
    <row r="4864" spans="1:1">
      <c r="A4864" s="32"/>
    </row>
    <row r="4865" spans="1:1">
      <c r="A4865" s="32"/>
    </row>
    <row r="4866" spans="1:1">
      <c r="A4866" s="32"/>
    </row>
    <row r="4867" spans="1:1">
      <c r="A4867" s="32"/>
    </row>
    <row r="4868" spans="1:1">
      <c r="A4868" s="32"/>
    </row>
    <row r="4869" spans="1:1">
      <c r="A4869" s="32"/>
    </row>
    <row r="4870" spans="1:1">
      <c r="A4870" s="32"/>
    </row>
    <row r="4871" spans="1:1">
      <c r="A4871" s="32"/>
    </row>
    <row r="4872" spans="1:1">
      <c r="A4872" s="32"/>
    </row>
    <row r="4873" spans="1:1">
      <c r="A4873" s="32"/>
    </row>
    <row r="4874" spans="1:1">
      <c r="A4874" s="32"/>
    </row>
    <row r="4875" spans="1:1">
      <c r="A4875" s="32"/>
    </row>
    <row r="4876" spans="1:1">
      <c r="A4876" s="32"/>
    </row>
    <row r="4877" spans="1:1">
      <c r="A4877" s="32"/>
    </row>
    <row r="4878" spans="1:1">
      <c r="A4878" s="32"/>
    </row>
    <row r="4879" spans="1:1">
      <c r="A4879" s="32"/>
    </row>
    <row r="4880" spans="1:1">
      <c r="A4880" s="32"/>
    </row>
    <row r="4881" spans="1:1">
      <c r="A4881" s="32"/>
    </row>
    <row r="4882" spans="1:1">
      <c r="A4882" s="32"/>
    </row>
    <row r="4883" spans="1:1">
      <c r="A4883" s="32"/>
    </row>
    <row r="4884" spans="1:1">
      <c r="A4884" s="32"/>
    </row>
    <row r="4885" spans="1:1">
      <c r="A4885" s="32"/>
    </row>
    <row r="4886" spans="1:1">
      <c r="A4886" s="32"/>
    </row>
    <row r="4887" spans="1:1">
      <c r="A4887" s="32"/>
    </row>
    <row r="4888" spans="1:1">
      <c r="A4888" s="32"/>
    </row>
    <row r="4889" spans="1:1">
      <c r="A4889" s="32"/>
    </row>
    <row r="4890" spans="1:1">
      <c r="A4890" s="32"/>
    </row>
    <row r="4891" spans="1:1">
      <c r="A4891" s="32"/>
    </row>
    <row r="4892" spans="1:1">
      <c r="A4892" s="32"/>
    </row>
    <row r="4893" spans="1:1">
      <c r="A4893" s="32"/>
    </row>
    <row r="4894" spans="1:1">
      <c r="A4894" s="32"/>
    </row>
    <row r="4895" spans="1:1">
      <c r="A4895" s="32"/>
    </row>
    <row r="4896" spans="1:1">
      <c r="A4896" s="32"/>
    </row>
    <row r="4897" spans="1:1">
      <c r="A4897" s="32"/>
    </row>
    <row r="4898" spans="1:1">
      <c r="A4898" s="32"/>
    </row>
    <row r="4899" spans="1:1">
      <c r="A4899" s="32"/>
    </row>
    <row r="4900" spans="1:1">
      <c r="A4900" s="32"/>
    </row>
    <row r="4901" spans="1:1">
      <c r="A4901" s="32"/>
    </row>
    <row r="4902" spans="1:1">
      <c r="A4902" s="32"/>
    </row>
    <row r="4903" spans="1:1">
      <c r="A4903" s="32"/>
    </row>
    <row r="4904" spans="1:1">
      <c r="A4904" s="32"/>
    </row>
    <row r="4905" spans="1:1">
      <c r="A4905" s="32"/>
    </row>
    <row r="4906" spans="1:1">
      <c r="A4906" s="32"/>
    </row>
    <row r="4907" spans="1:1">
      <c r="A4907" s="32"/>
    </row>
    <row r="4908" spans="1:1">
      <c r="A4908" s="32"/>
    </row>
    <row r="4909" spans="1:1">
      <c r="A4909" s="32"/>
    </row>
    <row r="4910" spans="1:1">
      <c r="A4910" s="32"/>
    </row>
    <row r="4911" spans="1:1">
      <c r="A4911" s="32"/>
    </row>
    <row r="4912" spans="1:1">
      <c r="A4912" s="32"/>
    </row>
    <row r="4913" spans="1:1">
      <c r="A4913" s="32"/>
    </row>
    <row r="4914" spans="1:1">
      <c r="A4914" s="32"/>
    </row>
    <row r="4915" spans="1:1">
      <c r="A4915" s="32"/>
    </row>
    <row r="4916" spans="1:1">
      <c r="A4916" s="32"/>
    </row>
    <row r="4917" spans="1:1">
      <c r="A4917" s="32"/>
    </row>
    <row r="4918" spans="1:1">
      <c r="A4918" s="32"/>
    </row>
    <row r="4919" spans="1:1">
      <c r="A4919" s="32"/>
    </row>
    <row r="4920" spans="1:1">
      <c r="A4920" s="32"/>
    </row>
    <row r="4921" spans="1:1">
      <c r="A4921" s="32"/>
    </row>
    <row r="4922" spans="1:1">
      <c r="A4922" s="32"/>
    </row>
    <row r="4923" spans="1:1">
      <c r="A4923" s="32"/>
    </row>
    <row r="4924" spans="1:1">
      <c r="A4924" s="32"/>
    </row>
    <row r="4925" spans="1:1">
      <c r="A4925" s="32"/>
    </row>
    <row r="4926" spans="1:1">
      <c r="A4926" s="32"/>
    </row>
    <row r="4927" spans="1:1">
      <c r="A4927" s="32"/>
    </row>
    <row r="4928" spans="1:1">
      <c r="A4928" s="32"/>
    </row>
    <row r="4929" spans="1:1">
      <c r="A4929" s="32"/>
    </row>
    <row r="4930" spans="1:1">
      <c r="A4930" s="32"/>
    </row>
    <row r="4931" spans="1:1">
      <c r="A4931" s="32"/>
    </row>
    <row r="4932" spans="1:1">
      <c r="A4932" s="32"/>
    </row>
    <row r="4933" spans="1:1">
      <c r="A4933" s="32"/>
    </row>
    <row r="4934" spans="1:1">
      <c r="A4934" s="32"/>
    </row>
    <row r="4935" spans="1:1">
      <c r="A4935" s="32"/>
    </row>
    <row r="4936" spans="1:1">
      <c r="A4936" s="32"/>
    </row>
    <row r="4937" spans="1:1">
      <c r="A4937" s="32"/>
    </row>
    <row r="4938" spans="1:1">
      <c r="A4938" s="32"/>
    </row>
    <row r="4939" spans="1:1">
      <c r="A4939" s="32"/>
    </row>
    <row r="4940" spans="1:1">
      <c r="A4940" s="32"/>
    </row>
    <row r="4941" spans="1:1">
      <c r="A4941" s="32"/>
    </row>
    <row r="4942" spans="1:1">
      <c r="A4942" s="32"/>
    </row>
    <row r="4943" spans="1:1">
      <c r="A4943" s="32"/>
    </row>
    <row r="4944" spans="1:1">
      <c r="A4944" s="32"/>
    </row>
    <row r="4945" spans="1:1">
      <c r="A4945" s="32"/>
    </row>
    <row r="4946" spans="1:1">
      <c r="A4946" s="32"/>
    </row>
    <row r="4947" spans="1:1">
      <c r="A4947" s="32"/>
    </row>
    <row r="4948" spans="1:1">
      <c r="A4948" s="32"/>
    </row>
    <row r="4949" spans="1:1">
      <c r="A4949" s="32"/>
    </row>
    <row r="4950" spans="1:1">
      <c r="A4950" s="32"/>
    </row>
    <row r="4951" spans="1:1">
      <c r="A4951" s="32"/>
    </row>
    <row r="4952" spans="1:1">
      <c r="A4952" s="32"/>
    </row>
    <row r="4953" spans="1:1">
      <c r="A4953" s="32"/>
    </row>
    <row r="4954" spans="1:1">
      <c r="A4954" s="32"/>
    </row>
    <row r="4955" spans="1:1">
      <c r="A4955" s="32"/>
    </row>
    <row r="4956" spans="1:1">
      <c r="A4956" s="32"/>
    </row>
    <row r="4957" spans="1:1">
      <c r="A4957" s="32"/>
    </row>
    <row r="4958" spans="1:1">
      <c r="A4958" s="32"/>
    </row>
    <row r="4959" spans="1:1">
      <c r="A4959" s="32"/>
    </row>
    <row r="4960" spans="1:1">
      <c r="A4960" s="32"/>
    </row>
    <row r="4961" spans="1:1">
      <c r="A4961" s="32"/>
    </row>
    <row r="4962" spans="1:1">
      <c r="A4962" s="32"/>
    </row>
    <row r="4963" spans="1:1">
      <c r="A4963" s="32"/>
    </row>
    <row r="4964" spans="1:1">
      <c r="A4964" s="32"/>
    </row>
    <row r="4965" spans="1:1">
      <c r="A4965" s="32"/>
    </row>
    <row r="4966" spans="1:1">
      <c r="A4966" s="32"/>
    </row>
    <row r="4967" spans="1:1">
      <c r="A4967" s="32"/>
    </row>
    <row r="4968" spans="1:1">
      <c r="A4968" s="32"/>
    </row>
    <row r="4969" spans="1:1">
      <c r="A4969" s="32"/>
    </row>
    <row r="4970" spans="1:1">
      <c r="A4970" s="32"/>
    </row>
    <row r="4971" spans="1:1">
      <c r="A4971" s="32"/>
    </row>
    <row r="4972" spans="1:1">
      <c r="A4972" s="32"/>
    </row>
    <row r="4973" spans="1:1">
      <c r="A4973" s="32"/>
    </row>
    <row r="4974" spans="1:1">
      <c r="A4974" s="32"/>
    </row>
    <row r="4975" spans="1:1">
      <c r="A4975" s="32"/>
    </row>
    <row r="4976" spans="1:1">
      <c r="A4976" s="32"/>
    </row>
    <row r="4977" spans="1:1">
      <c r="A4977" s="32"/>
    </row>
    <row r="4978" spans="1:1">
      <c r="A4978" s="32"/>
    </row>
    <row r="4979" spans="1:1">
      <c r="A4979" s="32"/>
    </row>
    <row r="4980" spans="1:1">
      <c r="A4980" s="32"/>
    </row>
    <row r="4981" spans="1:1">
      <c r="A4981" s="32"/>
    </row>
    <row r="4982" spans="1:1">
      <c r="A4982" s="32"/>
    </row>
    <row r="4983" spans="1:1">
      <c r="A4983" s="32"/>
    </row>
    <row r="4984" spans="1:1">
      <c r="A4984" s="32"/>
    </row>
    <row r="4985" spans="1:1">
      <c r="A4985" s="32"/>
    </row>
    <row r="4986" spans="1:1">
      <c r="A4986" s="32"/>
    </row>
    <row r="4987" spans="1:1">
      <c r="A4987" s="32"/>
    </row>
    <row r="4988" spans="1:1">
      <c r="A4988" s="32"/>
    </row>
    <row r="4989" spans="1:1">
      <c r="A4989" s="32"/>
    </row>
    <row r="4990" spans="1:1">
      <c r="A4990" s="32"/>
    </row>
    <row r="4991" spans="1:1">
      <c r="A4991" s="32"/>
    </row>
    <row r="4992" spans="1:1">
      <c r="A4992" s="32"/>
    </row>
    <row r="4993" spans="1:1">
      <c r="A4993" s="32"/>
    </row>
    <row r="4994" spans="1:1">
      <c r="A4994" s="32"/>
    </row>
    <row r="4995" spans="1:1">
      <c r="A4995" s="32"/>
    </row>
    <row r="4996" spans="1:1">
      <c r="A4996" s="32"/>
    </row>
    <row r="4997" spans="1:1">
      <c r="A4997" s="32"/>
    </row>
    <row r="4998" spans="1:1">
      <c r="A4998" s="32"/>
    </row>
    <row r="4999" spans="1:1">
      <c r="A4999" s="32"/>
    </row>
    <row r="5000" spans="1:1">
      <c r="A5000" s="32"/>
    </row>
    <row r="5001" spans="1:1">
      <c r="A5001" s="32"/>
    </row>
    <row r="5002" spans="1:1">
      <c r="A5002" s="32"/>
    </row>
    <row r="5003" spans="1:1">
      <c r="A5003" s="32"/>
    </row>
    <row r="5004" spans="1:1">
      <c r="A5004" s="32"/>
    </row>
    <row r="5005" spans="1:1">
      <c r="A5005" s="32"/>
    </row>
    <row r="5006" spans="1:1">
      <c r="A5006" s="32"/>
    </row>
    <row r="5007" spans="1:1">
      <c r="A5007" s="32"/>
    </row>
    <row r="5008" spans="1:1">
      <c r="A5008" s="32"/>
    </row>
    <row r="5009" spans="1:1">
      <c r="A5009" s="32"/>
    </row>
    <row r="5010" spans="1:1">
      <c r="A5010" s="32"/>
    </row>
    <row r="5011" spans="1:1">
      <c r="A5011" s="32"/>
    </row>
    <row r="5012" spans="1:1">
      <c r="A5012" s="32"/>
    </row>
    <row r="5013" spans="1:1">
      <c r="A5013" s="32"/>
    </row>
    <row r="5014" spans="1:1">
      <c r="A5014" s="32"/>
    </row>
    <row r="5015" spans="1:1">
      <c r="A5015" s="32"/>
    </row>
    <row r="5016" spans="1:1">
      <c r="A5016" s="32"/>
    </row>
    <row r="5017" spans="1:1">
      <c r="A5017" s="32"/>
    </row>
    <row r="5018" spans="1:1">
      <c r="A5018" s="32"/>
    </row>
    <row r="5019" spans="1:1">
      <c r="A5019" s="32"/>
    </row>
    <row r="5020" spans="1:1">
      <c r="A5020" s="32"/>
    </row>
    <row r="5021" spans="1:1">
      <c r="A5021" s="32"/>
    </row>
    <row r="5022" spans="1:1">
      <c r="A5022" s="32"/>
    </row>
    <row r="5023" spans="1:1">
      <c r="A5023" s="32"/>
    </row>
    <row r="5024" spans="1:1">
      <c r="A5024" s="32"/>
    </row>
    <row r="5025" spans="1:1">
      <c r="A5025" s="32"/>
    </row>
    <row r="5026" spans="1:1">
      <c r="A5026" s="32"/>
    </row>
    <row r="5027" spans="1:1">
      <c r="A5027" s="32"/>
    </row>
    <row r="5028" spans="1:1">
      <c r="A5028" s="32"/>
    </row>
    <row r="5029" spans="1:1">
      <c r="A5029" s="32"/>
    </row>
    <row r="5030" spans="1:1">
      <c r="A5030" s="32"/>
    </row>
    <row r="5031" spans="1:1">
      <c r="A5031" s="32"/>
    </row>
    <row r="5032" spans="1:1">
      <c r="A5032" s="32"/>
    </row>
    <row r="5033" spans="1:1">
      <c r="A5033" s="32"/>
    </row>
    <row r="5034" spans="1:1">
      <c r="A5034" s="32"/>
    </row>
    <row r="5035" spans="1:1">
      <c r="A5035" s="32"/>
    </row>
    <row r="5036" spans="1:1">
      <c r="A5036" s="32"/>
    </row>
    <row r="5037" spans="1:1">
      <c r="A5037" s="32"/>
    </row>
    <row r="5038" spans="1:1">
      <c r="A5038" s="32"/>
    </row>
    <row r="5039" spans="1:1">
      <c r="A5039" s="32"/>
    </row>
    <row r="5040" spans="1:1">
      <c r="A5040" s="32"/>
    </row>
    <row r="5041" spans="1:1">
      <c r="A5041" s="32"/>
    </row>
    <row r="5042" spans="1:1">
      <c r="A5042" s="32"/>
    </row>
    <row r="5043" spans="1:1">
      <c r="A5043" s="32"/>
    </row>
    <row r="5044" spans="1:1">
      <c r="A5044" s="32"/>
    </row>
    <row r="5045" spans="1:1">
      <c r="A5045" s="32"/>
    </row>
    <row r="5046" spans="1:1">
      <c r="A5046" s="32"/>
    </row>
    <row r="5047" spans="1:1">
      <c r="A5047" s="32"/>
    </row>
    <row r="5048" spans="1:1">
      <c r="A5048" s="32"/>
    </row>
    <row r="5049" spans="1:1">
      <c r="A5049" s="32"/>
    </row>
    <row r="5050" spans="1:1">
      <c r="A5050" s="32"/>
    </row>
    <row r="5051" spans="1:1">
      <c r="A5051" s="32"/>
    </row>
    <row r="5052" spans="1:1">
      <c r="A5052" s="32"/>
    </row>
    <row r="5053" spans="1:1">
      <c r="A5053" s="32"/>
    </row>
    <row r="5054" spans="1:1">
      <c r="A5054" s="32"/>
    </row>
    <row r="5055" spans="1:1">
      <c r="A5055" s="32"/>
    </row>
    <row r="5056" spans="1:1">
      <c r="A5056" s="32"/>
    </row>
    <row r="5057" spans="1:1">
      <c r="A5057" s="32"/>
    </row>
    <row r="5058" spans="1:1">
      <c r="A5058" s="32"/>
    </row>
    <row r="5059" spans="1:1">
      <c r="A5059" s="32"/>
    </row>
    <row r="5060" spans="1:1">
      <c r="A5060" s="32"/>
    </row>
    <row r="5061" spans="1:1">
      <c r="A5061" s="32"/>
    </row>
    <row r="5062" spans="1:1">
      <c r="A5062" s="32"/>
    </row>
    <row r="5063" spans="1:1">
      <c r="A5063" s="32"/>
    </row>
    <row r="5064" spans="1:1">
      <c r="A5064" s="32"/>
    </row>
    <row r="5065" spans="1:1">
      <c r="A5065" s="32"/>
    </row>
    <row r="5066" spans="1:1">
      <c r="A5066" s="32"/>
    </row>
    <row r="5067" spans="1:1">
      <c r="A5067" s="32"/>
    </row>
    <row r="5068" spans="1:1">
      <c r="A5068" s="32"/>
    </row>
    <row r="5069" spans="1:1">
      <c r="A5069" s="32"/>
    </row>
    <row r="5070" spans="1:1">
      <c r="A5070" s="32"/>
    </row>
    <row r="5071" spans="1:1">
      <c r="A5071" s="32"/>
    </row>
    <row r="5072" spans="1:1">
      <c r="A5072" s="32"/>
    </row>
    <row r="5073" spans="1:1">
      <c r="A5073" s="32"/>
    </row>
    <row r="5074" spans="1:1">
      <c r="A5074" s="32"/>
    </row>
    <row r="5075" spans="1:1">
      <c r="A5075" s="32"/>
    </row>
    <row r="5076" spans="1:1">
      <c r="A5076" s="32"/>
    </row>
    <row r="5077" spans="1:1">
      <c r="A5077" s="32"/>
    </row>
    <row r="5078" spans="1:1">
      <c r="A5078" s="32"/>
    </row>
    <row r="5079" spans="1:1">
      <c r="A5079" s="32"/>
    </row>
    <row r="5080" spans="1:1">
      <c r="A5080" s="32"/>
    </row>
    <row r="5081" spans="1:1">
      <c r="A5081" s="32"/>
    </row>
    <row r="5082" spans="1:1">
      <c r="A5082" s="32"/>
    </row>
    <row r="5083" spans="1:1">
      <c r="A5083" s="32"/>
    </row>
    <row r="5084" spans="1:1">
      <c r="A5084" s="32"/>
    </row>
    <row r="5085" spans="1:1">
      <c r="A5085" s="32"/>
    </row>
    <row r="5086" spans="1:1">
      <c r="A5086" s="32"/>
    </row>
    <row r="5087" spans="1:1">
      <c r="A5087" s="32"/>
    </row>
    <row r="5088" spans="1:1">
      <c r="A5088" s="32"/>
    </row>
    <row r="5089" spans="1:1">
      <c r="A5089" s="32"/>
    </row>
    <row r="5090" spans="1:1">
      <c r="A5090" s="32"/>
    </row>
    <row r="5091" spans="1:1">
      <c r="A5091" s="32"/>
    </row>
    <row r="5092" spans="1:1">
      <c r="A5092" s="32"/>
    </row>
    <row r="5093" spans="1:1">
      <c r="A5093" s="32"/>
    </row>
    <row r="5094" spans="1:1">
      <c r="A5094" s="32"/>
    </row>
    <row r="5095" spans="1:1">
      <c r="A5095" s="32"/>
    </row>
    <row r="5096" spans="1:1">
      <c r="A5096" s="32"/>
    </row>
    <row r="5097" spans="1:1">
      <c r="A5097" s="32"/>
    </row>
    <row r="5098" spans="1:1">
      <c r="A5098" s="32"/>
    </row>
    <row r="5099" spans="1:1">
      <c r="A5099" s="32"/>
    </row>
    <row r="5100" spans="1:1">
      <c r="A5100" s="32"/>
    </row>
    <row r="5101" spans="1:1">
      <c r="A5101" s="32"/>
    </row>
    <row r="5102" spans="1:1">
      <c r="A5102" s="32"/>
    </row>
    <row r="5103" spans="1:1">
      <c r="A5103" s="32"/>
    </row>
    <row r="5104" spans="1:1">
      <c r="A5104" s="32"/>
    </row>
    <row r="5105" spans="1:1">
      <c r="A5105" s="32"/>
    </row>
    <row r="5106" spans="1:1">
      <c r="A5106" s="32"/>
    </row>
    <row r="5107" spans="1:1">
      <c r="A5107" s="32"/>
    </row>
    <row r="5108" spans="1:1">
      <c r="A5108" s="32"/>
    </row>
    <row r="5109" spans="1:1">
      <c r="A5109" s="32"/>
    </row>
    <row r="5110" spans="1:1">
      <c r="A5110" s="32"/>
    </row>
    <row r="5111" spans="1:1">
      <c r="A5111" s="32"/>
    </row>
    <row r="5112" spans="1:1">
      <c r="A5112" s="32"/>
    </row>
    <row r="5113" spans="1:1">
      <c r="A5113" s="32"/>
    </row>
    <row r="5114" spans="1:1">
      <c r="A5114" s="32"/>
    </row>
    <row r="5115" spans="1:1">
      <c r="A5115" s="32"/>
    </row>
    <row r="5116" spans="1:1">
      <c r="A5116" s="32"/>
    </row>
    <row r="5117" spans="1:1">
      <c r="A5117" s="32"/>
    </row>
    <row r="5118" spans="1:1">
      <c r="A5118" s="32"/>
    </row>
    <row r="5119" spans="1:1">
      <c r="A5119" s="32"/>
    </row>
    <row r="5120" spans="1:1">
      <c r="A5120" s="32"/>
    </row>
    <row r="5121" spans="1:1">
      <c r="A5121" s="32"/>
    </row>
    <row r="5122" spans="1:1">
      <c r="A5122" s="32"/>
    </row>
    <row r="5123" spans="1:1">
      <c r="A5123" s="32"/>
    </row>
    <row r="5124" spans="1:1">
      <c r="A5124" s="32"/>
    </row>
    <row r="5125" spans="1:1">
      <c r="A5125" s="32"/>
    </row>
    <row r="5126" spans="1:1">
      <c r="A5126" s="32"/>
    </row>
    <row r="5127" spans="1:1">
      <c r="A5127" s="32"/>
    </row>
    <row r="5128" spans="1:1">
      <c r="A5128" s="32"/>
    </row>
    <row r="5129" spans="1:1">
      <c r="A5129" s="32"/>
    </row>
    <row r="5130" spans="1:1">
      <c r="A5130" s="32"/>
    </row>
    <row r="5131" spans="1:1">
      <c r="A5131" s="32"/>
    </row>
    <row r="5132" spans="1:1">
      <c r="A5132" s="32"/>
    </row>
    <row r="5133" spans="1:1">
      <c r="A5133" s="32"/>
    </row>
    <row r="5134" spans="1:1">
      <c r="A5134" s="32"/>
    </row>
    <row r="5135" spans="1:1">
      <c r="A5135" s="32"/>
    </row>
    <row r="5136" spans="1:1">
      <c r="A5136" s="32"/>
    </row>
    <row r="5137" spans="1:1">
      <c r="A5137" s="32"/>
    </row>
    <row r="5138" spans="1:1">
      <c r="A5138" s="32"/>
    </row>
    <row r="5139" spans="1:1">
      <c r="A5139" s="32"/>
    </row>
    <row r="5140" spans="1:1">
      <c r="A5140" s="32"/>
    </row>
    <row r="5141" spans="1:1">
      <c r="A5141" s="32"/>
    </row>
    <row r="5142" spans="1:1">
      <c r="A5142" s="32"/>
    </row>
    <row r="5143" spans="1:1">
      <c r="A5143" s="32"/>
    </row>
    <row r="5144" spans="1:1">
      <c r="A5144" s="32"/>
    </row>
    <row r="5145" spans="1:1">
      <c r="A5145" s="32"/>
    </row>
    <row r="5146" spans="1:1">
      <c r="A5146" s="32"/>
    </row>
    <row r="5147" spans="1:1">
      <c r="A5147" s="32"/>
    </row>
    <row r="5148" spans="1:1">
      <c r="A5148" s="32"/>
    </row>
    <row r="5149" spans="1:1">
      <c r="A5149" s="32"/>
    </row>
    <row r="5150" spans="1:1">
      <c r="A5150" s="32"/>
    </row>
    <row r="5151" spans="1:1">
      <c r="A5151" s="32"/>
    </row>
    <row r="5152" spans="1:1">
      <c r="A5152" s="32"/>
    </row>
    <row r="5153" spans="1:1">
      <c r="A5153" s="32"/>
    </row>
    <row r="5154" spans="1:1">
      <c r="A5154" s="32"/>
    </row>
    <row r="5155" spans="1:1">
      <c r="A5155" s="32"/>
    </row>
    <row r="5156" spans="1:1">
      <c r="A5156" s="32"/>
    </row>
    <row r="5157" spans="1:1">
      <c r="A5157" s="32"/>
    </row>
    <row r="5158" spans="1:1">
      <c r="A5158" s="32"/>
    </row>
    <row r="5159" spans="1:1">
      <c r="A5159" s="32"/>
    </row>
    <row r="5160" spans="1:1">
      <c r="A5160" s="32"/>
    </row>
    <row r="5161" spans="1:1">
      <c r="A5161" s="32"/>
    </row>
    <row r="5162" spans="1:1">
      <c r="A5162" s="32"/>
    </row>
    <row r="5163" spans="1:1">
      <c r="A5163" s="32"/>
    </row>
    <row r="5164" spans="1:1">
      <c r="A5164" s="32"/>
    </row>
    <row r="5165" spans="1:1">
      <c r="A5165" s="32"/>
    </row>
    <row r="5166" spans="1:1">
      <c r="A5166" s="32"/>
    </row>
    <row r="5167" spans="1:1">
      <c r="A5167" s="32"/>
    </row>
    <row r="5168" spans="1:1">
      <c r="A5168" s="32"/>
    </row>
    <row r="5169" spans="1:1">
      <c r="A5169" s="32"/>
    </row>
    <row r="5170" spans="1:1">
      <c r="A5170" s="32"/>
    </row>
    <row r="5171" spans="1:1">
      <c r="A5171" s="32"/>
    </row>
    <row r="5172" spans="1:1">
      <c r="A5172" s="32"/>
    </row>
    <row r="5173" spans="1:1">
      <c r="A5173" s="32"/>
    </row>
    <row r="5174" spans="1:1">
      <c r="A5174" s="32"/>
    </row>
    <row r="5175" spans="1:1">
      <c r="A5175" s="32"/>
    </row>
    <row r="5176" spans="1:1">
      <c r="A5176" s="32"/>
    </row>
    <row r="5177" spans="1:1">
      <c r="A5177" s="32"/>
    </row>
    <row r="5178" spans="1:1">
      <c r="A5178" s="32"/>
    </row>
    <row r="5179" spans="1:1">
      <c r="A5179" s="32"/>
    </row>
    <row r="5180" spans="1:1">
      <c r="A5180" s="32"/>
    </row>
    <row r="5181" spans="1:1">
      <c r="A5181" s="32"/>
    </row>
    <row r="5182" spans="1:1">
      <c r="A5182" s="32"/>
    </row>
    <row r="5183" spans="1:1">
      <c r="A5183" s="32"/>
    </row>
    <row r="5184" spans="1:1">
      <c r="A5184" s="32"/>
    </row>
    <row r="5185" spans="1:1">
      <c r="A5185" s="32"/>
    </row>
    <row r="5186" spans="1:1">
      <c r="A5186" s="32"/>
    </row>
    <row r="5187" spans="1:1">
      <c r="A5187" s="32"/>
    </row>
    <row r="5188" spans="1:1">
      <c r="A5188" s="32"/>
    </row>
    <row r="5189" spans="1:1">
      <c r="A5189" s="32"/>
    </row>
    <row r="5190" spans="1:1">
      <c r="A5190" s="32"/>
    </row>
    <row r="5191" spans="1:1">
      <c r="A5191" s="32"/>
    </row>
    <row r="5192" spans="1:1">
      <c r="A5192" s="32"/>
    </row>
    <row r="5193" spans="1:1">
      <c r="A5193" s="32"/>
    </row>
    <row r="5194" spans="1:1">
      <c r="A5194" s="32"/>
    </row>
    <row r="5195" spans="1:1">
      <c r="A5195" s="32"/>
    </row>
    <row r="5196" spans="1:1">
      <c r="A5196" s="32"/>
    </row>
    <row r="5197" spans="1:1">
      <c r="A5197" s="32"/>
    </row>
    <row r="5198" spans="1:1">
      <c r="A5198" s="32"/>
    </row>
    <row r="5199" spans="1:1">
      <c r="A5199" s="32"/>
    </row>
    <row r="5200" spans="1:1">
      <c r="A5200" s="32"/>
    </row>
    <row r="5201" spans="1:1">
      <c r="A5201" s="32"/>
    </row>
    <row r="5202" spans="1:1">
      <c r="A5202" s="32"/>
    </row>
    <row r="5203" spans="1:1">
      <c r="A5203" s="32"/>
    </row>
    <row r="5204" spans="1:1">
      <c r="A5204" s="32"/>
    </row>
    <row r="5205" spans="1:1">
      <c r="A5205" s="32"/>
    </row>
    <row r="5206" spans="1:1">
      <c r="A5206" s="32"/>
    </row>
    <row r="5207" spans="1:1">
      <c r="A5207" s="32"/>
    </row>
    <row r="5208" spans="1:1">
      <c r="A5208" s="32"/>
    </row>
    <row r="5209" spans="1:1">
      <c r="A5209" s="32"/>
    </row>
    <row r="5210" spans="1:1">
      <c r="A5210" s="32"/>
    </row>
    <row r="5211" spans="1:1">
      <c r="A5211" s="32"/>
    </row>
    <row r="5212" spans="1:1">
      <c r="A5212" s="32"/>
    </row>
    <row r="5213" spans="1:1">
      <c r="A5213" s="32"/>
    </row>
    <row r="5214" spans="1:1">
      <c r="A5214" s="32"/>
    </row>
    <row r="5215" spans="1:1">
      <c r="A5215" s="32"/>
    </row>
    <row r="5216" spans="1:1">
      <c r="A5216" s="32"/>
    </row>
    <row r="5217" spans="1:1">
      <c r="A5217" s="32"/>
    </row>
    <row r="5218" spans="1:1">
      <c r="A5218" s="32"/>
    </row>
    <row r="5219" spans="1:1">
      <c r="A5219" s="32"/>
    </row>
    <row r="5220" spans="1:1">
      <c r="A5220" s="32"/>
    </row>
    <row r="5221" spans="1:1">
      <c r="A5221" s="32"/>
    </row>
    <row r="5222" spans="1:1">
      <c r="A5222" s="32"/>
    </row>
    <row r="5223" spans="1:1">
      <c r="A5223" s="32"/>
    </row>
    <row r="5224" spans="1:1">
      <c r="A5224" s="32"/>
    </row>
    <row r="5225" spans="1:1">
      <c r="A5225" s="32"/>
    </row>
    <row r="5226" spans="1:1">
      <c r="A5226" s="32"/>
    </row>
    <row r="5227" spans="1:1">
      <c r="A5227" s="32"/>
    </row>
    <row r="5228" spans="1:1">
      <c r="A5228" s="32"/>
    </row>
    <row r="5229" spans="1:1">
      <c r="A5229" s="32"/>
    </row>
    <row r="5230" spans="1:1">
      <c r="A5230" s="32"/>
    </row>
    <row r="5231" spans="1:1">
      <c r="A5231" s="32"/>
    </row>
    <row r="5232" spans="1:1">
      <c r="A5232" s="32"/>
    </row>
    <row r="5233" spans="1:1">
      <c r="A5233" s="32"/>
    </row>
    <row r="5234" spans="1:1">
      <c r="A5234" s="32"/>
    </row>
    <row r="5235" spans="1:1">
      <c r="A5235" s="32"/>
    </row>
    <row r="5236" spans="1:1">
      <c r="A5236" s="32"/>
    </row>
    <row r="5237" spans="1:1">
      <c r="A5237" s="32"/>
    </row>
    <row r="5238" spans="1:1">
      <c r="A5238" s="32"/>
    </row>
    <row r="5239" spans="1:1">
      <c r="A5239" s="32"/>
    </row>
    <row r="5240" spans="1:1">
      <c r="A5240" s="32"/>
    </row>
    <row r="5241" spans="1:1">
      <c r="A5241" s="32"/>
    </row>
    <row r="5242" spans="1:1">
      <c r="A5242" s="32"/>
    </row>
    <row r="5243" spans="1:1">
      <c r="A5243" s="32"/>
    </row>
    <row r="5244" spans="1:1">
      <c r="A5244" s="32"/>
    </row>
    <row r="5245" spans="1:1">
      <c r="A5245" s="32"/>
    </row>
    <row r="5246" spans="1:1">
      <c r="A5246" s="32"/>
    </row>
    <row r="5247" spans="1:1">
      <c r="A5247" s="32"/>
    </row>
    <row r="5248" spans="1:1">
      <c r="A5248" s="32"/>
    </row>
    <row r="5249" spans="1:1">
      <c r="A5249" s="32"/>
    </row>
    <row r="5250" spans="1:1">
      <c r="A5250" s="32"/>
    </row>
    <row r="5251" spans="1:1">
      <c r="A5251" s="32"/>
    </row>
    <row r="5252" spans="1:1">
      <c r="A5252" s="32"/>
    </row>
    <row r="5253" spans="1:1">
      <c r="A5253" s="32"/>
    </row>
    <row r="5254" spans="1:1">
      <c r="A5254" s="32"/>
    </row>
    <row r="5255" spans="1:1">
      <c r="A5255" s="32"/>
    </row>
    <row r="5256" spans="1:1">
      <c r="A5256" s="32"/>
    </row>
    <row r="5257" spans="1:1">
      <c r="A5257" s="32"/>
    </row>
    <row r="5258" spans="1:1">
      <c r="A5258" s="32"/>
    </row>
    <row r="5259" spans="1:1">
      <c r="A5259" s="32"/>
    </row>
    <row r="5260" spans="1:1">
      <c r="A5260" s="32"/>
    </row>
    <row r="5261" spans="1:1">
      <c r="A5261" s="32"/>
    </row>
    <row r="5262" spans="1:1">
      <c r="A5262" s="32"/>
    </row>
    <row r="5263" spans="1:1">
      <c r="A5263" s="32"/>
    </row>
    <row r="5264" spans="1:1">
      <c r="A5264" s="32"/>
    </row>
    <row r="5265" spans="1:1">
      <c r="A5265" s="32"/>
    </row>
    <row r="5266" spans="1:1">
      <c r="A5266" s="32"/>
    </row>
    <row r="5267" spans="1:1">
      <c r="A5267" s="32"/>
    </row>
    <row r="5268" spans="1:1">
      <c r="A5268" s="32"/>
    </row>
    <row r="5269" spans="1:1">
      <c r="A5269" s="32"/>
    </row>
    <row r="5270" spans="1:1">
      <c r="A5270" s="32"/>
    </row>
    <row r="5271" spans="1:1">
      <c r="A5271" s="32"/>
    </row>
    <row r="5272" spans="1:1">
      <c r="A5272" s="32"/>
    </row>
    <row r="5273" spans="1:1">
      <c r="A5273" s="32"/>
    </row>
    <row r="5274" spans="1:1">
      <c r="A5274" s="32"/>
    </row>
    <row r="5275" spans="1:1">
      <c r="A5275" s="32"/>
    </row>
    <row r="5276" spans="1:1">
      <c r="A5276" s="32"/>
    </row>
    <row r="5277" spans="1:1">
      <c r="A5277" s="32"/>
    </row>
    <row r="5278" spans="1:1">
      <c r="A5278" s="32"/>
    </row>
    <row r="5279" spans="1:1">
      <c r="A5279" s="32"/>
    </row>
    <row r="5280" spans="1:1">
      <c r="A5280" s="32"/>
    </row>
    <row r="5281" spans="1:1">
      <c r="A5281" s="32"/>
    </row>
    <row r="5282" spans="1:1">
      <c r="A5282" s="32"/>
    </row>
    <row r="5283" spans="1:1">
      <c r="A5283" s="32"/>
    </row>
    <row r="5284" spans="1:1">
      <c r="A5284" s="32"/>
    </row>
    <row r="5285" spans="1:1">
      <c r="A5285" s="32"/>
    </row>
    <row r="5286" spans="1:1">
      <c r="A5286" s="32"/>
    </row>
    <row r="5287" spans="1:1">
      <c r="A5287" s="32"/>
    </row>
    <row r="5288" spans="1:1">
      <c r="A5288" s="32"/>
    </row>
    <row r="5289" spans="1:1">
      <c r="A5289" s="32"/>
    </row>
    <row r="5290" spans="1:1">
      <c r="A5290" s="32"/>
    </row>
    <row r="5291" spans="1:1">
      <c r="A5291" s="32"/>
    </row>
    <row r="5292" spans="1:1">
      <c r="A5292" s="32"/>
    </row>
    <row r="5293" spans="1:1">
      <c r="A5293" s="32"/>
    </row>
    <row r="5294" spans="1:1">
      <c r="A5294" s="32"/>
    </row>
    <row r="5295" spans="1:1">
      <c r="A5295" s="32"/>
    </row>
    <row r="5296" spans="1:1">
      <c r="A5296" s="32"/>
    </row>
    <row r="5297" spans="1:1">
      <c r="A5297" s="32"/>
    </row>
    <row r="5298" spans="1:1">
      <c r="A5298" s="32"/>
    </row>
    <row r="5299" spans="1:1">
      <c r="A5299" s="32"/>
    </row>
    <row r="5300" spans="1:1">
      <c r="A5300" s="32"/>
    </row>
    <row r="5301" spans="1:1">
      <c r="A5301" s="32"/>
    </row>
    <row r="5302" spans="1:1">
      <c r="A5302" s="32"/>
    </row>
    <row r="5303" spans="1:1">
      <c r="A5303" s="32"/>
    </row>
    <row r="5304" spans="1:1">
      <c r="A5304" s="32"/>
    </row>
    <row r="5305" spans="1:1">
      <c r="A5305" s="32"/>
    </row>
    <row r="5306" spans="1:1">
      <c r="A5306" s="32"/>
    </row>
    <row r="5307" spans="1:1">
      <c r="A5307" s="32"/>
    </row>
    <row r="5308" spans="1:1">
      <c r="A5308" s="32"/>
    </row>
    <row r="5309" spans="1:1">
      <c r="A5309" s="32"/>
    </row>
    <row r="5310" spans="1:1">
      <c r="A5310" s="32"/>
    </row>
    <row r="5311" spans="1:1">
      <c r="A5311" s="32"/>
    </row>
    <row r="5312" spans="1:1">
      <c r="A5312" s="32"/>
    </row>
    <row r="5313" spans="1:1">
      <c r="A5313" s="32"/>
    </row>
    <row r="5314" spans="1:1">
      <c r="A5314" s="32"/>
    </row>
    <row r="5315" spans="1:1">
      <c r="A5315" s="32"/>
    </row>
    <row r="5316" spans="1:1">
      <c r="A5316" s="32"/>
    </row>
    <row r="5317" spans="1:1">
      <c r="A5317" s="32"/>
    </row>
    <row r="5318" spans="1:1">
      <c r="A5318" s="32"/>
    </row>
    <row r="5319" spans="1:1">
      <c r="A5319" s="32"/>
    </row>
    <row r="5320" spans="1:1">
      <c r="A5320" s="32"/>
    </row>
    <row r="5321" spans="1:1">
      <c r="A5321" s="32"/>
    </row>
    <row r="5322" spans="1:1">
      <c r="A5322" s="32"/>
    </row>
    <row r="5323" spans="1:1">
      <c r="A5323" s="32"/>
    </row>
    <row r="5324" spans="1:1">
      <c r="A5324" s="32"/>
    </row>
    <row r="5325" spans="1:1">
      <c r="A5325" s="32"/>
    </row>
    <row r="5326" spans="1:1">
      <c r="A5326" s="32"/>
    </row>
    <row r="5327" spans="1:1">
      <c r="A5327" s="32"/>
    </row>
    <row r="5328" spans="1:1">
      <c r="A5328" s="32"/>
    </row>
    <row r="5329" spans="1:1">
      <c r="A5329" s="32"/>
    </row>
    <row r="5330" spans="1:1">
      <c r="A5330" s="32"/>
    </row>
    <row r="5331" spans="1:1">
      <c r="A5331" s="32"/>
    </row>
    <row r="5332" spans="1:1">
      <c r="A5332" s="32"/>
    </row>
    <row r="5333" spans="1:1">
      <c r="A5333" s="32"/>
    </row>
    <row r="5334" spans="1:1">
      <c r="A5334" s="32"/>
    </row>
    <row r="5335" spans="1:1">
      <c r="A5335" s="32"/>
    </row>
    <row r="5336" spans="1:1">
      <c r="A5336" s="32"/>
    </row>
    <row r="5337" spans="1:1">
      <c r="A5337" s="32"/>
    </row>
    <row r="5338" spans="1:1">
      <c r="A5338" s="32"/>
    </row>
    <row r="5339" spans="1:1">
      <c r="A5339" s="32"/>
    </row>
    <row r="5340" spans="1:1">
      <c r="A5340" s="32"/>
    </row>
    <row r="5341" spans="1:1">
      <c r="A5341" s="32"/>
    </row>
    <row r="5342" spans="1:1">
      <c r="A5342" s="32"/>
    </row>
    <row r="5343" spans="1:1">
      <c r="A5343" s="32"/>
    </row>
    <row r="5344" spans="1:1">
      <c r="A5344" s="32"/>
    </row>
    <row r="5345" spans="1:1">
      <c r="A5345" s="32"/>
    </row>
    <row r="5346" spans="1:1">
      <c r="A5346" s="32"/>
    </row>
    <row r="5347" spans="1:1">
      <c r="A5347" s="32"/>
    </row>
    <row r="5348" spans="1:1">
      <c r="A5348" s="32"/>
    </row>
    <row r="5349" spans="1:1">
      <c r="A5349" s="32"/>
    </row>
    <row r="5350" spans="1:1">
      <c r="A5350" s="32"/>
    </row>
    <row r="5351" spans="1:1">
      <c r="A5351" s="32"/>
    </row>
    <row r="5352" spans="1:1">
      <c r="A5352" s="32"/>
    </row>
    <row r="5353" spans="1:1">
      <c r="A5353" s="32"/>
    </row>
    <row r="5354" spans="1:1">
      <c r="A5354" s="32"/>
    </row>
    <row r="5355" spans="1:1">
      <c r="A5355" s="32"/>
    </row>
    <row r="5356" spans="1:1">
      <c r="A5356" s="32"/>
    </row>
    <row r="5357" spans="1:1">
      <c r="A5357" s="32"/>
    </row>
    <row r="5358" spans="1:1">
      <c r="A5358" s="32"/>
    </row>
    <row r="5359" spans="1:1">
      <c r="A5359" s="32"/>
    </row>
    <row r="5360" spans="1:1">
      <c r="A5360" s="32"/>
    </row>
    <row r="5361" spans="1:1">
      <c r="A5361" s="32"/>
    </row>
    <row r="5362" spans="1:1">
      <c r="A5362" s="32"/>
    </row>
    <row r="5363" spans="1:1">
      <c r="A5363" s="32"/>
    </row>
    <row r="5364" spans="1:1">
      <c r="A5364" s="32"/>
    </row>
    <row r="5365" spans="1:1">
      <c r="A5365" s="32"/>
    </row>
    <row r="5366" spans="1:1">
      <c r="A5366" s="32"/>
    </row>
    <row r="5367" spans="1:1">
      <c r="A5367" s="32"/>
    </row>
    <row r="5368" spans="1:1">
      <c r="A5368" s="32"/>
    </row>
    <row r="5369" spans="1:1">
      <c r="A5369" s="32"/>
    </row>
    <row r="5370" spans="1:1">
      <c r="A5370" s="32"/>
    </row>
    <row r="5371" spans="1:1">
      <c r="A5371" s="32"/>
    </row>
    <row r="5372" spans="1:1">
      <c r="A5372" s="32"/>
    </row>
    <row r="5373" spans="1:1">
      <c r="A5373" s="32"/>
    </row>
    <row r="5374" spans="1:1">
      <c r="A5374" s="32"/>
    </row>
    <row r="5375" spans="1:1">
      <c r="A5375" s="32"/>
    </row>
    <row r="5376" spans="1:1">
      <c r="A5376" s="32"/>
    </row>
    <row r="5377" spans="1:1">
      <c r="A5377" s="32"/>
    </row>
    <row r="5378" spans="1:1">
      <c r="A5378" s="32"/>
    </row>
    <row r="5379" spans="1:1">
      <c r="A5379" s="32"/>
    </row>
    <row r="5380" spans="1:1">
      <c r="A5380" s="32"/>
    </row>
    <row r="5381" spans="1:1">
      <c r="A5381" s="32"/>
    </row>
    <row r="5382" spans="1:1">
      <c r="A5382" s="32"/>
    </row>
    <row r="5383" spans="1:1">
      <c r="A5383" s="32"/>
    </row>
    <row r="5384" spans="1:1">
      <c r="A5384" s="32"/>
    </row>
    <row r="5385" spans="1:1">
      <c r="A5385" s="32"/>
    </row>
    <row r="5386" spans="1:1">
      <c r="A5386" s="32"/>
    </row>
    <row r="5387" spans="1:1">
      <c r="A5387" s="32"/>
    </row>
    <row r="5388" spans="1:1">
      <c r="A5388" s="32"/>
    </row>
    <row r="5389" spans="1:1">
      <c r="A5389" s="32"/>
    </row>
    <row r="5390" spans="1:1">
      <c r="A5390" s="32"/>
    </row>
    <row r="5391" spans="1:1">
      <c r="A5391" s="32"/>
    </row>
    <row r="5392" spans="1:1">
      <c r="A5392" s="32"/>
    </row>
    <row r="5393" spans="1:1">
      <c r="A5393" s="32"/>
    </row>
    <row r="5394" spans="1:1">
      <c r="A5394" s="32"/>
    </row>
    <row r="5395" spans="1:1">
      <c r="A5395" s="32"/>
    </row>
    <row r="5396" spans="1:1">
      <c r="A5396" s="32"/>
    </row>
    <row r="5397" spans="1:1">
      <c r="A5397" s="32"/>
    </row>
    <row r="5398" spans="1:1">
      <c r="A5398" s="32"/>
    </row>
    <row r="5399" spans="1:1">
      <c r="A5399" s="32"/>
    </row>
    <row r="5400" spans="1:1">
      <c r="A5400" s="32"/>
    </row>
    <row r="5401" spans="1:1">
      <c r="A5401" s="32"/>
    </row>
    <row r="5402" spans="1:1">
      <c r="A5402" s="32"/>
    </row>
    <row r="5403" spans="1:1">
      <c r="A5403" s="32"/>
    </row>
    <row r="5404" spans="1:1">
      <c r="A5404" s="32"/>
    </row>
    <row r="5405" spans="1:1">
      <c r="A5405" s="32"/>
    </row>
    <row r="5406" spans="1:1">
      <c r="A5406" s="32"/>
    </row>
    <row r="5407" spans="1:1">
      <c r="A5407" s="32"/>
    </row>
    <row r="5408" spans="1:1">
      <c r="A5408" s="32"/>
    </row>
    <row r="5409" spans="1:1">
      <c r="A5409" s="32"/>
    </row>
    <row r="5410" spans="1:1">
      <c r="A5410" s="32"/>
    </row>
    <row r="5411" spans="1:1">
      <c r="A5411" s="32"/>
    </row>
    <row r="5412" spans="1:1">
      <c r="A5412" s="32"/>
    </row>
    <row r="5413" spans="1:1">
      <c r="A5413" s="32"/>
    </row>
    <row r="5414" spans="1:1">
      <c r="A5414" s="32"/>
    </row>
    <row r="5415" spans="1:1">
      <c r="A5415" s="32"/>
    </row>
    <row r="5416" spans="1:1">
      <c r="A5416" s="32"/>
    </row>
    <row r="5417" spans="1:1">
      <c r="A5417" s="32"/>
    </row>
    <row r="5418" spans="1:1">
      <c r="A5418" s="32"/>
    </row>
    <row r="5419" spans="1:1">
      <c r="A5419" s="32"/>
    </row>
    <row r="5420" spans="1:1">
      <c r="A5420" s="32"/>
    </row>
    <row r="5421" spans="1:1">
      <c r="A5421" s="32"/>
    </row>
    <row r="5422" spans="1:1">
      <c r="A5422" s="32"/>
    </row>
    <row r="5423" spans="1:1">
      <c r="A5423" s="32"/>
    </row>
    <row r="5424" spans="1:1">
      <c r="A5424" s="32"/>
    </row>
    <row r="5425" spans="1:1">
      <c r="A5425" s="32"/>
    </row>
    <row r="5426" spans="1:1">
      <c r="A5426" s="32"/>
    </row>
    <row r="5427" spans="1:1">
      <c r="A5427" s="32"/>
    </row>
    <row r="5428" spans="1:1">
      <c r="A5428" s="32"/>
    </row>
    <row r="5429" spans="1:1">
      <c r="A5429" s="32"/>
    </row>
    <row r="5430" spans="1:1">
      <c r="A5430" s="32"/>
    </row>
    <row r="5431" spans="1:1">
      <c r="A5431" s="32"/>
    </row>
    <row r="5432" spans="1:1">
      <c r="A5432" s="32"/>
    </row>
    <row r="5433" spans="1:1">
      <c r="A5433" s="32"/>
    </row>
    <row r="5434" spans="1:1">
      <c r="A5434" s="32"/>
    </row>
    <row r="5435" spans="1:1">
      <c r="A5435" s="32"/>
    </row>
    <row r="5436" spans="1:1">
      <c r="A5436" s="32"/>
    </row>
    <row r="5437" spans="1:1">
      <c r="A5437" s="32"/>
    </row>
    <row r="5438" spans="1:1">
      <c r="A5438" s="32"/>
    </row>
    <row r="5439" spans="1:1">
      <c r="A5439" s="32"/>
    </row>
    <row r="5440" spans="1:1">
      <c r="A5440" s="32"/>
    </row>
    <row r="5441" spans="1:1">
      <c r="A5441" s="32"/>
    </row>
    <row r="5442" spans="1:1">
      <c r="A5442" s="32"/>
    </row>
    <row r="5443" spans="1:1">
      <c r="A5443" s="32"/>
    </row>
    <row r="5444" spans="1:1">
      <c r="A5444" s="32"/>
    </row>
    <row r="5445" spans="1:1">
      <c r="A5445" s="32"/>
    </row>
    <row r="5446" spans="1:1">
      <c r="A5446" s="32"/>
    </row>
    <row r="5447" spans="1:1">
      <c r="A5447" s="32"/>
    </row>
    <row r="5448" spans="1:1">
      <c r="A5448" s="32"/>
    </row>
    <row r="5449" spans="1:1">
      <c r="A5449" s="32"/>
    </row>
    <row r="5450" spans="1:1">
      <c r="A5450" s="32"/>
    </row>
    <row r="5451" spans="1:1">
      <c r="A5451" s="32"/>
    </row>
    <row r="5452" spans="1:1">
      <c r="A5452" s="32"/>
    </row>
    <row r="5453" spans="1:1">
      <c r="A5453" s="32"/>
    </row>
    <row r="5454" spans="1:1">
      <c r="A5454" s="32"/>
    </row>
    <row r="5455" spans="1:1">
      <c r="A5455" s="32"/>
    </row>
    <row r="5456" spans="1:1">
      <c r="A5456" s="32"/>
    </row>
    <row r="5457" spans="1:1">
      <c r="A5457" s="32"/>
    </row>
    <row r="5458" spans="1:1">
      <c r="A5458" s="32"/>
    </row>
    <row r="5459" spans="1:1">
      <c r="A5459" s="32"/>
    </row>
    <row r="5460" spans="1:1">
      <c r="A5460" s="32"/>
    </row>
    <row r="5461" spans="1:1">
      <c r="A5461" s="32"/>
    </row>
    <row r="5462" spans="1:1">
      <c r="A5462" s="32"/>
    </row>
    <row r="5463" spans="1:1">
      <c r="A5463" s="32"/>
    </row>
    <row r="5464" spans="1:1">
      <c r="A5464" s="32"/>
    </row>
    <row r="5465" spans="1:1">
      <c r="A5465" s="32"/>
    </row>
    <row r="5466" spans="1:1">
      <c r="A5466" s="32"/>
    </row>
    <row r="5467" spans="1:1">
      <c r="A5467" s="32"/>
    </row>
    <row r="5468" spans="1:1">
      <c r="A5468" s="32"/>
    </row>
    <row r="5469" spans="1:1">
      <c r="A5469" s="32"/>
    </row>
    <row r="5470" spans="1:1">
      <c r="A5470" s="32"/>
    </row>
    <row r="5471" spans="1:1">
      <c r="A5471" s="32"/>
    </row>
    <row r="5472" spans="1:1">
      <c r="A5472" s="32"/>
    </row>
    <row r="5473" spans="1:1">
      <c r="A5473" s="32"/>
    </row>
    <row r="5474" spans="1:1">
      <c r="A5474" s="32"/>
    </row>
    <row r="5475" spans="1:1">
      <c r="A5475" s="32"/>
    </row>
    <row r="5476" spans="1:1">
      <c r="A5476" s="32"/>
    </row>
    <row r="5477" spans="1:1">
      <c r="A5477" s="32"/>
    </row>
    <row r="5478" spans="1:1">
      <c r="A5478" s="32"/>
    </row>
    <row r="5479" spans="1:1">
      <c r="A5479" s="32"/>
    </row>
    <row r="5480" spans="1:1">
      <c r="A5480" s="32"/>
    </row>
    <row r="5481" spans="1:1">
      <c r="A5481" s="32"/>
    </row>
    <row r="5482" spans="1:1">
      <c r="A5482" s="32"/>
    </row>
    <row r="5483" spans="1:1">
      <c r="A5483" s="32"/>
    </row>
    <row r="5484" spans="1:1">
      <c r="A5484" s="32"/>
    </row>
    <row r="5485" spans="1:1">
      <c r="A5485" s="32"/>
    </row>
    <row r="5486" spans="1:1">
      <c r="A5486" s="32"/>
    </row>
    <row r="5487" spans="1:1">
      <c r="A5487" s="32"/>
    </row>
    <row r="5488" spans="1:1">
      <c r="A5488" s="32"/>
    </row>
    <row r="5489" spans="1:1">
      <c r="A5489" s="32"/>
    </row>
    <row r="5490" spans="1:1">
      <c r="A5490" s="32"/>
    </row>
    <row r="5491" spans="1:1">
      <c r="A5491" s="32"/>
    </row>
    <row r="5492" spans="1:1">
      <c r="A5492" s="32"/>
    </row>
    <row r="5493" spans="1:1">
      <c r="A5493" s="32"/>
    </row>
    <row r="5494" spans="1:1">
      <c r="A5494" s="32"/>
    </row>
    <row r="5495" spans="1:1">
      <c r="A5495" s="32"/>
    </row>
    <row r="5496" spans="1:1">
      <c r="A5496" s="32"/>
    </row>
    <row r="5497" spans="1:1">
      <c r="A5497" s="32"/>
    </row>
    <row r="5498" spans="1:1">
      <c r="A5498" s="32"/>
    </row>
    <row r="5499" spans="1:1">
      <c r="A5499" s="32"/>
    </row>
    <row r="5500" spans="1:1">
      <c r="A5500" s="32"/>
    </row>
    <row r="5501" spans="1:1">
      <c r="A5501" s="32"/>
    </row>
    <row r="5502" spans="1:1">
      <c r="A5502" s="32"/>
    </row>
    <row r="5503" spans="1:1">
      <c r="A5503" s="32"/>
    </row>
    <row r="5504" spans="1:1">
      <c r="A5504" s="32"/>
    </row>
    <row r="5505" spans="1:1">
      <c r="A5505" s="32"/>
    </row>
    <row r="5506" spans="1:1">
      <c r="A5506" s="32"/>
    </row>
    <row r="5507" spans="1:1">
      <c r="A5507" s="32"/>
    </row>
    <row r="5508" spans="1:1">
      <c r="A5508" s="32"/>
    </row>
    <row r="5509" spans="1:1">
      <c r="A5509" s="32"/>
    </row>
    <row r="5510" spans="1:1">
      <c r="A5510" s="32"/>
    </row>
    <row r="5511" spans="1:1">
      <c r="A5511" s="32"/>
    </row>
    <row r="5512" spans="1:1">
      <c r="A5512" s="32"/>
    </row>
    <row r="5513" spans="1:1">
      <c r="A5513" s="32"/>
    </row>
    <row r="5514" spans="1:1">
      <c r="A5514" s="32"/>
    </row>
    <row r="5515" spans="1:1">
      <c r="A5515" s="32"/>
    </row>
    <row r="5516" spans="1:1">
      <c r="A5516" s="32"/>
    </row>
    <row r="5517" spans="1:1">
      <c r="A5517" s="32"/>
    </row>
    <row r="5518" spans="1:1">
      <c r="A5518" s="32"/>
    </row>
    <row r="5519" spans="1:1">
      <c r="A5519" s="32"/>
    </row>
    <row r="5520" spans="1:1">
      <c r="A5520" s="32"/>
    </row>
    <row r="5521" spans="1:1">
      <c r="A5521" s="32"/>
    </row>
    <row r="5522" spans="1:1">
      <c r="A5522" s="32"/>
    </row>
    <row r="5523" spans="1:1">
      <c r="A5523" s="32"/>
    </row>
    <row r="5524" spans="1:1">
      <c r="A5524" s="32"/>
    </row>
    <row r="5525" spans="1:1">
      <c r="A5525" s="32"/>
    </row>
    <row r="5526" spans="1:1">
      <c r="A5526" s="32"/>
    </row>
    <row r="5527" spans="1:1">
      <c r="A5527" s="32"/>
    </row>
    <row r="5528" spans="1:1">
      <c r="A5528" s="32"/>
    </row>
    <row r="5529" spans="1:1">
      <c r="A5529" s="32"/>
    </row>
    <row r="5530" spans="1:1">
      <c r="A5530" s="32"/>
    </row>
    <row r="5531" spans="1:1">
      <c r="A5531" s="32"/>
    </row>
    <row r="5532" spans="1:1">
      <c r="A5532" s="32"/>
    </row>
    <row r="5533" spans="1:1">
      <c r="A5533" s="32"/>
    </row>
    <row r="5534" spans="1:1">
      <c r="A5534" s="32"/>
    </row>
    <row r="5535" spans="1:1">
      <c r="A5535" s="32"/>
    </row>
    <row r="5536" spans="1:1">
      <c r="A5536" s="32"/>
    </row>
    <row r="5537" spans="1:1">
      <c r="A5537" s="32"/>
    </row>
    <row r="5538" spans="1:1">
      <c r="A5538" s="32"/>
    </row>
    <row r="5539" spans="1:1">
      <c r="A5539" s="32"/>
    </row>
    <row r="5540" spans="1:1">
      <c r="A5540" s="32"/>
    </row>
    <row r="5541" spans="1:1">
      <c r="A5541" s="32"/>
    </row>
    <row r="5542" spans="1:1">
      <c r="A5542" s="32"/>
    </row>
    <row r="5543" spans="1:1">
      <c r="A5543" s="32"/>
    </row>
    <row r="5544" spans="1:1">
      <c r="A5544" s="32"/>
    </row>
    <row r="5545" spans="1:1">
      <c r="A5545" s="32"/>
    </row>
    <row r="5546" spans="1:1">
      <c r="A5546" s="32"/>
    </row>
    <row r="5547" spans="1:1">
      <c r="A5547" s="32"/>
    </row>
    <row r="5548" spans="1:1">
      <c r="A5548" s="32"/>
    </row>
    <row r="5549" spans="1:1">
      <c r="A5549" s="32"/>
    </row>
    <row r="5550" spans="1:1">
      <c r="A5550" s="32"/>
    </row>
    <row r="5551" spans="1:1">
      <c r="A5551" s="32"/>
    </row>
    <row r="5552" spans="1:1">
      <c r="A5552" s="32"/>
    </row>
    <row r="5553" spans="1:1">
      <c r="A5553" s="32"/>
    </row>
    <row r="5554" spans="1:1">
      <c r="A5554" s="32"/>
    </row>
    <row r="5555" spans="1:1">
      <c r="A5555" s="32"/>
    </row>
    <row r="5556" spans="1:1">
      <c r="A5556" s="32"/>
    </row>
    <row r="5557" spans="1:1">
      <c r="A5557" s="32"/>
    </row>
    <row r="5558" spans="1:1">
      <c r="A5558" s="32"/>
    </row>
    <row r="5559" spans="1:1">
      <c r="A5559" s="32"/>
    </row>
    <row r="5560" spans="1:1">
      <c r="A5560" s="32"/>
    </row>
    <row r="5561" spans="1:1">
      <c r="A5561" s="32"/>
    </row>
    <row r="5562" spans="1:1">
      <c r="A5562" s="32"/>
    </row>
    <row r="5563" spans="1:1">
      <c r="A5563" s="32"/>
    </row>
    <row r="5564" spans="1:1">
      <c r="A5564" s="32"/>
    </row>
    <row r="5565" spans="1:1">
      <c r="A5565" s="32"/>
    </row>
    <row r="5566" spans="1:1">
      <c r="A5566" s="32"/>
    </row>
    <row r="5567" spans="1:1">
      <c r="A5567" s="32"/>
    </row>
    <row r="5568" spans="1:1">
      <c r="A5568" s="32"/>
    </row>
    <row r="5569" spans="1:1">
      <c r="A5569" s="32"/>
    </row>
    <row r="5570" spans="1:1">
      <c r="A5570" s="32"/>
    </row>
    <row r="5571" spans="1:1">
      <c r="A5571" s="32"/>
    </row>
    <row r="5572" spans="1:1">
      <c r="A5572" s="32"/>
    </row>
    <row r="5573" spans="1:1">
      <c r="A5573" s="32"/>
    </row>
    <row r="5574" spans="1:1">
      <c r="A5574" s="32"/>
    </row>
    <row r="5575" spans="1:1">
      <c r="A5575" s="32"/>
    </row>
    <row r="5576" spans="1:1">
      <c r="A5576" s="32"/>
    </row>
    <row r="5577" spans="1:1">
      <c r="A5577" s="32"/>
    </row>
    <row r="5578" spans="1:1">
      <c r="A5578" s="32"/>
    </row>
    <row r="5579" spans="1:1">
      <c r="A5579" s="32"/>
    </row>
    <row r="5580" spans="1:1">
      <c r="A5580" s="32"/>
    </row>
    <row r="5581" spans="1:1">
      <c r="A5581" s="32"/>
    </row>
    <row r="5582" spans="1:1">
      <c r="A5582" s="32"/>
    </row>
    <row r="5583" spans="1:1">
      <c r="A5583" s="32"/>
    </row>
    <row r="5584" spans="1:1">
      <c r="A5584" s="32"/>
    </row>
    <row r="5585" spans="1:1">
      <c r="A5585" s="32"/>
    </row>
    <row r="5586" spans="1:1">
      <c r="A5586" s="32"/>
    </row>
    <row r="5587" spans="1:1">
      <c r="A5587" s="32"/>
    </row>
    <row r="5588" spans="1:1">
      <c r="A5588" s="32"/>
    </row>
    <row r="5589" spans="1:1">
      <c r="A5589" s="32"/>
    </row>
    <row r="5590" spans="1:1">
      <c r="A5590" s="32"/>
    </row>
    <row r="5591" spans="1:1">
      <c r="A5591" s="32"/>
    </row>
    <row r="5592" spans="1:1">
      <c r="A5592" s="32"/>
    </row>
    <row r="5593" spans="1:1">
      <c r="A5593" s="32"/>
    </row>
    <row r="5594" spans="1:1">
      <c r="A5594" s="32"/>
    </row>
    <row r="5595" spans="1:1">
      <c r="A5595" s="32"/>
    </row>
    <row r="5596" spans="1:1">
      <c r="A5596" s="32"/>
    </row>
    <row r="5597" spans="1:1">
      <c r="A5597" s="32"/>
    </row>
    <row r="5598" spans="1:1">
      <c r="A5598" s="32"/>
    </row>
    <row r="5599" spans="1:1">
      <c r="A5599" s="32"/>
    </row>
    <row r="5600" spans="1:1">
      <c r="A5600" s="32"/>
    </row>
    <row r="5601" spans="1:1">
      <c r="A5601" s="32"/>
    </row>
    <row r="5602" spans="1:1">
      <c r="A5602" s="32"/>
    </row>
    <row r="5603" spans="1:1">
      <c r="A5603" s="32"/>
    </row>
    <row r="5604" spans="1:1">
      <c r="A5604" s="32"/>
    </row>
    <row r="5605" spans="1:1">
      <c r="A5605" s="32"/>
    </row>
    <row r="5606" spans="1:1">
      <c r="A5606" s="32"/>
    </row>
    <row r="5607" spans="1:1">
      <c r="A5607" s="32"/>
    </row>
    <row r="5608" spans="1:1">
      <c r="A5608" s="32"/>
    </row>
    <row r="5609" spans="1:1">
      <c r="A5609" s="32"/>
    </row>
    <row r="5610" spans="1:1">
      <c r="A5610" s="32"/>
    </row>
    <row r="5611" spans="1:1">
      <c r="A5611" s="32"/>
    </row>
    <row r="5612" spans="1:1">
      <c r="A5612" s="32"/>
    </row>
    <row r="5613" spans="1:1">
      <c r="A5613" s="32"/>
    </row>
    <row r="5614" spans="1:1">
      <c r="A5614" s="32"/>
    </row>
    <row r="5615" spans="1:1">
      <c r="A5615" s="32"/>
    </row>
    <row r="5616" spans="1:1">
      <c r="A5616" s="32"/>
    </row>
    <row r="5617" spans="1:1">
      <c r="A5617" s="32"/>
    </row>
    <row r="5618" spans="1:1">
      <c r="A5618" s="32"/>
    </row>
    <row r="5619" spans="1:1">
      <c r="A5619" s="32"/>
    </row>
    <row r="5620" spans="1:1">
      <c r="A5620" s="32"/>
    </row>
    <row r="5621" spans="1:1">
      <c r="A5621" s="32"/>
    </row>
    <row r="5622" spans="1:1">
      <c r="A5622" s="32"/>
    </row>
    <row r="5623" spans="1:1">
      <c r="A5623" s="32"/>
    </row>
    <row r="5624" spans="1:1">
      <c r="A5624" s="32"/>
    </row>
    <row r="5625" spans="1:1">
      <c r="A5625" s="32"/>
    </row>
    <row r="5626" spans="1:1">
      <c r="A5626" s="32"/>
    </row>
    <row r="5627" spans="1:1">
      <c r="A5627" s="32"/>
    </row>
    <row r="5628" spans="1:1">
      <c r="A5628" s="32"/>
    </row>
    <row r="5629" spans="1:1">
      <c r="A5629" s="32"/>
    </row>
    <row r="5630" spans="1:1">
      <c r="A5630" s="32"/>
    </row>
    <row r="5631" spans="1:1">
      <c r="A5631" s="32"/>
    </row>
    <row r="5632" spans="1:1">
      <c r="A5632" s="32"/>
    </row>
    <row r="5633" spans="1:1">
      <c r="A5633" s="32"/>
    </row>
    <row r="5634" spans="1:1">
      <c r="A5634" s="32"/>
    </row>
    <row r="5635" spans="1:1">
      <c r="A5635" s="32"/>
    </row>
    <row r="5636" spans="1:1">
      <c r="A5636" s="32"/>
    </row>
    <row r="5637" spans="1:1">
      <c r="A5637" s="32"/>
    </row>
    <row r="5638" spans="1:1">
      <c r="A5638" s="32"/>
    </row>
    <row r="5639" spans="1:1">
      <c r="A5639" s="32"/>
    </row>
    <row r="5640" spans="1:1">
      <c r="A5640" s="32"/>
    </row>
    <row r="5641" spans="1:1">
      <c r="A5641" s="32"/>
    </row>
    <row r="5642" spans="1:1">
      <c r="A5642" s="32"/>
    </row>
    <row r="5643" spans="1:1">
      <c r="A5643" s="32"/>
    </row>
    <row r="5644" spans="1:1">
      <c r="A5644" s="32"/>
    </row>
    <row r="5645" spans="1:1">
      <c r="A5645" s="32"/>
    </row>
    <row r="5646" spans="1:1">
      <c r="A5646" s="32"/>
    </row>
    <row r="5647" spans="1:1">
      <c r="A5647" s="32"/>
    </row>
    <row r="5648" spans="1:1">
      <c r="A5648" s="32"/>
    </row>
    <row r="5649" spans="1:1">
      <c r="A5649" s="32"/>
    </row>
    <row r="5650" spans="1:1">
      <c r="A5650" s="32"/>
    </row>
    <row r="5651" spans="1:1">
      <c r="A5651" s="32"/>
    </row>
    <row r="5652" spans="1:1">
      <c r="A5652" s="32"/>
    </row>
    <row r="5653" spans="1:1">
      <c r="A5653" s="32"/>
    </row>
    <row r="5654" spans="1:1">
      <c r="A5654" s="32"/>
    </row>
    <row r="5655" spans="1:1">
      <c r="A5655" s="32"/>
    </row>
    <row r="5656" spans="1:1">
      <c r="A5656" s="32"/>
    </row>
    <row r="5657" spans="1:1">
      <c r="A5657" s="32"/>
    </row>
    <row r="5658" spans="1:1">
      <c r="A5658" s="32"/>
    </row>
    <row r="5659" spans="1:1">
      <c r="A5659" s="32"/>
    </row>
    <row r="5660" spans="1:1">
      <c r="A5660" s="32"/>
    </row>
    <row r="5661" spans="1:1">
      <c r="A5661" s="32"/>
    </row>
    <row r="5662" spans="1:1">
      <c r="A5662" s="32"/>
    </row>
    <row r="5663" spans="1:1">
      <c r="A5663" s="32"/>
    </row>
    <row r="5664" spans="1:1">
      <c r="A5664" s="32"/>
    </row>
    <row r="5665" spans="1:1">
      <c r="A5665" s="32"/>
    </row>
    <row r="5666" spans="1:1">
      <c r="A5666" s="32"/>
    </row>
    <row r="5667" spans="1:1">
      <c r="A5667" s="32"/>
    </row>
    <row r="5668" spans="1:1">
      <c r="A5668" s="32"/>
    </row>
    <row r="5669" spans="1:1">
      <c r="A5669" s="32"/>
    </row>
    <row r="5670" spans="1:1">
      <c r="A5670" s="32"/>
    </row>
    <row r="5671" spans="1:1">
      <c r="A5671" s="32"/>
    </row>
    <row r="5672" spans="1:1">
      <c r="A5672" s="32"/>
    </row>
    <row r="5673" spans="1:1">
      <c r="A5673" s="32"/>
    </row>
    <row r="5674" spans="1:1">
      <c r="A5674" s="32"/>
    </row>
    <row r="5675" spans="1:1">
      <c r="A5675" s="32"/>
    </row>
    <row r="5676" spans="1:1">
      <c r="A5676" s="32"/>
    </row>
    <row r="5677" spans="1:1">
      <c r="A5677" s="32"/>
    </row>
    <row r="5678" spans="1:1">
      <c r="A5678" s="32"/>
    </row>
    <row r="5679" spans="1:1">
      <c r="A5679" s="32"/>
    </row>
    <row r="5680" spans="1:1">
      <c r="A5680" s="32"/>
    </row>
    <row r="5681" spans="1:1">
      <c r="A5681" s="32"/>
    </row>
    <row r="5682" spans="1:1">
      <c r="A5682" s="32"/>
    </row>
    <row r="5683" spans="1:1">
      <c r="A5683" s="32"/>
    </row>
    <row r="5684" spans="1:1">
      <c r="A5684" s="32"/>
    </row>
    <row r="5685" spans="1:1">
      <c r="A5685" s="32"/>
    </row>
    <row r="5686" spans="1:1">
      <c r="A5686" s="32"/>
    </row>
    <row r="5687" spans="1:1">
      <c r="A5687" s="32"/>
    </row>
    <row r="5688" spans="1:1">
      <c r="A5688" s="32"/>
    </row>
    <row r="5689" spans="1:1">
      <c r="A5689" s="32"/>
    </row>
    <row r="5690" spans="1:1">
      <c r="A5690" s="32"/>
    </row>
    <row r="5691" spans="1:1">
      <c r="A5691" s="32"/>
    </row>
    <row r="5692" spans="1:1">
      <c r="A5692" s="32"/>
    </row>
    <row r="5693" spans="1:1">
      <c r="A5693" s="32"/>
    </row>
    <row r="5694" spans="1:1">
      <c r="A5694" s="32"/>
    </row>
    <row r="5695" spans="1:1">
      <c r="A5695" s="32"/>
    </row>
    <row r="5696" spans="1:1">
      <c r="A5696" s="32"/>
    </row>
    <row r="5697" spans="1:1">
      <c r="A5697" s="32"/>
    </row>
    <row r="5698" spans="1:1">
      <c r="A5698" s="32"/>
    </row>
    <row r="5699" spans="1:1">
      <c r="A5699" s="32"/>
    </row>
    <row r="5700" spans="1:1">
      <c r="A5700" s="32"/>
    </row>
    <row r="5701" spans="1:1">
      <c r="A5701" s="32"/>
    </row>
    <row r="5702" spans="1:1">
      <c r="A5702" s="32"/>
    </row>
    <row r="5703" spans="1:1">
      <c r="A5703" s="32"/>
    </row>
    <row r="5704" spans="1:1">
      <c r="A5704" s="32"/>
    </row>
    <row r="5705" spans="1:1">
      <c r="A5705" s="32"/>
    </row>
    <row r="5706" spans="1:1">
      <c r="A5706" s="32"/>
    </row>
    <row r="5707" spans="1:1">
      <c r="A5707" s="32"/>
    </row>
    <row r="5708" spans="1:1">
      <c r="A5708" s="32"/>
    </row>
    <row r="5709" spans="1:1">
      <c r="A5709" s="32"/>
    </row>
    <row r="5710" spans="1:1">
      <c r="A5710" s="32"/>
    </row>
    <row r="5711" spans="1:1">
      <c r="A5711" s="32"/>
    </row>
    <row r="5712" spans="1:1">
      <c r="A5712" s="32"/>
    </row>
    <row r="5713" spans="1:1">
      <c r="A5713" s="32"/>
    </row>
    <row r="5714" spans="1:1">
      <c r="A5714" s="32"/>
    </row>
    <row r="5715" spans="1:1">
      <c r="A5715" s="32"/>
    </row>
    <row r="5716" spans="1:1">
      <c r="A5716" s="32"/>
    </row>
    <row r="5717" spans="1:1">
      <c r="A5717" s="32"/>
    </row>
    <row r="5718" spans="1:1">
      <c r="A5718" s="32"/>
    </row>
    <row r="5719" spans="1:1">
      <c r="A5719" s="32"/>
    </row>
    <row r="5720" spans="1:1">
      <c r="A5720" s="32"/>
    </row>
    <row r="5721" spans="1:1">
      <c r="A5721" s="32"/>
    </row>
    <row r="5722" spans="1:1">
      <c r="A5722" s="32"/>
    </row>
    <row r="5723" spans="1:1">
      <c r="A5723" s="32"/>
    </row>
    <row r="5724" spans="1:1">
      <c r="A5724" s="32"/>
    </row>
    <row r="5725" spans="1:1">
      <c r="A5725" s="32"/>
    </row>
    <row r="5726" spans="1:1">
      <c r="A5726" s="32"/>
    </row>
    <row r="5727" spans="1:1">
      <c r="A5727" s="32"/>
    </row>
    <row r="5728" spans="1:1">
      <c r="A5728" s="32"/>
    </row>
    <row r="5729" spans="1:1">
      <c r="A5729" s="32"/>
    </row>
    <row r="5730" spans="1:1">
      <c r="A5730" s="32"/>
    </row>
    <row r="5731" spans="1:1">
      <c r="A5731" s="32"/>
    </row>
    <row r="5732" spans="1:1">
      <c r="A5732" s="32"/>
    </row>
    <row r="5733" spans="1:1">
      <c r="A5733" s="32"/>
    </row>
    <row r="5734" spans="1:1">
      <c r="A5734" s="32"/>
    </row>
    <row r="5735" spans="1:1">
      <c r="A5735" s="32"/>
    </row>
    <row r="5736" spans="1:1">
      <c r="A5736" s="32"/>
    </row>
    <row r="5737" spans="1:1">
      <c r="A5737" s="32"/>
    </row>
    <row r="5738" spans="1:1">
      <c r="A5738" s="32"/>
    </row>
    <row r="5739" spans="1:1">
      <c r="A5739" s="32"/>
    </row>
    <row r="5740" spans="1:1">
      <c r="A5740" s="32"/>
    </row>
    <row r="5741" spans="1:1">
      <c r="A5741" s="32"/>
    </row>
    <row r="5742" spans="1:1">
      <c r="A5742" s="32"/>
    </row>
    <row r="5743" spans="1:1">
      <c r="A5743" s="32"/>
    </row>
    <row r="5744" spans="1:1">
      <c r="A5744" s="32"/>
    </row>
    <row r="5745" spans="1:1">
      <c r="A5745" s="32"/>
    </row>
    <row r="5746" spans="1:1">
      <c r="A5746" s="32"/>
    </row>
    <row r="5747" spans="1:1">
      <c r="A5747" s="32"/>
    </row>
    <row r="5748" spans="1:1">
      <c r="A5748" s="32"/>
    </row>
    <row r="5749" spans="1:1">
      <c r="A5749" s="32"/>
    </row>
    <row r="5750" spans="1:1">
      <c r="A5750" s="32"/>
    </row>
    <row r="5751" spans="1:1">
      <c r="A5751" s="32"/>
    </row>
    <row r="5752" spans="1:1">
      <c r="A5752" s="32"/>
    </row>
    <row r="5753" spans="1:1">
      <c r="A5753" s="32"/>
    </row>
    <row r="5754" spans="1:1">
      <c r="A5754" s="32"/>
    </row>
    <row r="5755" spans="1:1">
      <c r="A5755" s="32"/>
    </row>
    <row r="5756" spans="1:1">
      <c r="A5756" s="32"/>
    </row>
    <row r="5757" spans="1:1">
      <c r="A5757" s="32"/>
    </row>
    <row r="5758" spans="1:1">
      <c r="A5758" s="32"/>
    </row>
    <row r="5759" spans="1:1">
      <c r="A5759" s="32"/>
    </row>
    <row r="5760" spans="1:1">
      <c r="A5760" s="32"/>
    </row>
    <row r="5761" spans="1:1">
      <c r="A5761" s="32"/>
    </row>
    <row r="5762" spans="1:1">
      <c r="A5762" s="32"/>
    </row>
    <row r="5763" spans="1:1">
      <c r="A5763" s="32"/>
    </row>
    <row r="5764" spans="1:1">
      <c r="A5764" s="32"/>
    </row>
    <row r="5765" spans="1:1">
      <c r="A5765" s="32"/>
    </row>
    <row r="5766" spans="1:1">
      <c r="A5766" s="32"/>
    </row>
    <row r="5767" spans="1:1">
      <c r="A5767" s="32"/>
    </row>
    <row r="5768" spans="1:1">
      <c r="A5768" s="32"/>
    </row>
    <row r="5769" spans="1:1">
      <c r="A5769" s="32"/>
    </row>
    <row r="5770" spans="1:1">
      <c r="A5770" s="32"/>
    </row>
    <row r="5771" spans="1:1">
      <c r="A5771" s="32"/>
    </row>
    <row r="5772" spans="1:1">
      <c r="A5772" s="32"/>
    </row>
    <row r="5773" spans="1:1">
      <c r="A5773" s="32"/>
    </row>
    <row r="5774" spans="1:1">
      <c r="A5774" s="32"/>
    </row>
    <row r="5775" spans="1:1">
      <c r="A5775" s="32"/>
    </row>
    <row r="5776" spans="1:1">
      <c r="A5776" s="32"/>
    </row>
    <row r="5777" spans="1:1">
      <c r="A5777" s="32"/>
    </row>
    <row r="5778" spans="1:1">
      <c r="A5778" s="32"/>
    </row>
    <row r="5779" spans="1:1">
      <c r="A5779" s="32"/>
    </row>
    <row r="5780" spans="1:1">
      <c r="A5780" s="32"/>
    </row>
    <row r="5781" spans="1:1">
      <c r="A5781" s="32"/>
    </row>
    <row r="5782" spans="1:1">
      <c r="A5782" s="32"/>
    </row>
    <row r="5783" spans="1:1">
      <c r="A5783" s="32"/>
    </row>
    <row r="5784" spans="1:1">
      <c r="A5784" s="32"/>
    </row>
    <row r="5785" spans="1:1">
      <c r="A5785" s="32"/>
    </row>
    <row r="5786" spans="1:1">
      <c r="A5786" s="32"/>
    </row>
    <row r="5787" spans="1:1">
      <c r="A5787" s="32"/>
    </row>
    <row r="5788" spans="1:1">
      <c r="A5788" s="32"/>
    </row>
    <row r="5789" spans="1:1">
      <c r="A5789" s="32"/>
    </row>
    <row r="5790" spans="1:1">
      <c r="A5790" s="32"/>
    </row>
    <row r="5791" spans="1:1">
      <c r="A5791" s="32"/>
    </row>
    <row r="5792" spans="1:1">
      <c r="A5792" s="32"/>
    </row>
    <row r="5793" spans="1:1">
      <c r="A5793" s="32"/>
    </row>
    <row r="5794" spans="1:1">
      <c r="A5794" s="32"/>
    </row>
    <row r="5795" spans="1:1">
      <c r="A5795" s="32"/>
    </row>
    <row r="5796" spans="1:1">
      <c r="A5796" s="32"/>
    </row>
    <row r="5797" spans="1:1">
      <c r="A5797" s="32"/>
    </row>
    <row r="5798" spans="1:1">
      <c r="A5798" s="32"/>
    </row>
    <row r="5799" spans="1:1">
      <c r="A5799" s="32"/>
    </row>
    <row r="5800" spans="1:1">
      <c r="A5800" s="32"/>
    </row>
    <row r="5801" spans="1:1">
      <c r="A5801" s="32"/>
    </row>
    <row r="5802" spans="1:1">
      <c r="A5802" s="32"/>
    </row>
    <row r="5803" spans="1:1">
      <c r="A5803" s="32"/>
    </row>
    <row r="5804" spans="1:1">
      <c r="A5804" s="32"/>
    </row>
    <row r="5805" spans="1:1">
      <c r="A5805" s="32"/>
    </row>
    <row r="5806" spans="1:1">
      <c r="A5806" s="32"/>
    </row>
    <row r="5807" spans="1:1">
      <c r="A5807" s="32"/>
    </row>
    <row r="5808" spans="1:1">
      <c r="A5808" s="32"/>
    </row>
    <row r="5809" spans="1:1">
      <c r="A5809" s="32"/>
    </row>
    <row r="5810" spans="1:1">
      <c r="A5810" s="32"/>
    </row>
    <row r="5811" spans="1:1">
      <c r="A5811" s="32"/>
    </row>
    <row r="5812" spans="1:1">
      <c r="A5812" s="32"/>
    </row>
    <row r="5813" spans="1:1">
      <c r="A5813" s="32"/>
    </row>
    <row r="5814" spans="1:1">
      <c r="A5814" s="32"/>
    </row>
    <row r="5815" spans="1:1">
      <c r="A5815" s="32"/>
    </row>
    <row r="5816" spans="1:1">
      <c r="A5816" s="32"/>
    </row>
    <row r="5817" spans="1:1">
      <c r="A5817" s="32"/>
    </row>
    <row r="5818" spans="1:1">
      <c r="A5818" s="32"/>
    </row>
    <row r="5819" spans="1:1">
      <c r="A5819" s="32"/>
    </row>
    <row r="5820" spans="1:1">
      <c r="A5820" s="32"/>
    </row>
    <row r="5821" spans="1:1">
      <c r="A5821" s="32"/>
    </row>
    <row r="5822" spans="1:1">
      <c r="A5822" s="32"/>
    </row>
    <row r="5823" spans="1:1">
      <c r="A5823" s="32"/>
    </row>
    <row r="5824" spans="1:1">
      <c r="A5824" s="32"/>
    </row>
    <row r="5825" spans="1:1">
      <c r="A5825" s="32"/>
    </row>
    <row r="5826" spans="1:1">
      <c r="A5826" s="32"/>
    </row>
    <row r="5827" spans="1:1">
      <c r="A5827" s="32"/>
    </row>
    <row r="5828" spans="1:1">
      <c r="A5828" s="32"/>
    </row>
    <row r="5829" spans="1:1">
      <c r="A5829" s="32"/>
    </row>
    <row r="5830" spans="1:1">
      <c r="A5830" s="32"/>
    </row>
    <row r="5831" spans="1:1">
      <c r="A5831" s="32"/>
    </row>
    <row r="5832" spans="1:1">
      <c r="A5832" s="32"/>
    </row>
    <row r="5833" spans="1:1">
      <c r="A5833" s="32"/>
    </row>
    <row r="5834" spans="1:1">
      <c r="A5834" s="32"/>
    </row>
    <row r="5835" spans="1:1">
      <c r="A5835" s="32"/>
    </row>
    <row r="5836" spans="1:1">
      <c r="A5836" s="32"/>
    </row>
    <row r="5837" spans="1:1">
      <c r="A5837" s="32"/>
    </row>
    <row r="5838" spans="1:1">
      <c r="A5838" s="32"/>
    </row>
    <row r="5839" spans="1:1">
      <c r="A5839" s="32"/>
    </row>
    <row r="5840" spans="1:1">
      <c r="A5840" s="32"/>
    </row>
    <row r="5841" spans="1:1">
      <c r="A5841" s="32"/>
    </row>
    <row r="5842" spans="1:1">
      <c r="A5842" s="32"/>
    </row>
    <row r="5843" spans="1:1">
      <c r="A5843" s="32"/>
    </row>
    <row r="5844" spans="1:1">
      <c r="A5844" s="32"/>
    </row>
    <row r="5845" spans="1:1">
      <c r="A5845" s="32"/>
    </row>
    <row r="5846" spans="1:1">
      <c r="A5846" s="32"/>
    </row>
    <row r="5847" spans="1:1">
      <c r="A5847" s="32"/>
    </row>
    <row r="5848" spans="1:1">
      <c r="A5848" s="32"/>
    </row>
    <row r="5849" spans="1:1">
      <c r="A5849" s="32"/>
    </row>
    <row r="5850" spans="1:1">
      <c r="A5850" s="32"/>
    </row>
    <row r="5851" spans="1:1">
      <c r="A5851" s="32"/>
    </row>
    <row r="5852" spans="1:1">
      <c r="A5852" s="32"/>
    </row>
    <row r="5853" spans="1:1">
      <c r="A5853" s="32"/>
    </row>
    <row r="5854" spans="1:1">
      <c r="A5854" s="32"/>
    </row>
    <row r="5855" spans="1:1">
      <c r="A5855" s="32"/>
    </row>
    <row r="5856" spans="1:1">
      <c r="A5856" s="32"/>
    </row>
    <row r="5857" spans="1:1">
      <c r="A5857" s="32"/>
    </row>
    <row r="5858" spans="1:1">
      <c r="A5858" s="32"/>
    </row>
    <row r="5859" spans="1:1">
      <c r="A5859" s="32"/>
    </row>
    <row r="5860" spans="1:1">
      <c r="A5860" s="32"/>
    </row>
    <row r="5861" spans="1:1">
      <c r="A5861" s="32"/>
    </row>
    <row r="5862" spans="1:1">
      <c r="A5862" s="32"/>
    </row>
    <row r="5863" spans="1:1">
      <c r="A5863" s="32"/>
    </row>
    <row r="5864" spans="1:1">
      <c r="A5864" s="32"/>
    </row>
    <row r="5865" spans="1:1">
      <c r="A5865" s="32"/>
    </row>
    <row r="5866" spans="1:1">
      <c r="A5866" s="32"/>
    </row>
    <row r="5867" spans="1:1">
      <c r="A5867" s="32"/>
    </row>
    <row r="5868" spans="1:1">
      <c r="A5868" s="32"/>
    </row>
    <row r="5869" spans="1:1">
      <c r="A5869" s="32"/>
    </row>
    <row r="5870" spans="1:1">
      <c r="A5870" s="32"/>
    </row>
    <row r="5871" spans="1:1">
      <c r="A5871" s="32"/>
    </row>
    <row r="5872" spans="1:1">
      <c r="A5872" s="32"/>
    </row>
    <row r="5873" spans="1:1">
      <c r="A5873" s="32"/>
    </row>
    <row r="5874" spans="1:1">
      <c r="A5874" s="32"/>
    </row>
    <row r="5875" spans="1:1">
      <c r="A5875" s="32"/>
    </row>
    <row r="5876" spans="1:1">
      <c r="A5876" s="32"/>
    </row>
    <row r="5877" spans="1:1">
      <c r="A5877" s="32"/>
    </row>
    <row r="5878" spans="1:1">
      <c r="A5878" s="32"/>
    </row>
    <row r="5879" spans="1:1">
      <c r="A5879" s="32"/>
    </row>
    <row r="5880" spans="1:1">
      <c r="A5880" s="32"/>
    </row>
    <row r="5881" spans="1:1">
      <c r="A5881" s="32"/>
    </row>
    <row r="5882" spans="1:1">
      <c r="A5882" s="32"/>
    </row>
    <row r="5883" spans="1:1">
      <c r="A5883" s="32"/>
    </row>
    <row r="5884" spans="1:1">
      <c r="A5884" s="32"/>
    </row>
    <row r="5885" spans="1:1">
      <c r="A5885" s="32"/>
    </row>
    <row r="5886" spans="1:1">
      <c r="A5886" s="32"/>
    </row>
    <row r="5887" spans="1:1">
      <c r="A5887" s="32"/>
    </row>
    <row r="5888" spans="1:1">
      <c r="A5888" s="32"/>
    </row>
    <row r="5889" spans="1:1">
      <c r="A5889" s="32"/>
    </row>
    <row r="5890" spans="1:1">
      <c r="A5890" s="32"/>
    </row>
    <row r="5891" spans="1:1">
      <c r="A5891" s="32"/>
    </row>
    <row r="5892" spans="1:1">
      <c r="A5892" s="32"/>
    </row>
    <row r="5893" spans="1:1">
      <c r="A5893" s="32"/>
    </row>
    <row r="5894" spans="1:1">
      <c r="A5894" s="32"/>
    </row>
    <row r="5895" spans="1:1">
      <c r="A5895" s="32"/>
    </row>
    <row r="5896" spans="1:1">
      <c r="A5896" s="32"/>
    </row>
    <row r="5897" spans="1:1">
      <c r="A5897" s="32"/>
    </row>
    <row r="5898" spans="1:1">
      <c r="A5898" s="32"/>
    </row>
    <row r="5899" spans="1:1">
      <c r="A5899" s="32"/>
    </row>
    <row r="5900" spans="1:1">
      <c r="A5900" s="32"/>
    </row>
    <row r="5901" spans="1:1">
      <c r="A5901" s="32"/>
    </row>
    <row r="5902" spans="1:1">
      <c r="A5902" s="32"/>
    </row>
    <row r="5903" spans="1:1">
      <c r="A5903" s="32"/>
    </row>
    <row r="5904" spans="1:1">
      <c r="A5904" s="32"/>
    </row>
    <row r="5905" spans="1:1">
      <c r="A5905" s="32"/>
    </row>
    <row r="5906" spans="1:1">
      <c r="A5906" s="32"/>
    </row>
    <row r="5907" spans="1:1">
      <c r="A5907" s="32"/>
    </row>
    <row r="5908" spans="1:1">
      <c r="A5908" s="32"/>
    </row>
    <row r="5909" spans="1:1">
      <c r="A5909" s="32"/>
    </row>
    <row r="5910" spans="1:1">
      <c r="A5910" s="32"/>
    </row>
    <row r="5911" spans="1:1">
      <c r="A5911" s="32"/>
    </row>
    <row r="5912" spans="1:1">
      <c r="A5912" s="32"/>
    </row>
    <row r="5913" spans="1:1">
      <c r="A5913" s="32"/>
    </row>
    <row r="5914" spans="1:1">
      <c r="A5914" s="32"/>
    </row>
    <row r="5915" spans="1:1">
      <c r="A5915" s="32"/>
    </row>
    <row r="5916" spans="1:1">
      <c r="A5916" s="32"/>
    </row>
    <row r="5917" spans="1:1">
      <c r="A5917" s="32"/>
    </row>
    <row r="5918" spans="1:1">
      <c r="A5918" s="32"/>
    </row>
    <row r="5919" spans="1:1">
      <c r="A5919" s="32"/>
    </row>
    <row r="5920" spans="1:1">
      <c r="A5920" s="32"/>
    </row>
    <row r="5921" spans="1:1">
      <c r="A5921" s="32"/>
    </row>
    <row r="5922" spans="1:1">
      <c r="A5922" s="32"/>
    </row>
    <row r="5923" spans="1:1">
      <c r="A5923" s="32"/>
    </row>
    <row r="5924" spans="1:1">
      <c r="A5924" s="32"/>
    </row>
    <row r="5925" spans="1:1">
      <c r="A5925" s="32"/>
    </row>
    <row r="5926" spans="1:1">
      <c r="A5926" s="32"/>
    </row>
    <row r="5927" spans="1:1">
      <c r="A5927" s="32"/>
    </row>
    <row r="5928" spans="1:1">
      <c r="A5928" s="32"/>
    </row>
    <row r="5929" spans="1:1">
      <c r="A5929" s="32"/>
    </row>
    <row r="5930" spans="1:1">
      <c r="A5930" s="32"/>
    </row>
    <row r="5931" spans="1:1">
      <c r="A5931" s="32"/>
    </row>
    <row r="5932" spans="1:1">
      <c r="A5932" s="32"/>
    </row>
    <row r="5933" spans="1:1">
      <c r="A5933" s="32"/>
    </row>
    <row r="5934" spans="1:1">
      <c r="A5934" s="32"/>
    </row>
    <row r="5935" spans="1:1">
      <c r="A5935" s="32"/>
    </row>
    <row r="5936" spans="1:1">
      <c r="A5936" s="32"/>
    </row>
    <row r="5937" spans="1:1">
      <c r="A5937" s="32"/>
    </row>
    <row r="5938" spans="1:1">
      <c r="A5938" s="32"/>
    </row>
    <row r="5939" spans="1:1">
      <c r="A5939" s="32"/>
    </row>
    <row r="5940" spans="1:1">
      <c r="A5940" s="32"/>
    </row>
    <row r="5941" spans="1:1">
      <c r="A5941" s="32"/>
    </row>
    <row r="5942" spans="1:1">
      <c r="A5942" s="32"/>
    </row>
    <row r="5943" spans="1:1">
      <c r="A5943" s="32"/>
    </row>
    <row r="5944" spans="1:1">
      <c r="A5944" s="32"/>
    </row>
    <row r="5945" spans="1:1">
      <c r="A5945" s="32"/>
    </row>
    <row r="5946" spans="1:1">
      <c r="A5946" s="32"/>
    </row>
    <row r="5947" spans="1:1">
      <c r="A5947" s="32"/>
    </row>
    <row r="5948" spans="1:1">
      <c r="A5948" s="32"/>
    </row>
    <row r="5949" spans="1:1">
      <c r="A5949" s="32"/>
    </row>
    <row r="5950" spans="1:1">
      <c r="A5950" s="32"/>
    </row>
    <row r="5951" spans="1:1">
      <c r="A5951" s="32"/>
    </row>
    <row r="5952" spans="1:1">
      <c r="A5952" s="32"/>
    </row>
    <row r="5953" spans="1:1">
      <c r="A5953" s="32"/>
    </row>
    <row r="5954" spans="1:1">
      <c r="A5954" s="32"/>
    </row>
    <row r="5955" spans="1:1">
      <c r="A5955" s="32"/>
    </row>
    <row r="5956" spans="1:1">
      <c r="A5956" s="32"/>
    </row>
    <row r="5957" spans="1:1">
      <c r="A5957" s="32"/>
    </row>
    <row r="5958" spans="1:1">
      <c r="A5958" s="32"/>
    </row>
    <row r="5959" spans="1:1">
      <c r="A5959" s="32"/>
    </row>
    <row r="5960" spans="1:1">
      <c r="A5960" s="32"/>
    </row>
    <row r="5961" spans="1:1">
      <c r="A5961" s="32"/>
    </row>
    <row r="5962" spans="1:1">
      <c r="A5962" s="32"/>
    </row>
    <row r="5963" spans="1:1">
      <c r="A5963" s="32"/>
    </row>
    <row r="5964" spans="1:1">
      <c r="A5964" s="32"/>
    </row>
    <row r="5965" spans="1:1">
      <c r="A5965" s="32"/>
    </row>
    <row r="5966" spans="1:1">
      <c r="A5966" s="32"/>
    </row>
    <row r="5967" spans="1:1">
      <c r="A5967" s="32"/>
    </row>
    <row r="5968" spans="1:1">
      <c r="A5968" s="32"/>
    </row>
    <row r="5969" spans="1:1">
      <c r="A5969" s="32"/>
    </row>
    <row r="5970" spans="1:1">
      <c r="A5970" s="32"/>
    </row>
    <row r="5971" spans="1:1">
      <c r="A5971" s="32"/>
    </row>
    <row r="5972" spans="1:1">
      <c r="A5972" s="32"/>
    </row>
    <row r="5973" spans="1:1">
      <c r="A5973" s="32"/>
    </row>
    <row r="5974" spans="1:1">
      <c r="A5974" s="32"/>
    </row>
    <row r="5975" spans="1:1">
      <c r="A5975" s="32"/>
    </row>
    <row r="5976" spans="1:1">
      <c r="A5976" s="32"/>
    </row>
    <row r="5977" spans="1:1">
      <c r="A5977" s="32"/>
    </row>
    <row r="5978" spans="1:1">
      <c r="A5978" s="32"/>
    </row>
    <row r="5979" spans="1:1">
      <c r="A5979" s="32"/>
    </row>
    <row r="5980" spans="1:1">
      <c r="A5980" s="32"/>
    </row>
    <row r="5981" spans="1:1">
      <c r="A5981" s="32"/>
    </row>
    <row r="5982" spans="1:1">
      <c r="A5982" s="32"/>
    </row>
    <row r="5983" spans="1:1">
      <c r="A5983" s="32"/>
    </row>
    <row r="5984" spans="1:1">
      <c r="A5984" s="32"/>
    </row>
    <row r="5985" spans="1:1">
      <c r="A5985" s="32"/>
    </row>
    <row r="5986" spans="1:1">
      <c r="A5986" s="32"/>
    </row>
    <row r="5987" spans="1:1">
      <c r="A5987" s="32"/>
    </row>
    <row r="5988" spans="1:1">
      <c r="A5988" s="32"/>
    </row>
    <row r="5989" spans="1:1">
      <c r="A5989" s="32"/>
    </row>
    <row r="5990" spans="1:1">
      <c r="A5990" s="32"/>
    </row>
    <row r="5991" spans="1:1">
      <c r="A5991" s="32"/>
    </row>
    <row r="5992" spans="1:1">
      <c r="A5992" s="32"/>
    </row>
    <row r="5993" spans="1:1">
      <c r="A5993" s="32"/>
    </row>
    <row r="5994" spans="1:1">
      <c r="A5994" s="32"/>
    </row>
    <row r="5995" spans="1:1">
      <c r="A5995" s="32"/>
    </row>
    <row r="5996" spans="1:1">
      <c r="A5996" s="32"/>
    </row>
    <row r="5997" spans="1:1">
      <c r="A5997" s="32"/>
    </row>
    <row r="5998" spans="1:1">
      <c r="A5998" s="32"/>
    </row>
    <row r="5999" spans="1:1">
      <c r="A5999" s="32"/>
    </row>
    <row r="6000" spans="1:1">
      <c r="A6000" s="32"/>
    </row>
    <row r="6001" spans="1:1">
      <c r="A6001" s="32"/>
    </row>
    <row r="6002" spans="1:1">
      <c r="A6002" s="32"/>
    </row>
    <row r="6003" spans="1:1">
      <c r="A6003" s="32"/>
    </row>
    <row r="6004" spans="1:1">
      <c r="A6004" s="32"/>
    </row>
    <row r="6005" spans="1:1">
      <c r="A6005" s="32"/>
    </row>
    <row r="6006" spans="1:1">
      <c r="A6006" s="32"/>
    </row>
    <row r="6007" spans="1:1">
      <c r="A6007" s="32"/>
    </row>
    <row r="6008" spans="1:1">
      <c r="A6008" s="32"/>
    </row>
    <row r="6009" spans="1:1">
      <c r="A6009" s="32"/>
    </row>
    <row r="6010" spans="1:1">
      <c r="A6010" s="32"/>
    </row>
    <row r="6011" spans="1:1">
      <c r="A6011" s="32"/>
    </row>
    <row r="6012" spans="1:1">
      <c r="A6012" s="32"/>
    </row>
    <row r="6013" spans="1:1">
      <c r="A6013" s="32"/>
    </row>
    <row r="6014" spans="1:1">
      <c r="A6014" s="32"/>
    </row>
    <row r="6015" spans="1:1">
      <c r="A6015" s="32"/>
    </row>
    <row r="6016" spans="1:1">
      <c r="A6016" s="32"/>
    </row>
    <row r="6017" spans="1:1">
      <c r="A6017" s="32"/>
    </row>
    <row r="6018" spans="1:1">
      <c r="A6018" s="32"/>
    </row>
    <row r="6019" spans="1:1">
      <c r="A6019" s="32"/>
    </row>
    <row r="6020" spans="1:1">
      <c r="A6020" s="32"/>
    </row>
    <row r="6021" spans="1:1">
      <c r="A6021" s="32"/>
    </row>
    <row r="6022" spans="1:1">
      <c r="A6022" s="32"/>
    </row>
    <row r="6023" spans="1:1">
      <c r="A6023" s="32"/>
    </row>
    <row r="6024" spans="1:1">
      <c r="A6024" s="32"/>
    </row>
    <row r="6025" spans="1:1">
      <c r="A6025" s="32"/>
    </row>
    <row r="6026" spans="1:1">
      <c r="A6026" s="32"/>
    </row>
    <row r="6027" spans="1:1">
      <c r="A6027" s="32"/>
    </row>
    <row r="6028" spans="1:1">
      <c r="A6028" s="32"/>
    </row>
    <row r="6029" spans="1:1">
      <c r="A6029" s="32"/>
    </row>
    <row r="6030" spans="1:1">
      <c r="A6030" s="32"/>
    </row>
    <row r="6031" spans="1:1">
      <c r="A6031" s="32"/>
    </row>
    <row r="6032" spans="1:1">
      <c r="A6032" s="32"/>
    </row>
    <row r="6033" spans="1:1">
      <c r="A6033" s="32"/>
    </row>
    <row r="6034" spans="1:1">
      <c r="A6034" s="32"/>
    </row>
    <row r="6035" spans="1:1">
      <c r="A6035" s="32"/>
    </row>
    <row r="6036" spans="1:1">
      <c r="A6036" s="32"/>
    </row>
    <row r="6037" spans="1:1">
      <c r="A6037" s="32"/>
    </row>
    <row r="6038" spans="1:1">
      <c r="A6038" s="32"/>
    </row>
    <row r="6039" spans="1:1">
      <c r="A6039" s="32"/>
    </row>
    <row r="6040" spans="1:1">
      <c r="A6040" s="32"/>
    </row>
    <row r="6041" spans="1:1">
      <c r="A6041" s="32"/>
    </row>
    <row r="6042" spans="1:1">
      <c r="A6042" s="32"/>
    </row>
    <row r="6043" spans="1:1">
      <c r="A6043" s="32"/>
    </row>
    <row r="6044" spans="1:1">
      <c r="A6044" s="32"/>
    </row>
    <row r="6045" spans="1:1">
      <c r="A6045" s="32"/>
    </row>
    <row r="6046" spans="1:1">
      <c r="A6046" s="32"/>
    </row>
    <row r="6047" spans="1:1">
      <c r="A6047" s="32"/>
    </row>
    <row r="6048" spans="1:1">
      <c r="A6048" s="32"/>
    </row>
    <row r="6049" spans="1:1">
      <c r="A6049" s="32"/>
    </row>
    <row r="6050" spans="1:1">
      <c r="A6050" s="32"/>
    </row>
    <row r="6051" spans="1:1">
      <c r="A6051" s="32"/>
    </row>
    <row r="6052" spans="1:1">
      <c r="A6052" s="32"/>
    </row>
    <row r="6053" spans="1:1">
      <c r="A6053" s="32"/>
    </row>
    <row r="6054" spans="1:1">
      <c r="A6054" s="32"/>
    </row>
    <row r="6055" spans="1:1">
      <c r="A6055" s="32"/>
    </row>
    <row r="6056" spans="1:1">
      <c r="A6056" s="32"/>
    </row>
    <row r="6057" spans="1:1">
      <c r="A6057" s="32"/>
    </row>
    <row r="6058" spans="1:1">
      <c r="A6058" s="32"/>
    </row>
    <row r="6059" spans="1:1">
      <c r="A6059" s="32"/>
    </row>
    <row r="6060" spans="1:1">
      <c r="A6060" s="32"/>
    </row>
    <row r="6061" spans="1:1">
      <c r="A6061" s="32"/>
    </row>
    <row r="6062" spans="1:1">
      <c r="A6062" s="32"/>
    </row>
    <row r="6063" spans="1:1">
      <c r="A6063" s="32"/>
    </row>
    <row r="6064" spans="1:1">
      <c r="A6064" s="32"/>
    </row>
    <row r="6065" spans="1:1">
      <c r="A6065" s="32"/>
    </row>
    <row r="6066" spans="1:1">
      <c r="A6066" s="32"/>
    </row>
    <row r="6067" spans="1:1">
      <c r="A6067" s="32"/>
    </row>
    <row r="6068" spans="1:1">
      <c r="A6068" s="32"/>
    </row>
    <row r="6069" spans="1:1">
      <c r="A6069" s="32"/>
    </row>
    <row r="6070" spans="1:1">
      <c r="A6070" s="32"/>
    </row>
    <row r="6071" spans="1:1">
      <c r="A6071" s="32"/>
    </row>
    <row r="6072" spans="1:1">
      <c r="A6072" s="32"/>
    </row>
    <row r="6073" spans="1:1">
      <c r="A6073" s="32"/>
    </row>
    <row r="6074" spans="1:1">
      <c r="A6074" s="32"/>
    </row>
    <row r="6075" spans="1:1">
      <c r="A6075" s="32"/>
    </row>
    <row r="6076" spans="1:1">
      <c r="A6076" s="32"/>
    </row>
    <row r="6077" spans="1:1">
      <c r="A6077" s="32"/>
    </row>
    <row r="6078" spans="1:1">
      <c r="A6078" s="32"/>
    </row>
    <row r="6079" spans="1:1">
      <c r="A6079" s="32"/>
    </row>
    <row r="6080" spans="1:1">
      <c r="A6080" s="32"/>
    </row>
    <row r="6081" spans="1:1">
      <c r="A6081" s="32"/>
    </row>
    <row r="6082" spans="1:1">
      <c r="A6082" s="32"/>
    </row>
    <row r="6083" spans="1:1">
      <c r="A6083" s="32"/>
    </row>
    <row r="6084" spans="1:1">
      <c r="A6084" s="32"/>
    </row>
    <row r="6085" spans="1:1">
      <c r="A6085" s="32"/>
    </row>
    <row r="6086" spans="1:1">
      <c r="A6086" s="32"/>
    </row>
    <row r="6087" spans="1:1">
      <c r="A6087" s="32"/>
    </row>
    <row r="6088" spans="1:1">
      <c r="A6088" s="32"/>
    </row>
    <row r="6089" spans="1:1">
      <c r="A6089" s="32"/>
    </row>
    <row r="6090" spans="1:1">
      <c r="A6090" s="32"/>
    </row>
    <row r="6091" spans="1:1">
      <c r="A6091" s="32"/>
    </row>
    <row r="6092" spans="1:1">
      <c r="A6092" s="32"/>
    </row>
    <row r="6093" spans="1:1">
      <c r="A6093" s="32"/>
    </row>
    <row r="6094" spans="1:1">
      <c r="A6094" s="32"/>
    </row>
    <row r="6095" spans="1:1">
      <c r="A6095" s="32"/>
    </row>
    <row r="6096" spans="1:1">
      <c r="A6096" s="32"/>
    </row>
    <row r="6097" spans="1:1">
      <c r="A6097" s="32"/>
    </row>
    <row r="6098" spans="1:1">
      <c r="A6098" s="32"/>
    </row>
    <row r="6099" spans="1:1">
      <c r="A6099" s="32"/>
    </row>
    <row r="6100" spans="1:1">
      <c r="A6100" s="32"/>
    </row>
    <row r="6101" spans="1:1">
      <c r="A6101" s="32"/>
    </row>
    <row r="6102" spans="1:1">
      <c r="A6102" s="32"/>
    </row>
    <row r="6103" spans="1:1">
      <c r="A6103" s="32"/>
    </row>
    <row r="6104" spans="1:1">
      <c r="A6104" s="32"/>
    </row>
    <row r="6105" spans="1:1">
      <c r="A6105" s="32"/>
    </row>
    <row r="6106" spans="1:1">
      <c r="A6106" s="32"/>
    </row>
    <row r="6107" spans="1:1">
      <c r="A6107" s="32"/>
    </row>
    <row r="6108" spans="1:1">
      <c r="A6108" s="32"/>
    </row>
    <row r="6109" spans="1:1">
      <c r="A6109" s="32"/>
    </row>
    <row r="6110" spans="1:1">
      <c r="A6110" s="32"/>
    </row>
    <row r="6111" spans="1:1">
      <c r="A6111" s="32"/>
    </row>
    <row r="6112" spans="1:1">
      <c r="A6112" s="32"/>
    </row>
    <row r="6113" spans="1:1">
      <c r="A6113" s="32"/>
    </row>
    <row r="6114" spans="1:1">
      <c r="A6114" s="32"/>
    </row>
    <row r="6115" spans="1:1">
      <c r="A6115" s="32"/>
    </row>
    <row r="6116" spans="1:1">
      <c r="A6116" s="32"/>
    </row>
    <row r="6117" spans="1:1">
      <c r="A6117" s="32"/>
    </row>
    <row r="6118" spans="1:1">
      <c r="A6118" s="32"/>
    </row>
    <row r="6119" spans="1:1">
      <c r="A6119" s="32"/>
    </row>
    <row r="6120" spans="1:1">
      <c r="A6120" s="32"/>
    </row>
    <row r="6121" spans="1:1">
      <c r="A6121" s="32"/>
    </row>
    <row r="6122" spans="1:1">
      <c r="A6122" s="32"/>
    </row>
    <row r="6123" spans="1:1">
      <c r="A6123" s="32"/>
    </row>
    <row r="6124" spans="1:1">
      <c r="A6124" s="32"/>
    </row>
    <row r="6125" spans="1:1">
      <c r="A6125" s="32"/>
    </row>
    <row r="6126" spans="1:1">
      <c r="A6126" s="32"/>
    </row>
    <row r="6127" spans="1:1">
      <c r="A6127" s="32"/>
    </row>
    <row r="6128" spans="1:1">
      <c r="A6128" s="32"/>
    </row>
    <row r="6129" spans="1:1">
      <c r="A6129" s="32"/>
    </row>
    <row r="6130" spans="1:1">
      <c r="A6130" s="32"/>
    </row>
    <row r="6131" spans="1:1">
      <c r="A6131" s="32"/>
    </row>
    <row r="6132" spans="1:1">
      <c r="A6132" s="32"/>
    </row>
    <row r="6133" spans="1:1">
      <c r="A6133" s="32"/>
    </row>
    <row r="6134" spans="1:1">
      <c r="A6134" s="32"/>
    </row>
    <row r="6135" spans="1:1">
      <c r="A6135" s="32"/>
    </row>
    <row r="6136" spans="1:1">
      <c r="A6136" s="32"/>
    </row>
    <row r="6137" spans="1:1">
      <c r="A6137" s="32"/>
    </row>
    <row r="6138" spans="1:1">
      <c r="A6138" s="32"/>
    </row>
    <row r="6139" spans="1:1">
      <c r="A6139" s="32"/>
    </row>
    <row r="6140" spans="1:1">
      <c r="A6140" s="32"/>
    </row>
    <row r="6141" spans="1:1">
      <c r="A6141" s="32"/>
    </row>
    <row r="6142" spans="1:1">
      <c r="A6142" s="32"/>
    </row>
    <row r="6143" spans="1:1">
      <c r="A6143" s="32"/>
    </row>
    <row r="6144" spans="1:1">
      <c r="A6144" s="32"/>
    </row>
    <row r="6145" spans="1:1">
      <c r="A6145" s="32"/>
    </row>
    <row r="6146" spans="1:1">
      <c r="A6146" s="32"/>
    </row>
    <row r="6147" spans="1:1">
      <c r="A6147" s="32"/>
    </row>
    <row r="6148" spans="1:1">
      <c r="A6148" s="32"/>
    </row>
    <row r="6149" spans="1:1">
      <c r="A6149" s="32"/>
    </row>
    <row r="6150" spans="1:1">
      <c r="A6150" s="32"/>
    </row>
    <row r="6151" spans="1:1">
      <c r="A6151" s="32"/>
    </row>
    <row r="6152" spans="1:1">
      <c r="A6152" s="32"/>
    </row>
    <row r="6153" spans="1:1">
      <c r="A6153" s="32"/>
    </row>
    <row r="6154" spans="1:1">
      <c r="A6154" s="32"/>
    </row>
    <row r="6155" spans="1:1">
      <c r="A6155" s="32"/>
    </row>
    <row r="6156" spans="1:1">
      <c r="A6156" s="32"/>
    </row>
    <row r="6157" spans="1:1">
      <c r="A6157" s="32"/>
    </row>
    <row r="6158" spans="1:1">
      <c r="A6158" s="32"/>
    </row>
    <row r="6159" spans="1:1">
      <c r="A6159" s="32"/>
    </row>
    <row r="6160" spans="1:1">
      <c r="A6160" s="32"/>
    </row>
    <row r="6161" spans="1:1">
      <c r="A6161" s="32"/>
    </row>
    <row r="6162" spans="1:1">
      <c r="A6162" s="32"/>
    </row>
    <row r="6163" spans="1:1">
      <c r="A6163" s="32"/>
    </row>
    <row r="6164" spans="1:1">
      <c r="A6164" s="32"/>
    </row>
    <row r="6165" spans="1:1">
      <c r="A6165" s="32"/>
    </row>
    <row r="6166" spans="1:1">
      <c r="A6166" s="32"/>
    </row>
    <row r="6167" spans="1:1">
      <c r="A6167" s="32"/>
    </row>
    <row r="6168" spans="1:1">
      <c r="A6168" s="32"/>
    </row>
    <row r="6169" spans="1:1">
      <c r="A6169" s="32"/>
    </row>
    <row r="6170" spans="1:1">
      <c r="A6170" s="32"/>
    </row>
    <row r="6171" spans="1:1">
      <c r="A6171" s="32"/>
    </row>
    <row r="6172" spans="1:1">
      <c r="A6172" s="32"/>
    </row>
    <row r="6173" spans="1:1">
      <c r="A6173" s="32"/>
    </row>
    <row r="6174" spans="1:1">
      <c r="A6174" s="32"/>
    </row>
    <row r="6175" spans="1:1">
      <c r="A6175" s="32"/>
    </row>
    <row r="6176" spans="1:1">
      <c r="A6176" s="32"/>
    </row>
    <row r="6177" spans="1:1">
      <c r="A6177" s="32"/>
    </row>
    <row r="6178" spans="1:1">
      <c r="A6178" s="32"/>
    </row>
    <row r="6179" spans="1:1">
      <c r="A6179" s="32"/>
    </row>
    <row r="6180" spans="1:1">
      <c r="A6180" s="32"/>
    </row>
    <row r="6181" spans="1:1">
      <c r="A6181" s="32"/>
    </row>
    <row r="6182" spans="1:1">
      <c r="A6182" s="32"/>
    </row>
    <row r="6183" spans="1:1">
      <c r="A6183" s="32"/>
    </row>
    <row r="6184" spans="1:1">
      <c r="A6184" s="32"/>
    </row>
    <row r="6185" spans="1:1">
      <c r="A6185" s="32"/>
    </row>
    <row r="6186" spans="1:1">
      <c r="A6186" s="32"/>
    </row>
    <row r="6187" spans="1:1">
      <c r="A6187" s="32"/>
    </row>
    <row r="6188" spans="1:1">
      <c r="A6188" s="32"/>
    </row>
    <row r="6189" spans="1:1">
      <c r="A6189" s="32"/>
    </row>
    <row r="6190" spans="1:1">
      <c r="A6190" s="32"/>
    </row>
    <row r="6191" spans="1:1">
      <c r="A6191" s="32"/>
    </row>
    <row r="6192" spans="1:1">
      <c r="A6192" s="32"/>
    </row>
    <row r="6193" spans="1:1">
      <c r="A6193" s="32"/>
    </row>
    <row r="6194" spans="1:1">
      <c r="A6194" s="32"/>
    </row>
    <row r="6195" spans="1:1">
      <c r="A6195" s="32"/>
    </row>
    <row r="6196" spans="1:1">
      <c r="A6196" s="32"/>
    </row>
    <row r="6197" spans="1:1">
      <c r="A6197" s="32"/>
    </row>
    <row r="6198" spans="1:1">
      <c r="A6198" s="32"/>
    </row>
    <row r="6199" spans="1:1">
      <c r="A6199" s="32"/>
    </row>
    <row r="6200" spans="1:1">
      <c r="A6200" s="32"/>
    </row>
    <row r="6201" spans="1:1">
      <c r="A6201" s="32"/>
    </row>
    <row r="6202" spans="1:1">
      <c r="A6202" s="32"/>
    </row>
    <row r="6203" spans="1:1">
      <c r="A6203" s="32"/>
    </row>
    <row r="6204" spans="1:1">
      <c r="A6204" s="32"/>
    </row>
    <row r="6205" spans="1:1">
      <c r="A6205" s="32"/>
    </row>
    <row r="6206" spans="1:1">
      <c r="A6206" s="32"/>
    </row>
    <row r="6207" spans="1:1">
      <c r="A6207" s="32"/>
    </row>
    <row r="6208" spans="1:1">
      <c r="A6208" s="32"/>
    </row>
    <row r="6209" spans="1:1">
      <c r="A6209" s="32"/>
    </row>
    <row r="6210" spans="1:1">
      <c r="A6210" s="32"/>
    </row>
    <row r="6211" spans="1:1">
      <c r="A6211" s="32"/>
    </row>
    <row r="6212" spans="1:1">
      <c r="A6212" s="32"/>
    </row>
    <row r="6213" spans="1:1">
      <c r="A6213" s="32"/>
    </row>
    <row r="6214" spans="1:1">
      <c r="A6214" s="32"/>
    </row>
    <row r="6215" spans="1:1">
      <c r="A6215" s="32"/>
    </row>
    <row r="6216" spans="1:1">
      <c r="A6216" s="32"/>
    </row>
    <row r="6217" spans="1:1">
      <c r="A6217" s="32"/>
    </row>
    <row r="6218" spans="1:1">
      <c r="A6218" s="32"/>
    </row>
    <row r="6219" spans="1:1">
      <c r="A6219" s="32"/>
    </row>
    <row r="6220" spans="1:1">
      <c r="A6220" s="32"/>
    </row>
    <row r="6221" spans="1:1">
      <c r="A6221" s="32"/>
    </row>
    <row r="6222" spans="1:1">
      <c r="A6222" s="32"/>
    </row>
    <row r="6223" spans="1:1">
      <c r="A6223" s="32"/>
    </row>
    <row r="6224" spans="1:1">
      <c r="A6224" s="32"/>
    </row>
    <row r="6225" spans="1:1">
      <c r="A6225" s="32"/>
    </row>
    <row r="6226" spans="1:1">
      <c r="A6226" s="32"/>
    </row>
    <row r="6227" spans="1:1">
      <c r="A6227" s="32"/>
    </row>
    <row r="6228" spans="1:1">
      <c r="A6228" s="32"/>
    </row>
    <row r="6229" spans="1:1">
      <c r="A6229" s="32"/>
    </row>
    <row r="6230" spans="1:1">
      <c r="A6230" s="32"/>
    </row>
    <row r="6231" spans="1:1">
      <c r="A6231" s="32"/>
    </row>
    <row r="6232" spans="1:1">
      <c r="A6232" s="32"/>
    </row>
    <row r="6233" spans="1:1">
      <c r="A6233" s="32"/>
    </row>
    <row r="6234" spans="1:1">
      <c r="A6234" s="32"/>
    </row>
    <row r="6235" spans="1:1">
      <c r="A6235" s="32"/>
    </row>
    <row r="6236" spans="1:1">
      <c r="A6236" s="32"/>
    </row>
    <row r="6237" spans="1:1">
      <c r="A6237" s="32"/>
    </row>
    <row r="6238" spans="1:1">
      <c r="A6238" s="32"/>
    </row>
    <row r="6239" spans="1:1">
      <c r="A6239" s="32"/>
    </row>
    <row r="6240" spans="1:1">
      <c r="A6240" s="32"/>
    </row>
    <row r="6241" spans="1:1">
      <c r="A6241" s="32"/>
    </row>
    <row r="6242" spans="1:1">
      <c r="A6242" s="32"/>
    </row>
    <row r="6243" spans="1:1">
      <c r="A6243" s="32"/>
    </row>
    <row r="6244" spans="1:1">
      <c r="A6244" s="32"/>
    </row>
    <row r="6245" spans="1:1">
      <c r="A6245" s="32"/>
    </row>
    <row r="6246" spans="1:1">
      <c r="A6246" s="32"/>
    </row>
    <row r="6247" spans="1:1">
      <c r="A6247" s="32"/>
    </row>
    <row r="6248" spans="1:1">
      <c r="A6248" s="32"/>
    </row>
    <row r="6249" spans="1:1">
      <c r="A6249" s="32"/>
    </row>
    <row r="6250" spans="1:1">
      <c r="A6250" s="32"/>
    </row>
    <row r="6251" spans="1:1">
      <c r="A6251" s="32"/>
    </row>
    <row r="6252" spans="1:1">
      <c r="A6252" s="32"/>
    </row>
    <row r="6253" spans="1:1">
      <c r="A6253" s="32"/>
    </row>
    <row r="6254" spans="1:1">
      <c r="A6254" s="32"/>
    </row>
    <row r="6255" spans="1:1">
      <c r="A6255" s="32"/>
    </row>
    <row r="6256" spans="1:1">
      <c r="A6256" s="32"/>
    </row>
    <row r="6257" spans="1:1">
      <c r="A6257" s="32"/>
    </row>
    <row r="6258" spans="1:1">
      <c r="A6258" s="32"/>
    </row>
    <row r="6259" spans="1:1">
      <c r="A6259" s="32"/>
    </row>
    <row r="6260" spans="1:1">
      <c r="A6260" s="32"/>
    </row>
    <row r="6261" spans="1:1">
      <c r="A6261" s="32"/>
    </row>
    <row r="6262" spans="1:1">
      <c r="A6262" s="32"/>
    </row>
    <row r="6263" spans="1:1">
      <c r="A6263" s="32"/>
    </row>
    <row r="6264" spans="1:1">
      <c r="A6264" s="32"/>
    </row>
    <row r="6265" spans="1:1">
      <c r="A6265" s="32"/>
    </row>
    <row r="6266" spans="1:1">
      <c r="A6266" s="32"/>
    </row>
    <row r="6267" spans="1:1">
      <c r="A6267" s="32"/>
    </row>
    <row r="6268" spans="1:1">
      <c r="A6268" s="32"/>
    </row>
    <row r="6269" spans="1:1">
      <c r="A6269" s="32"/>
    </row>
    <row r="6270" spans="1:1">
      <c r="A6270" s="32"/>
    </row>
    <row r="6271" spans="1:1">
      <c r="A6271" s="32"/>
    </row>
    <row r="6272" spans="1:1">
      <c r="A6272" s="32"/>
    </row>
    <row r="6273" spans="1:1">
      <c r="A6273" s="32"/>
    </row>
    <row r="6274" spans="1:1">
      <c r="A6274" s="32"/>
    </row>
    <row r="6275" spans="1:1">
      <c r="A6275" s="32"/>
    </row>
    <row r="6276" spans="1:1">
      <c r="A6276" s="32"/>
    </row>
    <row r="6277" spans="1:1">
      <c r="A6277" s="32"/>
    </row>
    <row r="6278" spans="1:1">
      <c r="A6278" s="32"/>
    </row>
    <row r="6279" spans="1:1">
      <c r="A6279" s="32"/>
    </row>
    <row r="6280" spans="1:1">
      <c r="A6280" s="32"/>
    </row>
    <row r="6281" spans="1:1">
      <c r="A6281" s="32"/>
    </row>
    <row r="6282" spans="1:1">
      <c r="A6282" s="32"/>
    </row>
    <row r="6283" spans="1:1">
      <c r="A6283" s="32"/>
    </row>
    <row r="6284" spans="1:1">
      <c r="A6284" s="32"/>
    </row>
    <row r="6285" spans="1:1">
      <c r="A6285" s="32"/>
    </row>
    <row r="6286" spans="1:1">
      <c r="A6286" s="32"/>
    </row>
    <row r="6287" spans="1:1">
      <c r="A6287" s="32"/>
    </row>
    <row r="6288" spans="1:1">
      <c r="A6288" s="32"/>
    </row>
    <row r="6289" spans="1:1">
      <c r="A6289" s="32"/>
    </row>
    <row r="6290" spans="1:1">
      <c r="A6290" s="32"/>
    </row>
    <row r="6291" spans="1:1">
      <c r="A6291" s="32"/>
    </row>
    <row r="6292" spans="1:1">
      <c r="A6292" s="32"/>
    </row>
    <row r="6293" spans="1:1">
      <c r="A6293" s="32"/>
    </row>
    <row r="6294" spans="1:1">
      <c r="A6294" s="32"/>
    </row>
    <row r="6295" spans="1:1">
      <c r="A6295" s="32"/>
    </row>
    <row r="6296" spans="1:1">
      <c r="A6296" s="32"/>
    </row>
    <row r="6297" spans="1:1">
      <c r="A6297" s="32"/>
    </row>
    <row r="6298" spans="1:1">
      <c r="A6298" s="32"/>
    </row>
    <row r="6299" spans="1:1">
      <c r="A6299" s="32"/>
    </row>
    <row r="6300" spans="1:1">
      <c r="A6300" s="32"/>
    </row>
    <row r="6301" spans="1:1">
      <c r="A6301" s="32"/>
    </row>
    <row r="6302" spans="1:1">
      <c r="A6302" s="32"/>
    </row>
    <row r="6303" spans="1:1">
      <c r="A6303" s="32"/>
    </row>
    <row r="6304" spans="1:1">
      <c r="A6304" s="32"/>
    </row>
    <row r="6305" spans="1:1">
      <c r="A6305" s="32"/>
    </row>
    <row r="6306" spans="1:1">
      <c r="A6306" s="32"/>
    </row>
    <row r="6307" spans="1:1">
      <c r="A6307" s="32"/>
    </row>
    <row r="6308" spans="1:1">
      <c r="A6308" s="32"/>
    </row>
    <row r="6309" spans="1:1">
      <c r="A6309" s="32"/>
    </row>
    <row r="6310" spans="1:1">
      <c r="A6310" s="32"/>
    </row>
    <row r="6311" spans="1:1">
      <c r="A6311" s="32"/>
    </row>
    <row r="6312" spans="1:1">
      <c r="A6312" s="32"/>
    </row>
    <row r="6313" spans="1:1">
      <c r="A6313" s="32"/>
    </row>
    <row r="6314" spans="1:1">
      <c r="A6314" s="32"/>
    </row>
    <row r="6315" spans="1:1">
      <c r="A6315" s="32"/>
    </row>
    <row r="6316" spans="1:1">
      <c r="A6316" s="32"/>
    </row>
    <row r="6317" spans="1:1">
      <c r="A6317" s="32"/>
    </row>
    <row r="6318" spans="1:1">
      <c r="A6318" s="32"/>
    </row>
    <row r="6319" spans="1:1">
      <c r="A6319" s="32"/>
    </row>
    <row r="6320" spans="1:1">
      <c r="A6320" s="32"/>
    </row>
    <row r="6321" spans="1:1">
      <c r="A6321" s="32"/>
    </row>
    <row r="6322" spans="1:1">
      <c r="A6322" s="32"/>
    </row>
    <row r="6323" spans="1:1">
      <c r="A6323" s="32"/>
    </row>
    <row r="6324" spans="1:1">
      <c r="A6324" s="32"/>
    </row>
    <row r="6325" spans="1:1">
      <c r="A6325" s="32"/>
    </row>
    <row r="6326" spans="1:1">
      <c r="A6326" s="32"/>
    </row>
    <row r="6327" spans="1:1">
      <c r="A6327" s="32"/>
    </row>
    <row r="6328" spans="1:1">
      <c r="A6328" s="32"/>
    </row>
    <row r="6329" spans="1:1">
      <c r="A6329" s="32"/>
    </row>
    <row r="6330" spans="1:1">
      <c r="A6330" s="32"/>
    </row>
    <row r="6331" spans="1:1">
      <c r="A6331" s="32"/>
    </row>
    <row r="6332" spans="1:1">
      <c r="A6332" s="32"/>
    </row>
    <row r="6333" spans="1:1">
      <c r="A6333" s="32"/>
    </row>
    <row r="6334" spans="1:1">
      <c r="A6334" s="32"/>
    </row>
    <row r="6335" spans="1:1">
      <c r="A6335" s="32"/>
    </row>
    <row r="6336" spans="1:1">
      <c r="A6336" s="32"/>
    </row>
    <row r="6337" spans="1:1">
      <c r="A6337" s="32"/>
    </row>
    <row r="6338" spans="1:1">
      <c r="A6338" s="32"/>
    </row>
    <row r="6339" spans="1:1">
      <c r="A6339" s="32"/>
    </row>
    <row r="6340" spans="1:1">
      <c r="A6340" s="32"/>
    </row>
    <row r="6341" spans="1:1">
      <c r="A6341" s="32"/>
    </row>
    <row r="6342" spans="1:1">
      <c r="A6342" s="32"/>
    </row>
    <row r="6343" spans="1:1">
      <c r="A6343" s="32"/>
    </row>
    <row r="6344" spans="1:1">
      <c r="A6344" s="32"/>
    </row>
    <row r="6345" spans="1:1">
      <c r="A6345" s="32"/>
    </row>
    <row r="6346" spans="1:1">
      <c r="A6346" s="32"/>
    </row>
    <row r="6347" spans="1:1">
      <c r="A6347" s="32"/>
    </row>
    <row r="6348" spans="1:1">
      <c r="A6348" s="32"/>
    </row>
    <row r="6349" spans="1:1">
      <c r="A6349" s="32"/>
    </row>
    <row r="6350" spans="1:1">
      <c r="A6350" s="32"/>
    </row>
    <row r="6351" spans="1:1">
      <c r="A6351" s="32"/>
    </row>
    <row r="6352" spans="1:1">
      <c r="A6352" s="32"/>
    </row>
    <row r="6353" spans="1:1">
      <c r="A6353" s="32"/>
    </row>
    <row r="6354" spans="1:1">
      <c r="A6354" s="32"/>
    </row>
    <row r="6355" spans="1:1">
      <c r="A6355" s="32"/>
    </row>
    <row r="6356" spans="1:1">
      <c r="A6356" s="32"/>
    </row>
    <row r="6357" spans="1:1">
      <c r="A6357" s="32"/>
    </row>
    <row r="6358" spans="1:1">
      <c r="A6358" s="32"/>
    </row>
    <row r="6359" spans="1:1">
      <c r="A6359" s="32"/>
    </row>
    <row r="6360" spans="1:1">
      <c r="A6360" s="32"/>
    </row>
    <row r="6361" spans="1:1">
      <c r="A6361" s="32"/>
    </row>
    <row r="6362" spans="1:1">
      <c r="A6362" s="32"/>
    </row>
    <row r="6363" spans="1:1">
      <c r="A6363" s="32"/>
    </row>
    <row r="6364" spans="1:1">
      <c r="A6364" s="32"/>
    </row>
    <row r="6365" spans="1:1">
      <c r="A6365" s="32"/>
    </row>
    <row r="6366" spans="1:1">
      <c r="A6366" s="32"/>
    </row>
    <row r="6367" spans="1:1">
      <c r="A6367" s="32"/>
    </row>
    <row r="6368" spans="1:1">
      <c r="A6368" s="32"/>
    </row>
    <row r="6369" spans="1:1">
      <c r="A6369" s="32"/>
    </row>
    <row r="6370" spans="1:1">
      <c r="A6370" s="32"/>
    </row>
    <row r="6371" spans="1:1">
      <c r="A6371" s="32"/>
    </row>
    <row r="6372" spans="1:1">
      <c r="A6372" s="32"/>
    </row>
    <row r="6373" spans="1:1">
      <c r="A6373" s="32"/>
    </row>
    <row r="6374" spans="1:1">
      <c r="A6374" s="32"/>
    </row>
    <row r="6375" spans="1:1">
      <c r="A6375" s="32"/>
    </row>
    <row r="6376" spans="1:1">
      <c r="A6376" s="32"/>
    </row>
    <row r="6377" spans="1:1">
      <c r="A6377" s="32"/>
    </row>
    <row r="6378" spans="1:1">
      <c r="A6378" s="32"/>
    </row>
    <row r="6379" spans="1:1">
      <c r="A6379" s="32"/>
    </row>
    <row r="6380" spans="1:1">
      <c r="A6380" s="32"/>
    </row>
    <row r="6381" spans="1:1">
      <c r="A6381" s="32"/>
    </row>
    <row r="6382" spans="1:1">
      <c r="A6382" s="32"/>
    </row>
    <row r="6383" spans="1:1">
      <c r="A6383" s="32"/>
    </row>
    <row r="6384" spans="1:1">
      <c r="A6384" s="32"/>
    </row>
    <row r="6385" spans="1:1">
      <c r="A6385" s="32"/>
    </row>
    <row r="6386" spans="1:1">
      <c r="A6386" s="32"/>
    </row>
    <row r="6387" spans="1:1">
      <c r="A6387" s="32"/>
    </row>
    <row r="6388" spans="1:1">
      <c r="A6388" s="32"/>
    </row>
    <row r="6389" spans="1:1">
      <c r="A6389" s="32"/>
    </row>
    <row r="6390" spans="1:1">
      <c r="A6390" s="32"/>
    </row>
    <row r="6391" spans="1:1">
      <c r="A6391" s="32"/>
    </row>
    <row r="6392" spans="1:1">
      <c r="A6392" s="32"/>
    </row>
    <row r="6393" spans="1:1">
      <c r="A6393" s="32"/>
    </row>
    <row r="6394" spans="1:1">
      <c r="A6394" s="32"/>
    </row>
    <row r="6395" spans="1:1">
      <c r="A6395" s="32"/>
    </row>
    <row r="6396" spans="1:1">
      <c r="A6396" s="32"/>
    </row>
    <row r="6397" spans="1:1">
      <c r="A6397" s="32"/>
    </row>
    <row r="6398" spans="1:1">
      <c r="A6398" s="32"/>
    </row>
    <row r="6399" spans="1:1">
      <c r="A6399" s="32"/>
    </row>
    <row r="6400" spans="1:1">
      <c r="A6400" s="32"/>
    </row>
    <row r="6401" spans="1:1">
      <c r="A6401" s="32"/>
    </row>
    <row r="6402" spans="1:1">
      <c r="A6402" s="32"/>
    </row>
    <row r="6403" spans="1:1">
      <c r="A6403" s="32"/>
    </row>
    <row r="6404" spans="1:1">
      <c r="A6404" s="32"/>
    </row>
    <row r="6405" spans="1:1">
      <c r="A6405" s="32"/>
    </row>
    <row r="6406" spans="1:1">
      <c r="A6406" s="32"/>
    </row>
    <row r="6407" spans="1:1">
      <c r="A6407" s="32"/>
    </row>
    <row r="6408" spans="1:1">
      <c r="A6408" s="32"/>
    </row>
    <row r="6409" spans="1:1">
      <c r="A6409" s="32"/>
    </row>
    <row r="6410" spans="1:1">
      <c r="A6410" s="32"/>
    </row>
    <row r="6411" spans="1:1">
      <c r="A6411" s="32"/>
    </row>
    <row r="6412" spans="1:1">
      <c r="A6412" s="32"/>
    </row>
    <row r="6413" spans="1:1">
      <c r="A6413" s="32"/>
    </row>
    <row r="6414" spans="1:1">
      <c r="A6414" s="32"/>
    </row>
    <row r="6415" spans="1:1">
      <c r="A6415" s="32"/>
    </row>
    <row r="6416" spans="1:1">
      <c r="A6416" s="32"/>
    </row>
    <row r="6417" spans="1:1">
      <c r="A6417" s="32"/>
    </row>
    <row r="6418" spans="1:1">
      <c r="A6418" s="32"/>
    </row>
    <row r="6419" spans="1:1">
      <c r="A6419" s="32"/>
    </row>
    <row r="6420" spans="1:1">
      <c r="A6420" s="32"/>
    </row>
    <row r="6421" spans="1:1">
      <c r="A6421" s="32"/>
    </row>
    <row r="6422" spans="1:1">
      <c r="A6422" s="32"/>
    </row>
    <row r="6423" spans="1:1">
      <c r="A6423" s="32"/>
    </row>
    <row r="6424" spans="1:1">
      <c r="A6424" s="32"/>
    </row>
    <row r="6425" spans="1:1">
      <c r="A6425" s="32"/>
    </row>
    <row r="6426" spans="1:1">
      <c r="A6426" s="32"/>
    </row>
    <row r="6427" spans="1:1">
      <c r="A6427" s="32"/>
    </row>
    <row r="6428" spans="1:1">
      <c r="A6428" s="32"/>
    </row>
    <row r="6429" spans="1:1">
      <c r="A6429" s="32"/>
    </row>
    <row r="6430" spans="1:1">
      <c r="A6430" s="32"/>
    </row>
    <row r="6431" spans="1:1">
      <c r="A6431" s="32"/>
    </row>
    <row r="6432" spans="1:1">
      <c r="A6432" s="32"/>
    </row>
    <row r="6433" spans="1:1">
      <c r="A6433" s="32"/>
    </row>
    <row r="6434" spans="1:1">
      <c r="A6434" s="32"/>
    </row>
    <row r="6435" spans="1:1">
      <c r="A6435" s="32"/>
    </row>
    <row r="6436" spans="1:1">
      <c r="A6436" s="32"/>
    </row>
    <row r="6437" spans="1:1">
      <c r="A6437" s="32"/>
    </row>
    <row r="6438" spans="1:1">
      <c r="A6438" s="32"/>
    </row>
    <row r="6439" spans="1:1">
      <c r="A6439" s="32"/>
    </row>
    <row r="6440" spans="1:1">
      <c r="A6440" s="32"/>
    </row>
    <row r="6441" spans="1:1">
      <c r="A6441" s="32"/>
    </row>
    <row r="6442" spans="1:1">
      <c r="A6442" s="32"/>
    </row>
    <row r="6443" spans="1:1">
      <c r="A6443" s="32"/>
    </row>
    <row r="6444" spans="1:1">
      <c r="A6444" s="32"/>
    </row>
    <row r="6445" spans="1:1">
      <c r="A6445" s="32"/>
    </row>
    <row r="6446" spans="1:1">
      <c r="A6446" s="32"/>
    </row>
    <row r="6447" spans="1:1">
      <c r="A6447" s="32"/>
    </row>
    <row r="6448" spans="1:1">
      <c r="A6448" s="32"/>
    </row>
    <row r="6449" spans="1:1">
      <c r="A6449" s="32"/>
    </row>
    <row r="6450" spans="1:1">
      <c r="A6450" s="32"/>
    </row>
    <row r="6451" spans="1:1">
      <c r="A6451" s="32"/>
    </row>
    <row r="6452" spans="1:1">
      <c r="A6452" s="32"/>
    </row>
    <row r="6453" spans="1:1">
      <c r="A6453" s="32"/>
    </row>
    <row r="6454" spans="1:1">
      <c r="A6454" s="32"/>
    </row>
    <row r="6455" spans="1:1">
      <c r="A6455" s="32"/>
    </row>
    <row r="6456" spans="1:1">
      <c r="A6456" s="32"/>
    </row>
    <row r="6457" spans="1:1">
      <c r="A6457" s="32"/>
    </row>
    <row r="6458" spans="1:1">
      <c r="A6458" s="32"/>
    </row>
    <row r="6459" spans="1:1">
      <c r="A6459" s="32"/>
    </row>
    <row r="6460" spans="1:1">
      <c r="A6460" s="32"/>
    </row>
    <row r="6461" spans="1:1">
      <c r="A6461" s="32"/>
    </row>
    <row r="6462" spans="1:1">
      <c r="A6462" s="32"/>
    </row>
    <row r="6463" spans="1:1">
      <c r="A6463" s="32"/>
    </row>
    <row r="6464" spans="1:1">
      <c r="A6464" s="32"/>
    </row>
    <row r="6465" spans="1:1">
      <c r="A6465" s="32"/>
    </row>
    <row r="6466" spans="1:1">
      <c r="A6466" s="32"/>
    </row>
    <row r="6467" spans="1:1">
      <c r="A6467" s="32"/>
    </row>
    <row r="6468" spans="1:1">
      <c r="A6468" s="32"/>
    </row>
    <row r="6469" spans="1:1">
      <c r="A6469" s="32"/>
    </row>
    <row r="6470" spans="1:1">
      <c r="A6470" s="32"/>
    </row>
    <row r="6471" spans="1:1">
      <c r="A6471" s="32"/>
    </row>
    <row r="6472" spans="1:1">
      <c r="A6472" s="32"/>
    </row>
    <row r="6473" spans="1:1">
      <c r="A6473" s="32"/>
    </row>
    <row r="6474" spans="1:1">
      <c r="A6474" s="32"/>
    </row>
    <row r="6475" spans="1:1">
      <c r="A6475" s="32"/>
    </row>
    <row r="6476" spans="1:1">
      <c r="A6476" s="32"/>
    </row>
    <row r="6477" spans="1:1">
      <c r="A6477" s="32"/>
    </row>
    <row r="6478" spans="1:1">
      <c r="A6478" s="32"/>
    </row>
    <row r="6479" spans="1:1">
      <c r="A6479" s="32"/>
    </row>
    <row r="6480" spans="1:1">
      <c r="A6480" s="32"/>
    </row>
    <row r="6481" spans="1:1">
      <c r="A6481" s="32"/>
    </row>
    <row r="6482" spans="1:1">
      <c r="A6482" s="32"/>
    </row>
    <row r="6483" spans="1:1">
      <c r="A6483" s="32"/>
    </row>
    <row r="6484" spans="1:1">
      <c r="A6484" s="32"/>
    </row>
    <row r="6485" spans="1:1">
      <c r="A6485" s="32"/>
    </row>
    <row r="6486" spans="1:1">
      <c r="A6486" s="32"/>
    </row>
    <row r="6487" spans="1:1">
      <c r="A6487" s="32"/>
    </row>
    <row r="6488" spans="1:1">
      <c r="A6488" s="32"/>
    </row>
    <row r="6489" spans="1:1">
      <c r="A6489" s="32"/>
    </row>
    <row r="6490" spans="1:1">
      <c r="A6490" s="32"/>
    </row>
    <row r="6491" spans="1:1">
      <c r="A6491" s="32"/>
    </row>
    <row r="6492" spans="1:1">
      <c r="A6492" s="32"/>
    </row>
    <row r="6493" spans="1:1">
      <c r="A6493" s="32"/>
    </row>
    <row r="6494" spans="1:1">
      <c r="A6494" s="32"/>
    </row>
    <row r="6495" spans="1:1">
      <c r="A6495" s="32"/>
    </row>
    <row r="6496" spans="1:1">
      <c r="A6496" s="32"/>
    </row>
    <row r="6497" spans="1:1">
      <c r="A6497" s="32"/>
    </row>
    <row r="6498" spans="1:1">
      <c r="A6498" s="32"/>
    </row>
    <row r="6499" spans="1:1">
      <c r="A6499" s="32"/>
    </row>
    <row r="6500" spans="1:1">
      <c r="A6500" s="32"/>
    </row>
    <row r="6501" spans="1:1">
      <c r="A6501" s="32"/>
    </row>
    <row r="6502" spans="1:1">
      <c r="A6502" s="32"/>
    </row>
    <row r="6503" spans="1:1">
      <c r="A6503" s="32"/>
    </row>
    <row r="6504" spans="1:1">
      <c r="A6504" s="32"/>
    </row>
    <row r="6505" spans="1:1">
      <c r="A6505" s="32"/>
    </row>
    <row r="6506" spans="1:1">
      <c r="A6506" s="32"/>
    </row>
    <row r="6507" spans="1:1">
      <c r="A6507" s="32"/>
    </row>
    <row r="6508" spans="1:1">
      <c r="A6508" s="32"/>
    </row>
    <row r="6509" spans="1:1">
      <c r="A6509" s="32"/>
    </row>
    <row r="6510" spans="1:1">
      <c r="A6510" s="32"/>
    </row>
    <row r="6511" spans="1:1">
      <c r="A6511" s="32"/>
    </row>
    <row r="6512" spans="1:1">
      <c r="A6512" s="32"/>
    </row>
    <row r="6513" spans="1:1">
      <c r="A6513" s="32"/>
    </row>
    <row r="6514" spans="1:1">
      <c r="A6514" s="32"/>
    </row>
    <row r="6515" spans="1:1">
      <c r="A6515" s="32"/>
    </row>
    <row r="6516" spans="1:1">
      <c r="A6516" s="32"/>
    </row>
    <row r="6517" spans="1:1">
      <c r="A6517" s="32"/>
    </row>
    <row r="6518" spans="1:1">
      <c r="A6518" s="32"/>
    </row>
    <row r="6519" spans="1:1">
      <c r="A6519" s="32"/>
    </row>
    <row r="6520" spans="1:1">
      <c r="A6520" s="32"/>
    </row>
    <row r="6521" spans="1:1">
      <c r="A6521" s="32"/>
    </row>
    <row r="6522" spans="1:1">
      <c r="A6522" s="32"/>
    </row>
    <row r="6523" spans="1:1">
      <c r="A6523" s="32"/>
    </row>
    <row r="6524" spans="1:1">
      <c r="A6524" s="32"/>
    </row>
    <row r="6525" spans="1:1">
      <c r="A6525" s="32"/>
    </row>
    <row r="6526" spans="1:1">
      <c r="A6526" s="32"/>
    </row>
    <row r="6527" spans="1:1">
      <c r="A6527" s="32"/>
    </row>
    <row r="6528" spans="1:1">
      <c r="A6528" s="32"/>
    </row>
    <row r="6529" spans="1:1">
      <c r="A6529" s="32"/>
    </row>
    <row r="6530" spans="1:1">
      <c r="A6530" s="32"/>
    </row>
    <row r="6531" spans="1:1">
      <c r="A6531" s="32"/>
    </row>
    <row r="6532" spans="1:1">
      <c r="A6532" s="32"/>
    </row>
    <row r="6533" spans="1:1">
      <c r="A6533" s="32"/>
    </row>
    <row r="6534" spans="1:1">
      <c r="A6534" s="32"/>
    </row>
    <row r="6535" spans="1:1">
      <c r="A6535" s="32"/>
    </row>
    <row r="6536" spans="1:1">
      <c r="A6536" s="32"/>
    </row>
    <row r="6537" spans="1:1">
      <c r="A6537" s="32"/>
    </row>
    <row r="6538" spans="1:1">
      <c r="A6538" s="32"/>
    </row>
    <row r="6539" spans="1:1">
      <c r="A6539" s="32"/>
    </row>
    <row r="6540" spans="1:1">
      <c r="A6540" s="32"/>
    </row>
    <row r="6541" spans="1:1">
      <c r="A6541" s="32"/>
    </row>
    <row r="6542" spans="1:1">
      <c r="A6542" s="32"/>
    </row>
    <row r="6543" spans="1:1">
      <c r="A6543" s="32"/>
    </row>
    <row r="6544" spans="1:1">
      <c r="A6544" s="32"/>
    </row>
    <row r="6545" spans="1:1">
      <c r="A6545" s="32"/>
    </row>
    <row r="6546" spans="1:1">
      <c r="A6546" s="32"/>
    </row>
    <row r="6547" spans="1:1">
      <c r="A6547" s="32"/>
    </row>
    <row r="6548" spans="1:1">
      <c r="A6548" s="32"/>
    </row>
    <row r="6549" spans="1:1">
      <c r="A6549" s="32"/>
    </row>
    <row r="6550" spans="1:1">
      <c r="A6550" s="32"/>
    </row>
    <row r="6551" spans="1:1">
      <c r="A6551" s="32"/>
    </row>
    <row r="6552" spans="1:1">
      <c r="A6552" s="32"/>
    </row>
    <row r="6553" spans="1:1">
      <c r="A6553" s="32"/>
    </row>
    <row r="6554" spans="1:1">
      <c r="A6554" s="32"/>
    </row>
    <row r="6555" spans="1:1">
      <c r="A6555" s="32"/>
    </row>
    <row r="6556" spans="1:1">
      <c r="A6556" s="32"/>
    </row>
    <row r="6557" spans="1:1">
      <c r="A6557" s="32"/>
    </row>
    <row r="6558" spans="1:1">
      <c r="A6558" s="32"/>
    </row>
    <row r="6559" spans="1:1">
      <c r="A6559" s="32"/>
    </row>
    <row r="6560" spans="1:1">
      <c r="A6560" s="32"/>
    </row>
    <row r="6561" spans="1:1">
      <c r="A6561" s="32"/>
    </row>
    <row r="6562" spans="1:1">
      <c r="A6562" s="32"/>
    </row>
    <row r="6563" spans="1:1">
      <c r="A6563" s="32"/>
    </row>
    <row r="6564" spans="1:1">
      <c r="A6564" s="32"/>
    </row>
    <row r="6565" spans="1:1">
      <c r="A6565" s="32"/>
    </row>
    <row r="6566" spans="1:1">
      <c r="A6566" s="32"/>
    </row>
    <row r="6567" spans="1:1">
      <c r="A6567" s="32"/>
    </row>
    <row r="6568" spans="1:1">
      <c r="A6568" s="32"/>
    </row>
    <row r="6569" spans="1:1">
      <c r="A6569" s="32"/>
    </row>
    <row r="6570" spans="1:1">
      <c r="A6570" s="32"/>
    </row>
    <row r="6571" spans="1:1">
      <c r="A6571" s="32"/>
    </row>
    <row r="6572" spans="1:1">
      <c r="A6572" s="32"/>
    </row>
    <row r="6573" spans="1:1">
      <c r="A6573" s="32"/>
    </row>
    <row r="6574" spans="1:1">
      <c r="A6574" s="32"/>
    </row>
    <row r="6575" spans="1:1">
      <c r="A6575" s="32"/>
    </row>
    <row r="6576" spans="1:1">
      <c r="A6576" s="32"/>
    </row>
    <row r="6577" spans="1:1">
      <c r="A6577" s="32"/>
    </row>
    <row r="6578" spans="1:1">
      <c r="A6578" s="32"/>
    </row>
    <row r="6579" spans="1:1">
      <c r="A6579" s="32"/>
    </row>
    <row r="6580" spans="1:1">
      <c r="A6580" s="32"/>
    </row>
    <row r="6581" spans="1:1">
      <c r="A6581" s="32"/>
    </row>
    <row r="6582" spans="1:1">
      <c r="A6582" s="32"/>
    </row>
    <row r="6583" spans="1:1">
      <c r="A6583" s="32"/>
    </row>
    <row r="6584" spans="1:1">
      <c r="A6584" s="32"/>
    </row>
    <row r="6585" spans="1:1">
      <c r="A6585" s="32"/>
    </row>
    <row r="6586" spans="1:1">
      <c r="A6586" s="32"/>
    </row>
    <row r="6587" spans="1:1">
      <c r="A6587" s="32"/>
    </row>
    <row r="6588" spans="1:1">
      <c r="A6588" s="32"/>
    </row>
    <row r="6589" spans="1:1">
      <c r="A6589" s="32"/>
    </row>
    <row r="6590" spans="1:1">
      <c r="A6590" s="32"/>
    </row>
    <row r="6591" spans="1:1">
      <c r="A6591" s="32"/>
    </row>
    <row r="6592" spans="1:1">
      <c r="A6592" s="32"/>
    </row>
    <row r="6593" spans="1:1">
      <c r="A6593" s="32"/>
    </row>
    <row r="6594" spans="1:1">
      <c r="A6594" s="32"/>
    </row>
    <row r="6595" spans="1:1">
      <c r="A6595" s="32"/>
    </row>
    <row r="6596" spans="1:1">
      <c r="A6596" s="32"/>
    </row>
    <row r="6597" spans="1:1">
      <c r="A6597" s="32"/>
    </row>
    <row r="6598" spans="1:1">
      <c r="A6598" s="32"/>
    </row>
    <row r="6599" spans="1:1">
      <c r="A6599" s="32"/>
    </row>
    <row r="6600" spans="1:1">
      <c r="A6600" s="32"/>
    </row>
    <row r="6601" spans="1:1">
      <c r="A6601" s="32"/>
    </row>
    <row r="6602" spans="1:1">
      <c r="A6602" s="32"/>
    </row>
    <row r="6603" spans="1:1">
      <c r="A6603" s="32"/>
    </row>
    <row r="6604" spans="1:1">
      <c r="A6604" s="32"/>
    </row>
    <row r="6605" spans="1:1">
      <c r="A6605" s="32"/>
    </row>
    <row r="6606" spans="1:1">
      <c r="A6606" s="32"/>
    </row>
    <row r="6607" spans="1:1">
      <c r="A6607" s="32"/>
    </row>
    <row r="6608" spans="1:1">
      <c r="A6608" s="32"/>
    </row>
    <row r="6609" spans="1:1">
      <c r="A6609" s="32"/>
    </row>
    <row r="6610" spans="1:1">
      <c r="A6610" s="32"/>
    </row>
    <row r="6611" spans="1:1">
      <c r="A6611" s="32"/>
    </row>
    <row r="6612" spans="1:1">
      <c r="A6612" s="32"/>
    </row>
    <row r="6613" spans="1:1">
      <c r="A6613" s="32"/>
    </row>
    <row r="6614" spans="1:1">
      <c r="A6614" s="32"/>
    </row>
    <row r="6615" spans="1:1">
      <c r="A6615" s="32"/>
    </row>
    <row r="6616" spans="1:1">
      <c r="A6616" s="32"/>
    </row>
    <row r="6617" spans="1:1">
      <c r="A6617" s="32"/>
    </row>
    <row r="6618" spans="1:1">
      <c r="A6618" s="32"/>
    </row>
    <row r="6619" spans="1:1">
      <c r="A6619" s="32"/>
    </row>
    <row r="6620" spans="1:1">
      <c r="A6620" s="32"/>
    </row>
    <row r="6621" spans="1:1">
      <c r="A6621" s="32"/>
    </row>
    <row r="6622" spans="1:1">
      <c r="A6622" s="32"/>
    </row>
    <row r="6623" spans="1:1">
      <c r="A6623" s="32"/>
    </row>
    <row r="6624" spans="1:1">
      <c r="A6624" s="32"/>
    </row>
    <row r="6625" spans="1:1">
      <c r="A6625" s="32"/>
    </row>
    <row r="6626" spans="1:1">
      <c r="A6626" s="32"/>
    </row>
    <row r="6627" spans="1:1">
      <c r="A6627" s="32"/>
    </row>
    <row r="6628" spans="1:1">
      <c r="A6628" s="32"/>
    </row>
    <row r="6629" spans="1:1">
      <c r="A6629" s="32"/>
    </row>
    <row r="6630" spans="1:1">
      <c r="A6630" s="32"/>
    </row>
    <row r="6631" spans="1:1">
      <c r="A6631" s="32"/>
    </row>
    <row r="6632" spans="1:1">
      <c r="A6632" s="32"/>
    </row>
    <row r="6633" spans="1:1">
      <c r="A6633" s="32"/>
    </row>
    <row r="6634" spans="1:1">
      <c r="A6634" s="32"/>
    </row>
    <row r="6635" spans="1:1">
      <c r="A6635" s="32"/>
    </row>
    <row r="6636" spans="1:1">
      <c r="A6636" s="32"/>
    </row>
    <row r="6637" spans="1:1">
      <c r="A6637" s="32"/>
    </row>
    <row r="6638" spans="1:1">
      <c r="A6638" s="32"/>
    </row>
    <row r="6639" spans="1:1">
      <c r="A6639" s="32"/>
    </row>
    <row r="6640" spans="1:1">
      <c r="A6640" s="32"/>
    </row>
    <row r="6641" spans="1:1">
      <c r="A6641" s="32"/>
    </row>
    <row r="6642" spans="1:1">
      <c r="A6642" s="32"/>
    </row>
    <row r="6643" spans="1:1">
      <c r="A6643" s="32"/>
    </row>
    <row r="6644" spans="1:1">
      <c r="A6644" s="32"/>
    </row>
    <row r="6645" spans="1:1">
      <c r="A6645" s="32"/>
    </row>
    <row r="6646" spans="1:1">
      <c r="A6646" s="32"/>
    </row>
    <row r="6647" spans="1:1">
      <c r="A6647" s="32"/>
    </row>
    <row r="6648" spans="1:1">
      <c r="A6648" s="32"/>
    </row>
    <row r="6649" spans="1:1">
      <c r="A6649" s="32"/>
    </row>
    <row r="6650" spans="1:1">
      <c r="A6650" s="32"/>
    </row>
    <row r="6651" spans="1:1">
      <c r="A6651" s="32"/>
    </row>
    <row r="6652" spans="1:1">
      <c r="A6652" s="32"/>
    </row>
    <row r="6653" spans="1:1">
      <c r="A6653" s="32"/>
    </row>
    <row r="6654" spans="1:1">
      <c r="A6654" s="32"/>
    </row>
    <row r="6655" spans="1:1">
      <c r="A6655" s="32"/>
    </row>
    <row r="6656" spans="1:1">
      <c r="A6656" s="32"/>
    </row>
    <row r="6657" spans="1:1">
      <c r="A6657" s="32"/>
    </row>
    <row r="6658" spans="1:1">
      <c r="A6658" s="32"/>
    </row>
    <row r="6659" spans="1:1">
      <c r="A6659" s="32"/>
    </row>
    <row r="6660" spans="1:1">
      <c r="A6660" s="32"/>
    </row>
    <row r="6661" spans="1:1">
      <c r="A6661" s="32"/>
    </row>
    <row r="6662" spans="1:1">
      <c r="A6662" s="32"/>
    </row>
    <row r="6663" spans="1:1">
      <c r="A6663" s="32"/>
    </row>
    <row r="6664" spans="1:1">
      <c r="A6664" s="32"/>
    </row>
    <row r="6665" spans="1:1">
      <c r="A6665" s="32"/>
    </row>
    <row r="6666" spans="1:1">
      <c r="A6666" s="32"/>
    </row>
    <row r="6667" spans="1:1">
      <c r="A6667" s="32"/>
    </row>
    <row r="6668" spans="1:1">
      <c r="A6668" s="32"/>
    </row>
    <row r="6669" spans="1:1">
      <c r="A6669" s="32"/>
    </row>
    <row r="6670" spans="1:1">
      <c r="A6670" s="32"/>
    </row>
    <row r="6671" spans="1:1">
      <c r="A6671" s="32"/>
    </row>
    <row r="6672" spans="1:1">
      <c r="A6672" s="32"/>
    </row>
    <row r="6673" spans="1:1">
      <c r="A6673" s="32"/>
    </row>
    <row r="6674" spans="1:1">
      <c r="A6674" s="32"/>
    </row>
    <row r="6675" spans="1:1">
      <c r="A6675" s="32"/>
    </row>
    <row r="6676" spans="1:1">
      <c r="A6676" s="32"/>
    </row>
    <row r="6677" spans="1:1">
      <c r="A6677" s="32"/>
    </row>
    <row r="6678" spans="1:1">
      <c r="A6678" s="32"/>
    </row>
    <row r="6679" spans="1:1">
      <c r="A6679" s="32"/>
    </row>
    <row r="6680" spans="1:1">
      <c r="A6680" s="32"/>
    </row>
    <row r="6681" spans="1:1">
      <c r="A6681" s="32"/>
    </row>
    <row r="6682" spans="1:1">
      <c r="A6682" s="32"/>
    </row>
    <row r="6683" spans="1:1">
      <c r="A6683" s="32"/>
    </row>
    <row r="6684" spans="1:1">
      <c r="A6684" s="32"/>
    </row>
    <row r="6685" spans="1:1">
      <c r="A6685" s="32"/>
    </row>
    <row r="6686" spans="1:1">
      <c r="A6686" s="32"/>
    </row>
    <row r="6687" spans="1:1">
      <c r="A6687" s="32"/>
    </row>
    <row r="6688" spans="1:1">
      <c r="A6688" s="32"/>
    </row>
    <row r="6689" spans="1:1">
      <c r="A6689" s="32"/>
    </row>
    <row r="6690" spans="1:1">
      <c r="A6690" s="32"/>
    </row>
    <row r="6691" spans="1:1">
      <c r="A6691" s="32"/>
    </row>
    <row r="6692" spans="1:1">
      <c r="A6692" s="32"/>
    </row>
    <row r="6693" spans="1:1">
      <c r="A6693" s="32"/>
    </row>
    <row r="6694" spans="1:1">
      <c r="A6694" s="32"/>
    </row>
    <row r="6695" spans="1:1">
      <c r="A6695" s="32"/>
    </row>
    <row r="6696" spans="1:1">
      <c r="A6696" s="32"/>
    </row>
    <row r="6697" spans="1:1">
      <c r="A6697" s="32"/>
    </row>
    <row r="6698" spans="1:1">
      <c r="A6698" s="32"/>
    </row>
    <row r="6699" spans="1:1">
      <c r="A6699" s="32"/>
    </row>
    <row r="6700" spans="1:1">
      <c r="A6700" s="32"/>
    </row>
    <row r="6701" spans="1:1">
      <c r="A6701" s="32"/>
    </row>
    <row r="6702" spans="1:1">
      <c r="A6702" s="32"/>
    </row>
    <row r="6703" spans="1:1">
      <c r="A6703" s="32"/>
    </row>
    <row r="6704" spans="1:1">
      <c r="A6704" s="32"/>
    </row>
    <row r="6705" spans="1:1">
      <c r="A6705" s="32"/>
    </row>
    <row r="6706" spans="1:1">
      <c r="A6706" s="32"/>
    </row>
    <row r="6707" spans="1:1">
      <c r="A6707" s="32"/>
    </row>
    <row r="6708" spans="1:1">
      <c r="A6708" s="32"/>
    </row>
    <row r="6709" spans="1:1">
      <c r="A6709" s="32"/>
    </row>
    <row r="6710" spans="1:1">
      <c r="A6710" s="32"/>
    </row>
    <row r="6711" spans="1:1">
      <c r="A6711" s="32"/>
    </row>
    <row r="6712" spans="1:1">
      <c r="A6712" s="32"/>
    </row>
    <row r="6713" spans="1:1">
      <c r="A6713" s="32"/>
    </row>
    <row r="6714" spans="1:1">
      <c r="A6714" s="32"/>
    </row>
    <row r="6715" spans="1:1">
      <c r="A6715" s="32"/>
    </row>
    <row r="6716" spans="1:1">
      <c r="A6716" s="32"/>
    </row>
    <row r="6717" spans="1:1">
      <c r="A6717" s="32"/>
    </row>
    <row r="6718" spans="1:1">
      <c r="A6718" s="32"/>
    </row>
    <row r="6719" spans="1:1">
      <c r="A6719" s="32"/>
    </row>
    <row r="6720" spans="1:1">
      <c r="A6720" s="32"/>
    </row>
    <row r="6721" spans="1:1">
      <c r="A6721" s="32"/>
    </row>
    <row r="6722" spans="1:1">
      <c r="A6722" s="32"/>
    </row>
    <row r="6723" spans="1:1">
      <c r="A6723" s="32"/>
    </row>
    <row r="6724" spans="1:1">
      <c r="A6724" s="32"/>
    </row>
    <row r="6725" spans="1:1">
      <c r="A6725" s="32"/>
    </row>
    <row r="6726" spans="1:1">
      <c r="A6726" s="32"/>
    </row>
    <row r="6727" spans="1:1">
      <c r="A6727" s="32"/>
    </row>
    <row r="6728" spans="1:1">
      <c r="A6728" s="32"/>
    </row>
    <row r="6729" spans="1:1">
      <c r="A6729" s="32"/>
    </row>
    <row r="6730" spans="1:1">
      <c r="A6730" s="32"/>
    </row>
    <row r="6731" spans="1:1">
      <c r="A6731" s="32"/>
    </row>
    <row r="6732" spans="1:1">
      <c r="A6732" s="32"/>
    </row>
    <row r="6733" spans="1:1">
      <c r="A6733" s="32"/>
    </row>
    <row r="6734" spans="1:1">
      <c r="A6734" s="32"/>
    </row>
    <row r="6735" spans="1:1">
      <c r="A6735" s="32"/>
    </row>
    <row r="6736" spans="1:1">
      <c r="A6736" s="32"/>
    </row>
    <row r="6737" spans="1:1">
      <c r="A6737" s="32"/>
    </row>
    <row r="6738" spans="1:1">
      <c r="A6738" s="32"/>
    </row>
    <row r="6739" spans="1:1">
      <c r="A6739" s="32"/>
    </row>
    <row r="6740" spans="1:1">
      <c r="A6740" s="32"/>
    </row>
    <row r="6741" spans="1:1">
      <c r="A6741" s="32"/>
    </row>
    <row r="6742" spans="1:1">
      <c r="A6742" s="32"/>
    </row>
    <row r="6743" spans="1:1">
      <c r="A6743" s="32"/>
    </row>
    <row r="6744" spans="1:1">
      <c r="A6744" s="32"/>
    </row>
    <row r="6745" spans="1:1">
      <c r="A6745" s="32"/>
    </row>
    <row r="6746" spans="1:1">
      <c r="A6746" s="32"/>
    </row>
    <row r="6747" spans="1:1">
      <c r="A6747" s="32"/>
    </row>
    <row r="6748" spans="1:1">
      <c r="A6748" s="32"/>
    </row>
    <row r="6749" spans="1:1">
      <c r="A6749" s="32"/>
    </row>
    <row r="6750" spans="1:1">
      <c r="A6750" s="32"/>
    </row>
    <row r="6751" spans="1:1">
      <c r="A6751" s="32"/>
    </row>
    <row r="6752" spans="1:1">
      <c r="A6752" s="32"/>
    </row>
    <row r="6753" spans="1:1">
      <c r="A6753" s="32"/>
    </row>
    <row r="6754" spans="1:1">
      <c r="A6754" s="32"/>
    </row>
    <row r="6755" spans="1:1">
      <c r="A6755" s="32"/>
    </row>
    <row r="6756" spans="1:1">
      <c r="A6756" s="32"/>
    </row>
    <row r="6757" spans="1:1">
      <c r="A6757" s="32"/>
    </row>
    <row r="6758" spans="1:1">
      <c r="A6758" s="32"/>
    </row>
    <row r="6759" spans="1:1">
      <c r="A6759" s="32"/>
    </row>
    <row r="6760" spans="1:1">
      <c r="A6760" s="32"/>
    </row>
    <row r="6761" spans="1:1">
      <c r="A6761" s="32"/>
    </row>
    <row r="6762" spans="1:1">
      <c r="A6762" s="32"/>
    </row>
    <row r="6763" spans="1:1">
      <c r="A6763" s="32"/>
    </row>
    <row r="6764" spans="1:1">
      <c r="A6764" s="32"/>
    </row>
    <row r="6765" spans="1:1">
      <c r="A6765" s="32"/>
    </row>
    <row r="6766" spans="1:1">
      <c r="A6766" s="32"/>
    </row>
    <row r="6767" spans="1:1">
      <c r="A6767" s="32"/>
    </row>
    <row r="6768" spans="1:1">
      <c r="A6768" s="32"/>
    </row>
    <row r="6769" spans="1:1">
      <c r="A6769" s="32"/>
    </row>
    <row r="6770" spans="1:1">
      <c r="A6770" s="32"/>
    </row>
    <row r="6771" spans="1:1">
      <c r="A6771" s="32"/>
    </row>
    <row r="6772" spans="1:1">
      <c r="A6772" s="32"/>
    </row>
    <row r="6773" spans="1:1">
      <c r="A6773" s="32"/>
    </row>
    <row r="6774" spans="1:1">
      <c r="A6774" s="32"/>
    </row>
    <row r="6775" spans="1:1">
      <c r="A6775" s="32"/>
    </row>
    <row r="6776" spans="1:1">
      <c r="A6776" s="32"/>
    </row>
    <row r="6777" spans="1:1">
      <c r="A6777" s="32"/>
    </row>
    <row r="6778" spans="1:1">
      <c r="A6778" s="32"/>
    </row>
    <row r="6779" spans="1:1">
      <c r="A6779" s="32"/>
    </row>
    <row r="6780" spans="1:1">
      <c r="A6780" s="32"/>
    </row>
    <row r="6781" spans="1:1">
      <c r="A6781" s="32"/>
    </row>
    <row r="6782" spans="1:1">
      <c r="A6782" s="32"/>
    </row>
    <row r="6783" spans="1:1">
      <c r="A6783" s="32"/>
    </row>
    <row r="6784" spans="1:1">
      <c r="A6784" s="32"/>
    </row>
    <row r="6785" spans="1:1">
      <c r="A6785" s="32"/>
    </row>
    <row r="6786" spans="1:1">
      <c r="A6786" s="32"/>
    </row>
    <row r="6787" spans="1:1">
      <c r="A6787" s="32"/>
    </row>
    <row r="6788" spans="1:1">
      <c r="A6788" s="32"/>
    </row>
    <row r="6789" spans="1:1">
      <c r="A6789" s="32"/>
    </row>
    <row r="6790" spans="1:1">
      <c r="A6790" s="32"/>
    </row>
    <row r="6791" spans="1:1">
      <c r="A6791" s="32"/>
    </row>
    <row r="6792" spans="1:1">
      <c r="A6792" s="32"/>
    </row>
    <row r="6793" spans="1:1">
      <c r="A6793" s="32"/>
    </row>
    <row r="6794" spans="1:1">
      <c r="A6794" s="32"/>
    </row>
    <row r="6795" spans="1:1">
      <c r="A6795" s="32"/>
    </row>
    <row r="6796" spans="1:1">
      <c r="A6796" s="32"/>
    </row>
    <row r="6797" spans="1:1">
      <c r="A6797" s="32"/>
    </row>
    <row r="6798" spans="1:1">
      <c r="A6798" s="32"/>
    </row>
    <row r="6799" spans="1:1">
      <c r="A6799" s="32"/>
    </row>
    <row r="6800" spans="1:1">
      <c r="A6800" s="32"/>
    </row>
    <row r="6801" spans="1:1">
      <c r="A6801" s="32"/>
    </row>
    <row r="6802" spans="1:1">
      <c r="A6802" s="32"/>
    </row>
    <row r="6803" spans="1:1">
      <c r="A6803" s="32"/>
    </row>
    <row r="6804" spans="1:1">
      <c r="A6804" s="32"/>
    </row>
    <row r="6805" spans="1:1">
      <c r="A6805" s="32"/>
    </row>
    <row r="6806" spans="1:1">
      <c r="A6806" s="32"/>
    </row>
    <row r="6807" spans="1:1">
      <c r="A6807" s="32"/>
    </row>
    <row r="6808" spans="1:1">
      <c r="A6808" s="32"/>
    </row>
    <row r="6809" spans="1:1">
      <c r="A6809" s="32"/>
    </row>
    <row r="6810" spans="1:1">
      <c r="A6810" s="32"/>
    </row>
    <row r="6811" spans="1:1">
      <c r="A6811" s="32"/>
    </row>
    <row r="6812" spans="1:1">
      <c r="A6812" s="32"/>
    </row>
    <row r="6813" spans="1:1">
      <c r="A6813" s="32"/>
    </row>
    <row r="6814" spans="1:1">
      <c r="A6814" s="32"/>
    </row>
    <row r="6815" spans="1:1">
      <c r="A6815" s="32"/>
    </row>
    <row r="6816" spans="1:1">
      <c r="A6816" s="32"/>
    </row>
    <row r="6817" spans="1:1">
      <c r="A6817" s="32"/>
    </row>
    <row r="6818" spans="1:1">
      <c r="A6818" s="32"/>
    </row>
    <row r="6819" spans="1:1">
      <c r="A6819" s="32"/>
    </row>
    <row r="6820" spans="1:1">
      <c r="A6820" s="32"/>
    </row>
    <row r="6821" spans="1:1">
      <c r="A6821" s="32"/>
    </row>
    <row r="6822" spans="1:1">
      <c r="A6822" s="32"/>
    </row>
    <row r="6823" spans="1:1">
      <c r="A6823" s="32"/>
    </row>
    <row r="6824" spans="1:1">
      <c r="A6824" s="32"/>
    </row>
    <row r="6825" spans="1:1">
      <c r="A6825" s="32"/>
    </row>
    <row r="6826" spans="1:1">
      <c r="A6826" s="32"/>
    </row>
    <row r="6827" spans="1:1">
      <c r="A6827" s="32"/>
    </row>
    <row r="6828" spans="1:1">
      <c r="A6828" s="32"/>
    </row>
    <row r="6829" spans="1:1">
      <c r="A6829" s="32"/>
    </row>
    <row r="6830" spans="1:1">
      <c r="A6830" s="32"/>
    </row>
    <row r="6831" spans="1:1">
      <c r="A6831" s="32"/>
    </row>
    <row r="6832" spans="1:1">
      <c r="A6832" s="32"/>
    </row>
    <row r="6833" spans="1:1">
      <c r="A6833" s="32"/>
    </row>
    <row r="6834" spans="1:1">
      <c r="A6834" s="32"/>
    </row>
    <row r="6835" spans="1:1">
      <c r="A6835" s="32"/>
    </row>
    <row r="6836" spans="1:1">
      <c r="A6836" s="32"/>
    </row>
    <row r="6837" spans="1:1">
      <c r="A6837" s="32"/>
    </row>
    <row r="6838" spans="1:1">
      <c r="A6838" s="32"/>
    </row>
    <row r="6839" spans="1:1">
      <c r="A6839" s="32"/>
    </row>
    <row r="6840" spans="1:1">
      <c r="A6840" s="32"/>
    </row>
    <row r="6841" spans="1:1">
      <c r="A6841" s="32"/>
    </row>
    <row r="6842" spans="1:1">
      <c r="A6842" s="32"/>
    </row>
    <row r="6843" spans="1:1">
      <c r="A6843" s="32"/>
    </row>
    <row r="6844" spans="1:1">
      <c r="A6844" s="32"/>
    </row>
    <row r="6845" spans="1:1">
      <c r="A6845" s="32"/>
    </row>
    <row r="6846" spans="1:1">
      <c r="A6846" s="32"/>
    </row>
    <row r="6847" spans="1:1">
      <c r="A6847" s="32"/>
    </row>
    <row r="6848" spans="1:1">
      <c r="A6848" s="32"/>
    </row>
    <row r="6849" spans="1:1">
      <c r="A6849" s="32"/>
    </row>
    <row r="6850" spans="1:1">
      <c r="A6850" s="32"/>
    </row>
    <row r="6851" spans="1:1">
      <c r="A6851" s="32"/>
    </row>
    <row r="6852" spans="1:1">
      <c r="A6852" s="32"/>
    </row>
    <row r="6853" spans="1:1">
      <c r="A6853" s="32"/>
    </row>
    <row r="6854" spans="1:1">
      <c r="A6854" s="32"/>
    </row>
    <row r="6855" spans="1:1">
      <c r="A6855" s="32"/>
    </row>
    <row r="6856" spans="1:1">
      <c r="A6856" s="32"/>
    </row>
    <row r="6857" spans="1:1">
      <c r="A6857" s="32"/>
    </row>
    <row r="6858" spans="1:1">
      <c r="A6858" s="32"/>
    </row>
    <row r="6859" spans="1:1">
      <c r="A6859" s="32"/>
    </row>
    <row r="6860" spans="1:1">
      <c r="A6860" s="32"/>
    </row>
    <row r="6861" spans="1:1">
      <c r="A6861" s="32"/>
    </row>
    <row r="6862" spans="1:1">
      <c r="A6862" s="32"/>
    </row>
    <row r="6863" spans="1:1">
      <c r="A6863" s="32"/>
    </row>
    <row r="6864" spans="1:1">
      <c r="A6864" s="32"/>
    </row>
    <row r="6865" spans="1:1">
      <c r="A6865" s="32"/>
    </row>
    <row r="6866" spans="1:1">
      <c r="A6866" s="32"/>
    </row>
    <row r="6867" spans="1:1">
      <c r="A6867" s="32"/>
    </row>
    <row r="6868" spans="1:1">
      <c r="A6868" s="32"/>
    </row>
    <row r="6869" spans="1:1">
      <c r="A6869" s="32"/>
    </row>
    <row r="6870" spans="1:1">
      <c r="A6870" s="32"/>
    </row>
    <row r="6871" spans="1:1">
      <c r="A6871" s="32"/>
    </row>
    <row r="6872" spans="1:1">
      <c r="A6872" s="32"/>
    </row>
    <row r="6873" spans="1:1">
      <c r="A6873" s="32"/>
    </row>
    <row r="6874" spans="1:1">
      <c r="A6874" s="32"/>
    </row>
    <row r="6875" spans="1:1">
      <c r="A6875" s="32"/>
    </row>
    <row r="6876" spans="1:1">
      <c r="A6876" s="32"/>
    </row>
    <row r="6877" spans="1:1">
      <c r="A6877" s="32"/>
    </row>
    <row r="6878" spans="1:1">
      <c r="A6878" s="32"/>
    </row>
    <row r="6879" spans="1:1">
      <c r="A6879" s="32"/>
    </row>
    <row r="6880" spans="1:1">
      <c r="A6880" s="32"/>
    </row>
    <row r="6881" spans="1:1">
      <c r="A6881" s="32"/>
    </row>
    <row r="6882" spans="1:1">
      <c r="A6882" s="32"/>
    </row>
    <row r="6883" spans="1:1">
      <c r="A6883" s="32"/>
    </row>
    <row r="6884" spans="1:1">
      <c r="A6884" s="32"/>
    </row>
    <row r="6885" spans="1:1">
      <c r="A6885" s="32"/>
    </row>
    <row r="6886" spans="1:1">
      <c r="A6886" s="32"/>
    </row>
    <row r="6887" spans="1:1">
      <c r="A6887" s="32"/>
    </row>
    <row r="6888" spans="1:1">
      <c r="A6888" s="32"/>
    </row>
    <row r="6889" spans="1:1">
      <c r="A6889" s="32"/>
    </row>
    <row r="6890" spans="1:1">
      <c r="A6890" s="32"/>
    </row>
    <row r="6891" spans="1:1">
      <c r="A6891" s="32"/>
    </row>
    <row r="6892" spans="1:1">
      <c r="A6892" s="32"/>
    </row>
    <row r="6893" spans="1:1">
      <c r="A6893" s="32"/>
    </row>
    <row r="6894" spans="1:1">
      <c r="A6894" s="32"/>
    </row>
    <row r="6895" spans="1:1">
      <c r="A6895" s="32"/>
    </row>
    <row r="6896" spans="1:1">
      <c r="A6896" s="32"/>
    </row>
    <row r="6897" spans="1:1">
      <c r="A6897" s="32"/>
    </row>
    <row r="6898" spans="1:1">
      <c r="A6898" s="32"/>
    </row>
    <row r="6899" spans="1:1">
      <c r="A6899" s="32"/>
    </row>
    <row r="6900" spans="1:1">
      <c r="A6900" s="32"/>
    </row>
    <row r="6901" spans="1:1">
      <c r="A6901" s="32"/>
    </row>
    <row r="6902" spans="1:1">
      <c r="A6902" s="32"/>
    </row>
    <row r="6903" spans="1:1">
      <c r="A6903" s="32"/>
    </row>
    <row r="6904" spans="1:1">
      <c r="A6904" s="32"/>
    </row>
    <row r="6905" spans="1:1">
      <c r="A6905" s="32"/>
    </row>
    <row r="6906" spans="1:1">
      <c r="A6906" s="32"/>
    </row>
    <row r="6907" spans="1:1">
      <c r="A6907" s="32"/>
    </row>
    <row r="6908" spans="1:1">
      <c r="A6908" s="32"/>
    </row>
    <row r="6909" spans="1:1">
      <c r="A6909" s="32"/>
    </row>
    <row r="6910" spans="1:1">
      <c r="A6910" s="32"/>
    </row>
    <row r="6911" spans="1:1">
      <c r="A6911" s="32"/>
    </row>
    <row r="6912" spans="1:1">
      <c r="A6912" s="32"/>
    </row>
    <row r="6913" spans="1:1">
      <c r="A6913" s="32"/>
    </row>
    <row r="6914" spans="1:1">
      <c r="A6914" s="32"/>
    </row>
    <row r="6915" spans="1:1">
      <c r="A6915" s="32"/>
    </row>
    <row r="6916" spans="1:1">
      <c r="A6916" s="32"/>
    </row>
    <row r="6917" spans="1:1">
      <c r="A6917" s="32"/>
    </row>
    <row r="6918" spans="1:1">
      <c r="A6918" s="32"/>
    </row>
    <row r="6919" spans="1:1">
      <c r="A6919" s="32"/>
    </row>
    <row r="6920" spans="1:1">
      <c r="A6920" s="32"/>
    </row>
    <row r="6921" spans="1:1">
      <c r="A6921" s="32"/>
    </row>
    <row r="6922" spans="1:1">
      <c r="A6922" s="32"/>
    </row>
    <row r="6923" spans="1:1">
      <c r="A6923" s="32"/>
    </row>
    <row r="6924" spans="1:1">
      <c r="A6924" s="32"/>
    </row>
    <row r="6925" spans="1:1">
      <c r="A6925" s="32"/>
    </row>
    <row r="6926" spans="1:1">
      <c r="A6926" s="32"/>
    </row>
    <row r="6927" spans="1:1">
      <c r="A6927" s="32"/>
    </row>
    <row r="6928" spans="1:1">
      <c r="A6928" s="32"/>
    </row>
    <row r="6929" spans="1:1">
      <c r="A6929" s="32"/>
    </row>
    <row r="6930" spans="1:1">
      <c r="A6930" s="32"/>
    </row>
    <row r="6931" spans="1:1">
      <c r="A6931" s="32"/>
    </row>
    <row r="6932" spans="1:1">
      <c r="A6932" s="32"/>
    </row>
    <row r="6933" spans="1:1">
      <c r="A6933" s="32"/>
    </row>
    <row r="6934" spans="1:1">
      <c r="A6934" s="32"/>
    </row>
    <row r="6935" spans="1:1">
      <c r="A6935" s="32"/>
    </row>
    <row r="6936" spans="1:1">
      <c r="A6936" s="32"/>
    </row>
    <row r="6937" spans="1:1">
      <c r="A6937" s="32"/>
    </row>
    <row r="6938" spans="1:1">
      <c r="A6938" s="32"/>
    </row>
    <row r="6939" spans="1:1">
      <c r="A6939" s="32"/>
    </row>
    <row r="6940" spans="1:1">
      <c r="A6940" s="32"/>
    </row>
    <row r="6941" spans="1:1">
      <c r="A6941" s="32"/>
    </row>
    <row r="6942" spans="1:1">
      <c r="A6942" s="32"/>
    </row>
    <row r="6943" spans="1:1">
      <c r="A6943" s="32"/>
    </row>
    <row r="6944" spans="1:1">
      <c r="A6944" s="32"/>
    </row>
    <row r="6945" spans="1:1">
      <c r="A6945" s="32"/>
    </row>
    <row r="6946" spans="1:1">
      <c r="A6946" s="32"/>
    </row>
    <row r="6947" spans="1:1">
      <c r="A6947" s="32"/>
    </row>
    <row r="6948" spans="1:1">
      <c r="A6948" s="32"/>
    </row>
    <row r="6949" spans="1:1">
      <c r="A6949" s="32"/>
    </row>
    <row r="6950" spans="1:1">
      <c r="A6950" s="32"/>
    </row>
    <row r="6951" spans="1:1">
      <c r="A6951" s="32"/>
    </row>
    <row r="6952" spans="1:1">
      <c r="A6952" s="32"/>
    </row>
    <row r="6953" spans="1:1">
      <c r="A6953" s="32"/>
    </row>
    <row r="6954" spans="1:1">
      <c r="A6954" s="32"/>
    </row>
    <row r="6955" spans="1:1">
      <c r="A6955" s="32"/>
    </row>
    <row r="6956" spans="1:1">
      <c r="A6956" s="32"/>
    </row>
    <row r="6957" spans="1:1">
      <c r="A6957" s="32"/>
    </row>
    <row r="6958" spans="1:1">
      <c r="A6958" s="32"/>
    </row>
    <row r="6959" spans="1:1">
      <c r="A6959" s="32"/>
    </row>
    <row r="6960" spans="1:1">
      <c r="A6960" s="32"/>
    </row>
    <row r="6961" spans="1:1">
      <c r="A6961" s="32"/>
    </row>
    <row r="6962" spans="1:1">
      <c r="A6962" s="32"/>
    </row>
    <row r="6963" spans="1:1">
      <c r="A6963" s="32"/>
    </row>
    <row r="6964" spans="1:1">
      <c r="A6964" s="32"/>
    </row>
    <row r="6965" spans="1:1">
      <c r="A6965" s="32"/>
    </row>
    <row r="6966" spans="1:1">
      <c r="A6966" s="32"/>
    </row>
    <row r="6967" spans="1:1">
      <c r="A6967" s="32"/>
    </row>
    <row r="6968" spans="1:1">
      <c r="A6968" s="32"/>
    </row>
    <row r="6969" spans="1:1">
      <c r="A6969" s="32"/>
    </row>
    <row r="6970" spans="1:1">
      <c r="A6970" s="32"/>
    </row>
    <row r="6971" spans="1:1">
      <c r="A6971" s="32"/>
    </row>
    <row r="6972" spans="1:1">
      <c r="A6972" s="32"/>
    </row>
    <row r="6973" spans="1:1">
      <c r="A6973" s="32"/>
    </row>
    <row r="6974" spans="1:1">
      <c r="A6974" s="32"/>
    </row>
    <row r="6975" spans="1:1">
      <c r="A6975" s="32"/>
    </row>
    <row r="6976" spans="1:1">
      <c r="A6976" s="32"/>
    </row>
    <row r="6977" spans="1:1">
      <c r="A6977" s="32"/>
    </row>
    <row r="6978" spans="1:1">
      <c r="A6978" s="32"/>
    </row>
    <row r="6979" spans="1:1">
      <c r="A6979" s="32"/>
    </row>
    <row r="6980" spans="1:1">
      <c r="A6980" s="32"/>
    </row>
    <row r="6981" spans="1:1">
      <c r="A6981" s="32"/>
    </row>
    <row r="6982" spans="1:1">
      <c r="A6982" s="32"/>
    </row>
    <row r="6983" spans="1:1">
      <c r="A6983" s="32"/>
    </row>
    <row r="6984" spans="1:1">
      <c r="A6984" s="32"/>
    </row>
    <row r="6985" spans="1:1">
      <c r="A6985" s="32"/>
    </row>
    <row r="6986" spans="1:1">
      <c r="A6986" s="32"/>
    </row>
    <row r="6987" spans="1:1">
      <c r="A6987" s="32"/>
    </row>
    <row r="6988" spans="1:1">
      <c r="A6988" s="32"/>
    </row>
    <row r="6989" spans="1:1">
      <c r="A6989" s="32"/>
    </row>
    <row r="6990" spans="1:1">
      <c r="A6990" s="32"/>
    </row>
    <row r="6991" spans="1:1">
      <c r="A6991" s="32"/>
    </row>
    <row r="6992" spans="1:1">
      <c r="A6992" s="32"/>
    </row>
    <row r="6993" spans="1:1">
      <c r="A6993" s="32"/>
    </row>
    <row r="6994" spans="1:1">
      <c r="A6994" s="32"/>
    </row>
    <row r="6995" spans="1:1">
      <c r="A6995" s="32"/>
    </row>
    <row r="6996" spans="1:1">
      <c r="A6996" s="32"/>
    </row>
    <row r="6997" spans="1:1">
      <c r="A6997" s="32"/>
    </row>
    <row r="6998" spans="1:1">
      <c r="A6998" s="32"/>
    </row>
    <row r="6999" spans="1:1">
      <c r="A6999" s="32"/>
    </row>
    <row r="7000" spans="1:1">
      <c r="A7000" s="32"/>
    </row>
    <row r="7001" spans="1:1">
      <c r="A7001" s="32"/>
    </row>
    <row r="7002" spans="1:1">
      <c r="A7002" s="32"/>
    </row>
    <row r="7003" spans="1:1">
      <c r="A7003" s="32"/>
    </row>
    <row r="7004" spans="1:1">
      <c r="A7004" s="32"/>
    </row>
    <row r="7005" spans="1:1">
      <c r="A7005" s="32"/>
    </row>
    <row r="7006" spans="1:1">
      <c r="A7006" s="32"/>
    </row>
    <row r="7007" spans="1:1">
      <c r="A7007" s="32"/>
    </row>
    <row r="7008" spans="1:1">
      <c r="A7008" s="32"/>
    </row>
    <row r="7009" spans="1:1">
      <c r="A7009" s="32"/>
    </row>
    <row r="7010" spans="1:1">
      <c r="A7010" s="32"/>
    </row>
    <row r="7011" spans="1:1">
      <c r="A7011" s="32"/>
    </row>
    <row r="7012" spans="1:1">
      <c r="A7012" s="32"/>
    </row>
    <row r="7013" spans="1:1">
      <c r="A7013" s="32"/>
    </row>
    <row r="7014" spans="1:1">
      <c r="A7014" s="32"/>
    </row>
    <row r="7015" spans="1:1">
      <c r="A7015" s="32"/>
    </row>
    <row r="7016" spans="1:1">
      <c r="A7016" s="32"/>
    </row>
    <row r="7017" spans="1:1">
      <c r="A7017" s="32"/>
    </row>
    <row r="7018" spans="1:1">
      <c r="A7018" s="32"/>
    </row>
    <row r="7019" spans="1:1">
      <c r="A7019" s="32"/>
    </row>
    <row r="7020" spans="1:1">
      <c r="A7020" s="32"/>
    </row>
    <row r="7021" spans="1:1">
      <c r="A7021" s="32"/>
    </row>
    <row r="7022" spans="1:1">
      <c r="A7022" s="32"/>
    </row>
    <row r="7023" spans="1:1">
      <c r="A7023" s="32"/>
    </row>
    <row r="7024" spans="1:1">
      <c r="A7024" s="32"/>
    </row>
    <row r="7025" spans="1:1">
      <c r="A7025" s="32"/>
    </row>
    <row r="7026" spans="1:1">
      <c r="A7026" s="32"/>
    </row>
    <row r="7027" spans="1:1">
      <c r="A7027" s="32"/>
    </row>
    <row r="7028" spans="1:1">
      <c r="A7028" s="32"/>
    </row>
    <row r="7029" spans="1:1">
      <c r="A7029" s="32"/>
    </row>
    <row r="7030" spans="1:1">
      <c r="A7030" s="32"/>
    </row>
    <row r="7031" spans="1:1">
      <c r="A7031" s="32"/>
    </row>
    <row r="7032" spans="1:1">
      <c r="A7032" s="32"/>
    </row>
    <row r="7033" spans="1:1">
      <c r="A7033" s="32"/>
    </row>
    <row r="7034" spans="1:1">
      <c r="A7034" s="32"/>
    </row>
    <row r="7035" spans="1:1">
      <c r="A7035" s="32"/>
    </row>
    <row r="7036" spans="1:1">
      <c r="A7036" s="32"/>
    </row>
    <row r="7037" spans="1:1">
      <c r="A7037" s="32"/>
    </row>
    <row r="7038" spans="1:1">
      <c r="A7038" s="32"/>
    </row>
    <row r="7039" spans="1:1">
      <c r="A7039" s="32"/>
    </row>
    <row r="7040" spans="1:1">
      <c r="A7040" s="32"/>
    </row>
    <row r="7041" spans="1:1">
      <c r="A7041" s="32"/>
    </row>
    <row r="7042" spans="1:1">
      <c r="A7042" s="32"/>
    </row>
    <row r="7043" spans="1:1">
      <c r="A7043" s="32"/>
    </row>
    <row r="7044" spans="1:1">
      <c r="A7044" s="32"/>
    </row>
    <row r="7045" spans="1:1">
      <c r="A7045" s="32"/>
    </row>
    <row r="7046" spans="1:1">
      <c r="A7046" s="32"/>
    </row>
    <row r="7047" spans="1:1">
      <c r="A7047" s="32"/>
    </row>
    <row r="7048" spans="1:1">
      <c r="A7048" s="32"/>
    </row>
    <row r="7049" spans="1:1">
      <c r="A7049" s="32"/>
    </row>
    <row r="7050" spans="1:1">
      <c r="A7050" s="32"/>
    </row>
    <row r="7051" spans="1:1">
      <c r="A7051" s="32"/>
    </row>
    <row r="7052" spans="1:1">
      <c r="A7052" s="32"/>
    </row>
    <row r="7053" spans="1:1">
      <c r="A7053" s="32"/>
    </row>
    <row r="7054" spans="1:1">
      <c r="A7054" s="32"/>
    </row>
    <row r="7055" spans="1:1">
      <c r="A7055" s="32"/>
    </row>
    <row r="7056" spans="1:1">
      <c r="A7056" s="32"/>
    </row>
    <row r="7057" spans="1:1">
      <c r="A7057" s="32"/>
    </row>
    <row r="7058" spans="1:1">
      <c r="A7058" s="32"/>
    </row>
    <row r="7059" spans="1:1">
      <c r="A7059" s="32"/>
    </row>
    <row r="7060" spans="1:1">
      <c r="A7060" s="32"/>
    </row>
    <row r="7061" spans="1:1">
      <c r="A7061" s="32"/>
    </row>
    <row r="7062" spans="1:1">
      <c r="A7062" s="32"/>
    </row>
    <row r="7063" spans="1:1">
      <c r="A7063" s="32"/>
    </row>
    <row r="7064" spans="1:1">
      <c r="A7064" s="32"/>
    </row>
    <row r="7065" spans="1:1">
      <c r="A7065" s="32"/>
    </row>
    <row r="7066" spans="1:1">
      <c r="A7066" s="32"/>
    </row>
    <row r="7067" spans="1:1">
      <c r="A7067" s="32"/>
    </row>
    <row r="7068" spans="1:1">
      <c r="A7068" s="32"/>
    </row>
    <row r="7069" spans="1:1">
      <c r="A7069" s="32"/>
    </row>
    <row r="7070" spans="1:1">
      <c r="A7070" s="32"/>
    </row>
    <row r="7071" spans="1:1">
      <c r="A7071" s="32"/>
    </row>
    <row r="7072" spans="1:1">
      <c r="A7072" s="32"/>
    </row>
    <row r="7073" spans="1:1">
      <c r="A7073" s="32"/>
    </row>
    <row r="7074" spans="1:1">
      <c r="A7074" s="32"/>
    </row>
    <row r="7075" spans="1:1">
      <c r="A7075" s="32"/>
    </row>
    <row r="7076" spans="1:1">
      <c r="A7076" s="32"/>
    </row>
    <row r="7077" spans="1:1">
      <c r="A7077" s="32"/>
    </row>
    <row r="7078" spans="1:1">
      <c r="A7078" s="32"/>
    </row>
    <row r="7079" spans="1:1">
      <c r="A7079" s="32"/>
    </row>
    <row r="7080" spans="1:1">
      <c r="A7080" s="32"/>
    </row>
    <row r="7081" spans="1:1">
      <c r="A7081" s="32"/>
    </row>
    <row r="7082" spans="1:1">
      <c r="A7082" s="32"/>
    </row>
    <row r="7083" spans="1:1">
      <c r="A7083" s="32"/>
    </row>
    <row r="7084" spans="1:1">
      <c r="A7084" s="32"/>
    </row>
    <row r="7085" spans="1:1">
      <c r="A7085" s="32"/>
    </row>
    <row r="7086" spans="1:1">
      <c r="A7086" s="32"/>
    </row>
    <row r="7087" spans="1:1">
      <c r="A7087" s="32"/>
    </row>
    <row r="7088" spans="1:1">
      <c r="A7088" s="32"/>
    </row>
    <row r="7089" spans="1:1">
      <c r="A7089" s="32"/>
    </row>
    <row r="7090" spans="1:1">
      <c r="A7090" s="32"/>
    </row>
    <row r="7091" spans="1:1">
      <c r="A7091" s="32"/>
    </row>
    <row r="7092" spans="1:1">
      <c r="A7092" s="32"/>
    </row>
    <row r="7093" spans="1:1">
      <c r="A7093" s="32"/>
    </row>
    <row r="7094" spans="1:1">
      <c r="A7094" s="32"/>
    </row>
    <row r="7095" spans="1:1">
      <c r="A7095" s="32"/>
    </row>
    <row r="7096" spans="1:1">
      <c r="A7096" s="32"/>
    </row>
    <row r="7097" spans="1:1">
      <c r="A7097" s="32"/>
    </row>
    <row r="7098" spans="1:1">
      <c r="A7098" s="32"/>
    </row>
    <row r="7099" spans="1:1">
      <c r="A7099" s="32"/>
    </row>
    <row r="7100" spans="1:1">
      <c r="A7100" s="32"/>
    </row>
    <row r="7101" spans="1:1">
      <c r="A7101" s="32"/>
    </row>
    <row r="7102" spans="1:1">
      <c r="A7102" s="32"/>
    </row>
  </sheetData>
  <mergeCells count="2">
    <mergeCell ref="A1:U1"/>
    <mergeCell ref="A2:U2"/>
  </mergeCells>
  <conditionalFormatting sqref="A9 A11:A12 A14 A16 A21 A23 A25 A29 A31 A33 A35 A37 A39 A41 A43 A45 A47 A49 A51 A53 A55 A57 A59 A61 A63 A65 A67 A69 A71 A73 A75 A77 A79 A81 A83 A85 A87 A89 A91 A93 A95 A97 A99 A101 A103 A105 A107 A109 A111 A113 A115 A117 A119 A121 A123 A125 A127 A129 A131 A133 A135 A137 A139 A141 A143 A145 A147 A149 A151 A153 A155 A157 A159 A161 A163 A165 A167 A169 A171 A173 A175 A177 A179 A181 A183 A185 A187 A189 A191 A193 A195 A197 A199 A201 A203 A205 A207 A209 A211 A213 A215 A217 A219 A221 A223 A225 A227 A229 A231 A233 A235 A237 A239 A241 A243 A245 A247 A249 A251 A253 A255 A257 A259 A261 A263 A265 A267 A269 A271 A273 A275 A277 A279 A281 A283 A285 A287 A289 A291 A293 A295 A297 A299 A301 A303 A305 A307 A309 A311 A313 A315 A317 A319 A321 A323 A325 A327 A329 A331 A333 A335 A337 A339 A341 A343 A345 A347 A349 A351 A353 A355 A357 A359 A361 A363 A365 A367 A369 A371 A373 A375 A377 A379 A381 A383 A385 A387 A389 A391 A393 A395 A397 A399 A401 A403 A405 A407 A409 A411 A413 A415 A417 A419 A421 A423 A425 A427 A429 A431 A433 A435 A437 A439 A441 A443 A445 A447 A449 A451 A453 A455 A457 A459 A461 A463 A465 A467 A469 A471 A473 A475 A477 A479 A481 A483 A485 A487 A489 A491 A493 A495 A497 A499 A501 A503 A505 A507 A509 A511 A513 A515 A517 A519 A521 A523 A525 A527 A529 A531 A533 A535 A537 A539 A541 A543 A545 A547 A549 A551 A553 A555 A557 A559 A561 A563 A565 A567 A569 A571 A573 A575 A577 A579 A581 A583 A585 A587 A589 A591 A593 A595 A597 A599 A601 A603 A605 A607 A609 A611 A613 A615 A617 A619 A621 A623 A625 A627 A629 A631 A633 A635 A637 A639 A641 A643 A645 A647 A649 A651 A653 A655 A657 A659 A661 A663 A665 A667 A669 A671 A673 A675 A677 A679 A681 A683 A685 A687 A689 A691 A693 A695 A697 A699 A701 A703 A705 A707 A709 A711 A713 A715 A717 A719 A721 A723 A725 A727 A729 A731 A733 A735 A737 A739 A741 A743 A745 A747 A749 A751 A753 A755 A757 A759 A761 A763 A765 A767 A769 A771 A773 A775 A777 A779 A781 A783 A785 A787 A789 A791 A793 A795 A797 A799 A801 A803 A805 A807 A809 A811 A813 A815 A817 A819 A821 A823 A825 A827 A829 A831 A833 A835 A837 A839 A841 A843 A845 A847 A849 A851 A853 A855 A857 A859 A861 A863 A865 A867 A869 A871 A873 A875 A877 A879 A881 A883 A885 A887 A889 A891 A893 A895 A897 A899 A901 A903 A905 A907 A909 A911 A913 A915 A917 A919 A921 A923 A925 A927 A929 A931 A933">
    <cfRule type="containsText" dxfId="2946" priority="8709" operator="containsText" text="E-Mail Sent">
      <formula>NOT(ISERROR(SEARCH("E-Mail Sent",A9)))</formula>
    </cfRule>
    <cfRule type="containsText" dxfId="2945" priority="8710" operator="containsText" text="E Mail">
      <formula>NOT(ISERROR(SEARCH("E Mail",A9)))</formula>
    </cfRule>
  </conditionalFormatting>
  <conditionalFormatting sqref="A4:A5 A7:A8 A10 A13 A15 A17 A22 A24 A26:A28 A30 A32 A34 A36 A38 A40 A42 A44 A46 A48 A50 A52 A54 A56 A58 A60 A62 A64 A66 A68 A70 A72 A74 A76 A78 A80 A82 A84 A86 A88 A90 A92 A94 A96 A98 A100 A102 A104 A106 A108 A110 A112 A114 A116 A118 A120 A122 A124 A126 A128 A130 A132 A134 A136 A138 A140 A142 A144 A146 A148 A150 A152 A154 A156 A158 A160 A162 A164 A166 A168 A170 A172 A174 A176 A178 A180 A182 A184 A186 A188 A190 A192 A194 A196 A198 A200 A202 A204 A206 A208 A210 A212 A214 A216 A218 A220 A222 A224 A226 A228 A230 A232 A234 A236 A238 A240 A242 A244 A246 A248 A250 A252 A254 A256 A258 A260 A262 A264 A266 A268 A270 A272 A274 A276 A278 A280 A282 A284 A286 A288 A290 A292 A294 A296 A298 A300 A302 A304 A306 A308 A310 A312 A314 A316 A318 A320 A322 A324 A326 A328 A330 A332 A334 A336 A338 A340 A342 A344 A346 A348 A350 A352 A354 A356 A358 A360 A362 A364 A366 A368 A370 A372 A374 A376 A378 A380 A382 A384 A386 A388 A390 A392 A394 A396 A398 A400 A402 A404 A406 A408 A410 A412 A414 A416 A418 A420 A422 A424 A426 A428 A430 A432 A434 A436 A438 A440 A442 A444 A446 A448 A450 A452 A454 A456 A458 A460 A462 A464 A466 A468 A470 A472 A474 A476 A478 A480 A482 A484 A486 A488 A490 A492 A494 A496 A498 A500 A502 A504 A506 A508 A510 A512 A514 A516 A518 A520 A522 A524 A526 A528 A530 A532 A534 A536 A538 A540 A542 A544 A546 A548 A550 A552 A554 A556 A558 A560 A562 A564 A566 A568 A570 A572 A574 A576 A578 A580 A582 A584 A586 A588 A590 A592 A594 A596 A598 A600 A602 A604 A606 A608 A610 A612 A614 A616 A618 A620 A622 A624 A626 A628 A630 A632 A634 A636 A638 A640 A642 A644 A646 A648 A650 A652 A654 A656 A658 A660 A662 A664 A666 A668 A670 A672 A674 A676 A678 A680 A682 A684 A686 A688 A690 A692 A694 A696 A698 A700 A702 A704 A706 A708 A710 A712 A714 A716 A718 A720 A722 A724 A726 A728 A730 A732 A734 A736 A738 A740 A742 A744 A746 A748 A750 A752 A754 A756 A758 A760 A762 A764 A766 A768 A770 A772 A774 A776 A778 A780 A782 A784 A786 A788 A790 A792 A794 A796 A798 A800 A802 A804 A806 A808 A810 A812 A814 A816 A818 A820 A822 A824 A826 A828 A830 A832 A834 A836 A838 A840 A842 A844 A846 A848 A850 A852 A854 A856 A858 A860 A862 A864 A866 A868 A870 A872 A874 A876 A878 A880 A882 A884 A886 A888 A890 A892 A894 A896 A898 A900 A902 A904 A906 A908 A910 A912 A914 A916 A918 A920 A922 A924 A926 A928 A930 A932">
    <cfRule type="containsText" dxfId="2944" priority="8707" operator="containsText" text="E-Mail Sent">
      <formula>NOT(ISERROR(SEARCH("E-Mail Sent",A4)))</formula>
    </cfRule>
    <cfRule type="containsText" dxfId="2943" priority="8708" operator="containsText" text="E Mail">
      <formula>NOT(ISERROR(SEARCH("E Mail",A4)))</formula>
    </cfRule>
  </conditionalFormatting>
  <conditionalFormatting sqref="A934:A7102">
    <cfRule type="containsText" dxfId="2942" priority="7991" operator="containsText" text="E-Mail Sent">
      <formula>NOT(ISERROR(SEARCH("E-Mail Sent",A934)))</formula>
    </cfRule>
    <cfRule type="containsText" dxfId="2941" priority="7992" operator="containsText" text="E Mail">
      <formula>NOT(ISERROR(SEARCH("E Mail",A934)))</formula>
    </cfRule>
  </conditionalFormatting>
  <conditionalFormatting sqref="A6">
    <cfRule type="containsText" dxfId="2940" priority="4809" operator="containsText" text="E-Mail Sent">
      <formula>NOT(ISERROR(SEARCH("E-Mail Sent",A6)))</formula>
    </cfRule>
    <cfRule type="containsText" dxfId="2939" priority="4810" operator="containsText" text="E Mail">
      <formula>NOT(ISERROR(SEARCH("E Mail",A6)))</formula>
    </cfRule>
  </conditionalFormatting>
  <conditionalFormatting sqref="A18:A19">
    <cfRule type="containsText" dxfId="2938" priority="2750" operator="containsText" text="E-Mail Sent">
      <formula>NOT(ISERROR(SEARCH("E-Mail Sent",A18)))</formula>
    </cfRule>
    <cfRule type="containsText" dxfId="2937" priority="2751" operator="containsText" text="E Mail">
      <formula>NOT(ISERROR(SEARCH("E Mail",A18)))</formula>
    </cfRule>
  </conditionalFormatting>
  <conditionalFormatting sqref="A20">
    <cfRule type="containsText" dxfId="2936" priority="2748" operator="containsText" text="E-Mail Sent">
      <formula>NOT(ISERROR(SEARCH("E-Mail Sent",A20)))</formula>
    </cfRule>
    <cfRule type="containsText" dxfId="2935" priority="2749" operator="containsText" text="E Mail">
      <formula>NOT(ISERROR(SEARCH("E Mail",A20)))</formula>
    </cfRule>
  </conditionalFormatting>
  <conditionalFormatting sqref="B1110:C2994 E1110:U2994 D1110:D3070 B31:U1109 B30:M30 O30:U30">
    <cfRule type="expression" dxfId="2934" priority="1079">
      <formula>$D30="Funded"</formula>
    </cfRule>
    <cfRule type="expression" dxfId="2933" priority="1081">
      <formula>$D30="Quote Sent"</formula>
    </cfRule>
    <cfRule type="expression" dxfId="2932" priority="1082">
      <formula>$D30="Potential Cancel"</formula>
    </cfRule>
    <cfRule type="expression" dxfId="2931" priority="1083">
      <formula>$D30="Suspended-Restructure"</formula>
    </cfRule>
    <cfRule type="expression" dxfId="2930" priority="1084">
      <formula>$D30="Clear to Close"</formula>
    </cfRule>
    <cfRule type="expression" dxfId="2929" priority="1086">
      <formula>$D30="Responded"</formula>
    </cfRule>
    <cfRule type="expression" dxfId="2928" priority="1087">
      <formula>$D30="Locked!"</formula>
    </cfRule>
    <cfRule type="expression" dxfId="2927" priority="1088">
      <formula>$D30="E-signed!"</formula>
    </cfRule>
    <cfRule type="expression" dxfId="2926" priority="1089">
      <formula>$D30="Docs Received!"</formula>
    </cfRule>
    <cfRule type="expression" dxfId="2925" priority="1090">
      <formula>$D30="Disclosures Going Out..."</formula>
    </cfRule>
    <cfRule type="expression" dxfId="2924" priority="1091">
      <formula>$D30="Disclosures Sent!"</formula>
    </cfRule>
    <cfRule type="expression" dxfId="2923" priority="1092">
      <formula>$D30="FIGURE - Link Sent!"</formula>
    </cfRule>
    <cfRule type="expression" dxfId="2922" priority="1093">
      <formula>$D30="Hard Money Opportunity"</formula>
    </cfRule>
    <cfRule type="expression" dxfId="2921" priority="1094">
      <formula>$D30="Communicating..."</formula>
    </cfRule>
    <cfRule type="expression" dxfId="2920" priority="1095">
      <formula>$D30="Not Interested"</formula>
    </cfRule>
    <cfRule type="expression" dxfId="2919" priority="1096">
      <formula>$D30="APP - Pitched &gt; Follow up"</formula>
    </cfRule>
    <cfRule type="expression" dxfId="2918" priority="1097">
      <formula>$D30="Appt Scheduled"</formula>
    </cfRule>
    <cfRule type="expression" dxfId="2917" priority="1098">
      <formula>$D30="Reverse Mortgage Opportunity"</formula>
    </cfRule>
    <cfRule type="expression" dxfId="2916" priority="1099">
      <formula>$D30="Purchase"</formula>
    </cfRule>
    <cfRule type="expression" dxfId="2915" priority="1100">
      <formula>$D30="Verified Approval Letter"</formula>
    </cfRule>
    <cfRule type="expression" dxfId="2914" priority="1101">
      <formula>$D30="*Thinking about it*"</formula>
    </cfRule>
    <cfRule type="expression" dxfId="2913" priority="1102">
      <formula>$D30="DNQ"</formula>
    </cfRule>
    <cfRule type="expression" dxfId="2912" priority="1103">
      <formula>$D30="Commercial/Business Loan"</formula>
    </cfRule>
    <cfRule type="expression" dxfId="2911" priority="1104">
      <formula>$D30="Credit - Wayfinder"</formula>
    </cfRule>
    <cfRule type="expression" dxfId="2910" priority="1105">
      <formula>$D30="Match or Beat"</formula>
    </cfRule>
    <cfRule type="expression" dxfId="2909" priority="1106">
      <formula>$D30="Future Deal"</formula>
    </cfRule>
    <cfRule type="expression" dxfId="2908" priority="1107">
      <formula>$D30="Prospect -Email Sent"</formula>
    </cfRule>
    <cfRule type="expression" dxfId="2907" priority="1108">
      <formula>$D30="STOP!"</formula>
    </cfRule>
    <cfRule type="expression" dxfId="2906" priority="1109">
      <formula>$D30="No Benefit"</formula>
    </cfRule>
    <cfRule type="expression" dxfId="2905" priority="1110">
      <formula>$D30="Went With Another Lender"</formula>
    </cfRule>
    <cfRule type="expression" dxfId="2904" priority="1111">
      <formula>$D30="LOCKED!"</formula>
    </cfRule>
    <cfRule type="expression" dxfId="2903" priority="1112">
      <formula>$D30="APP - Pitched &gt; Follow Up!"</formula>
    </cfRule>
    <cfRule type="expression" dxfId="2902" priority="1113">
      <formula>$D30="Prospect - Appt Scheduled"</formula>
    </cfRule>
    <cfRule type="expression" dxfId="2901" priority="1114">
      <formula>$D30="Appt Scheduled"</formula>
    </cfRule>
  </conditionalFormatting>
  <conditionalFormatting sqref="B25:U25 K26:U26 B28:C28 K28:U28 K21:U24 B26:C26 B4:U20 B22:C24 B27:U27">
    <cfRule type="expression" dxfId="2900" priority="976">
      <formula>$D4="Cancel-Decline"</formula>
    </cfRule>
    <cfRule type="expression" dxfId="2899" priority="977">
      <formula>$D4="Funded"</formula>
    </cfRule>
    <cfRule type="expression" dxfId="2898" priority="978">
      <formula>$D4="0 - MessageError!"</formula>
    </cfRule>
    <cfRule type="expression" dxfId="2897" priority="979">
      <formula>$D4="9- Changed Mind"</formula>
    </cfRule>
    <cfRule type="expression" dxfId="2896" priority="980">
      <formula>$D4="8- Home Values"</formula>
    </cfRule>
    <cfRule type="expression" dxfId="2895" priority="981">
      <formula>$D4="7- Market Drop"</formula>
    </cfRule>
    <cfRule type="expression" dxfId="2894" priority="982">
      <formula>$D4="6- Another Lender"</formula>
    </cfRule>
    <cfRule type="expression" dxfId="2893" priority="983">
      <formula>$D4="5- ChangedMind?"</formula>
    </cfRule>
    <cfRule type="expression" dxfId="2892" priority="984">
      <formula>$D4="4- Don'tQualify"</formula>
    </cfRule>
    <cfRule type="expression" dxfId="2891" priority="985">
      <formula>$D4="3- CashOut"</formula>
    </cfRule>
    <cfRule type="expression" dxfId="2890" priority="986">
      <formula>$D4="2- RevisedQuote"</formula>
    </cfRule>
    <cfRule type="expression" dxfId="2889" priority="987">
      <formula>$D4="1- FollowUp"</formula>
    </cfRule>
    <cfRule type="expression" dxfId="2888" priority="988" stopIfTrue="1">
      <formula>$D4="Responded"</formula>
    </cfRule>
    <cfRule type="expression" dxfId="2887" priority="989">
      <formula>$D4="Locked!"</formula>
    </cfRule>
    <cfRule type="expression" dxfId="2886" priority="990">
      <formula>$D4="E-signed!"</formula>
    </cfRule>
    <cfRule type="expression" dxfId="2885" priority="991">
      <formula>$D4="Docs Received!"</formula>
    </cfRule>
    <cfRule type="expression" dxfId="2884" priority="992">
      <formula>$D4="Disclosures Going Out..."</formula>
    </cfRule>
    <cfRule type="expression" dxfId="2883" priority="993">
      <formula>$D4="Disclosures Sent!"</formula>
    </cfRule>
    <cfRule type="expression" dxfId="2882" priority="994">
      <formula>$D4="FIGURE - Link Sent!"</formula>
    </cfRule>
    <cfRule type="expression" dxfId="2881" priority="995">
      <formula>$D4="Hard Money Opportunity"</formula>
    </cfRule>
    <cfRule type="expression" dxfId="2880" priority="996">
      <formula>$D4="Communicating..."</formula>
    </cfRule>
    <cfRule type="expression" dxfId="2879" priority="997">
      <formula>$D4="Not Interested"</formula>
    </cfRule>
    <cfRule type="expression" dxfId="2878" priority="998">
      <formula>$D4="APP - Pitched &gt; Follow up"</formula>
    </cfRule>
    <cfRule type="expression" dxfId="2877" priority="999">
      <formula>$D4="Appt Scheduled"</formula>
    </cfRule>
    <cfRule type="expression" dxfId="2876" priority="1000">
      <formula>$D4="Reverse Mortgage Opportunity"</formula>
    </cfRule>
    <cfRule type="expression" dxfId="2875" priority="1001">
      <formula>$D4="Purchase"</formula>
    </cfRule>
    <cfRule type="expression" dxfId="2874" priority="1002">
      <formula>$D4="Verified Approval Letter"</formula>
    </cfRule>
    <cfRule type="expression" dxfId="2873" priority="1003">
      <formula>$D4="*Thinking about it*"</formula>
    </cfRule>
    <cfRule type="expression" dxfId="2872" priority="1004">
      <formula>$D4="DNQ"</formula>
    </cfRule>
    <cfRule type="expression" dxfId="2871" priority="1005">
      <formula>$D4="Commercial/Business Loan"</formula>
    </cfRule>
    <cfRule type="expression" dxfId="2870" priority="1006">
      <formula>$D4="Credit - Wayfinder"</formula>
    </cfRule>
    <cfRule type="expression" dxfId="2869" priority="1007">
      <formula>$D4="Match or Beat"</formula>
    </cfRule>
    <cfRule type="expression" dxfId="2868" priority="1008">
      <formula>$D4="Future Deal"</formula>
    </cfRule>
    <cfRule type="expression" dxfId="2867" priority="1009">
      <formula>$D4="Prospect -Email Sent"</formula>
    </cfRule>
    <cfRule type="expression" dxfId="2866" priority="1010">
      <formula>$D4="STOP!"</formula>
    </cfRule>
    <cfRule type="expression" dxfId="2865" priority="1011">
      <formula>$D4="No Benefit"</formula>
    </cfRule>
    <cfRule type="expression" dxfId="2864" priority="1012">
      <formula>$D4="Went With Another Lender"</formula>
    </cfRule>
    <cfRule type="expression" dxfId="2863" priority="1013">
      <formula>$D4="Called 3x"</formula>
    </cfRule>
    <cfRule type="expression" dxfId="2862" priority="1014">
      <formula>$D4="Called 2x"</formula>
    </cfRule>
    <cfRule type="expression" dxfId="2861" priority="1015">
      <formula>$D4="T15 - MessageError!"</formula>
    </cfRule>
    <cfRule type="expression" dxfId="2860" priority="1016">
      <formula>$D4="T14 - Right Person?"</formula>
    </cfRule>
    <cfRule type="expression" dxfId="2859" priority="1017">
      <formula>$D4="T13 - Email"</formula>
    </cfRule>
    <cfRule type="expression" dxfId="2858" priority="1018">
      <formula>$D4="T12 - Blown Up"</formula>
    </cfRule>
    <cfRule type="expression" dxfId="2857" priority="1019">
      <formula>$D4="T11 - More Time?"</formula>
    </cfRule>
    <cfRule type="expression" dxfId="2856" priority="1020">
      <formula>$D4="T10 - Really Busy"</formula>
    </cfRule>
    <cfRule type="expression" dxfId="2855" priority="1021">
      <formula>$D4="T9 - Majority of Clients"</formula>
    </cfRule>
    <cfRule type="expression" dxfId="2854" priority="1022">
      <formula>$D4="T8 - STOP Contact"</formula>
    </cfRule>
    <cfRule type="expression" dxfId="2853" priority="1023">
      <formula>$D4="T7 - Another Lender"</formula>
    </cfRule>
    <cfRule type="expression" dxfId="2852" priority="1024">
      <formula>$D4="T6 - Don’t Qualify?"</formula>
    </cfRule>
    <cfRule type="expression" dxfId="2851" priority="1025">
      <formula>$D4="T5 - Debt Consolidation"</formula>
    </cfRule>
    <cfRule type="expression" dxfId="2850" priority="1026">
      <formula>$D4="T4 - Debt / Home"</formula>
    </cfRule>
    <cfRule type="expression" dxfId="2849" priority="1027">
      <formula>$D4="T3 - Correct Cash"</formula>
    </cfRule>
    <cfRule type="expression" dxfId="2848" priority="1028">
      <formula>$D4="T2 - Revised"</formula>
    </cfRule>
    <cfRule type="expression" dxfId="2847" priority="1029">
      <formula>$D4="T1 - Follow Up"</formula>
    </cfRule>
    <cfRule type="expression" dxfId="2846" priority="1030">
      <formula>$D4="APP - LOCKED!"</formula>
    </cfRule>
    <cfRule type="expression" dxfId="2845" priority="1031">
      <formula>$D4="LOCKED!"</formula>
    </cfRule>
    <cfRule type="expression" dxfId="2844" priority="1032">
      <formula>$D4="APP - Pitched &gt; Follow Up!"</formula>
    </cfRule>
    <cfRule type="expression" dxfId="2843" priority="1033">
      <formula>$D4="Pitched &gt; FOLLOW UP!"</formula>
    </cfRule>
    <cfRule type="expression" dxfId="2842" priority="1034">
      <formula>$D4="APP - Application Taken"</formula>
    </cfRule>
    <cfRule type="expression" dxfId="2841" priority="1035">
      <formula>$D4="AL - HOT!"</formula>
    </cfRule>
    <cfRule type="expression" dxfId="2840" priority="1036">
      <formula>$D4="AL - Responded"</formula>
    </cfRule>
    <cfRule type="expression" dxfId="2839" priority="1037">
      <formula>$D4="Prospect - Appt Scheduled"</formula>
    </cfRule>
    <cfRule type="expression" dxfId="2838" priority="1038">
      <formula>$D4="Appt Scheduled"</formula>
    </cfRule>
    <cfRule type="expression" dxfId="2837" priority="1039">
      <formula>$D4="Prospect - Follow Up"</formula>
    </cfRule>
    <cfRule type="expression" dxfId="2836" priority="1040">
      <formula>$D4="Prospect - HOT!"</formula>
    </cfRule>
    <cfRule type="expression" dxfId="2835" priority="1041">
      <formula>$D4="Prospect - Warm"</formula>
    </cfRule>
  </conditionalFormatting>
  <conditionalFormatting sqref="B25:U25 K26:U26 B28:C28 K28:U28 K21:U24 B26:C26 B4:U20 B22:C24 B27:U27">
    <cfRule type="expression" dxfId="2834" priority="972">
      <formula>$D4="Potential Cancel"</formula>
    </cfRule>
    <cfRule type="expression" dxfId="2833" priority="973">
      <formula>$D4="Suspended-Restructure"</formula>
    </cfRule>
    <cfRule type="expression" dxfId="2832" priority="974">
      <formula>$D4="Clear to Close"</formula>
    </cfRule>
  </conditionalFormatting>
  <conditionalFormatting sqref="C21">
    <cfRule type="expression" dxfId="2831" priority="838">
      <formula>$D21="0 - MessageError!"</formula>
    </cfRule>
    <cfRule type="expression" dxfId="2830" priority="839">
      <formula>$D21="9- Changed Mind"</formula>
    </cfRule>
    <cfRule type="expression" dxfId="2829" priority="840">
      <formula>$D21="8- Home Values"</formula>
    </cfRule>
    <cfRule type="expression" dxfId="2828" priority="841">
      <formula>$D21="7- Market Drop"</formula>
    </cfRule>
    <cfRule type="expression" dxfId="2827" priority="842">
      <formula>$D21="6- Another Lender"</formula>
    </cfRule>
    <cfRule type="expression" dxfId="2826" priority="843">
      <formula>$D21="5- ChangedMind?"</formula>
    </cfRule>
    <cfRule type="expression" dxfId="2825" priority="844">
      <formula>$D21="4- Don'tQualify"</formula>
    </cfRule>
    <cfRule type="expression" dxfId="2824" priority="845">
      <formula>$D21="3- CashOut"</formula>
    </cfRule>
    <cfRule type="expression" dxfId="2823" priority="846">
      <formula>$D21="2- RevisedQuote"</formula>
    </cfRule>
    <cfRule type="expression" dxfId="2822" priority="847">
      <formula>$D21="1- FollowUp"</formula>
    </cfRule>
    <cfRule type="expression" dxfId="2821" priority="848" stopIfTrue="1">
      <formula>$D21="Responded"</formula>
    </cfRule>
    <cfRule type="expression" dxfId="2820" priority="849">
      <formula>$D21="Locked!"</formula>
    </cfRule>
    <cfRule type="expression" dxfId="2819" priority="850">
      <formula>$D21="E-signed!"</formula>
    </cfRule>
    <cfRule type="expression" dxfId="2818" priority="851">
      <formula>$D21="Docs Received!"</formula>
    </cfRule>
    <cfRule type="expression" dxfId="2817" priority="852">
      <formula>$D21="Disclosures Going Out..."</formula>
    </cfRule>
    <cfRule type="expression" dxfId="2816" priority="853">
      <formula>$D21="Disclosures Sent!"</formula>
    </cfRule>
    <cfRule type="expression" dxfId="2815" priority="854">
      <formula>$D21="FIGURE - Link Sent!"</formula>
    </cfRule>
    <cfRule type="expression" dxfId="2814" priority="855">
      <formula>$D21="Hard Money Opportunity"</formula>
    </cfRule>
    <cfRule type="expression" dxfId="2813" priority="856">
      <formula>$D21="Communicating..."</formula>
    </cfRule>
    <cfRule type="expression" dxfId="2812" priority="857">
      <formula>$D21="Not Interested"</formula>
    </cfRule>
    <cfRule type="expression" dxfId="2811" priority="858">
      <formula>$D21="APP - Pitched &gt; Follow up"</formula>
    </cfRule>
    <cfRule type="expression" dxfId="2810" priority="859">
      <formula>$D21="Appt Scheduled"</formula>
    </cfRule>
    <cfRule type="expression" dxfId="2809" priority="860">
      <formula>$D21="Reverse Mortgage Opportunity"</formula>
    </cfRule>
    <cfRule type="expression" dxfId="2808" priority="861">
      <formula>$D21="Purchase"</formula>
    </cfRule>
    <cfRule type="expression" dxfId="2807" priority="862">
      <formula>$D21="Verified Approval Letter"</formula>
    </cfRule>
    <cfRule type="expression" dxfId="2806" priority="863">
      <formula>$D21="*Thinking about it*"</formula>
    </cfRule>
    <cfRule type="expression" dxfId="2805" priority="864">
      <formula>$D21="DNQ"</formula>
    </cfRule>
    <cfRule type="expression" dxfId="2804" priority="865">
      <formula>$D21="Commercial/Business Loan"</formula>
    </cfRule>
    <cfRule type="expression" dxfId="2803" priority="866">
      <formula>$D21="Credit - Wayfinder"</formula>
    </cfRule>
    <cfRule type="expression" dxfId="2802" priority="867">
      <formula>$D21="Match or Beat"</formula>
    </cfRule>
    <cfRule type="expression" dxfId="2801" priority="868">
      <formula>$D21="Future Deal"</formula>
    </cfRule>
    <cfRule type="expression" dxfId="2800" priority="869">
      <formula>$D21="Prospect -Email Sent"</formula>
    </cfRule>
    <cfRule type="expression" dxfId="2799" priority="870">
      <formula>$D21="STOP!"</formula>
    </cfRule>
    <cfRule type="expression" dxfId="2798" priority="871">
      <formula>$D21="Cold - Unresponsive"</formula>
    </cfRule>
    <cfRule type="expression" dxfId="2797" priority="872">
      <formula>$D21="Cold - Wrong Number"</formula>
    </cfRule>
    <cfRule type="expression" dxfId="2796" priority="873">
      <formula>$D21="Called 3x"</formula>
    </cfRule>
    <cfRule type="expression" dxfId="2795" priority="874">
      <formula>$D21="Called 2x"</formula>
    </cfRule>
    <cfRule type="expression" dxfId="2794" priority="875">
      <formula>$D21="T15 - MessageError!"</formula>
    </cfRule>
    <cfRule type="expression" dxfId="2793" priority="876">
      <formula>$D21="T14 - Right Person?"</formula>
    </cfRule>
    <cfRule type="expression" dxfId="2792" priority="877">
      <formula>$D21="T13 - Email"</formula>
    </cfRule>
    <cfRule type="expression" dxfId="2791" priority="878">
      <formula>$D21="T12 - Blown Up"</formula>
    </cfRule>
    <cfRule type="expression" dxfId="2790" priority="879">
      <formula>$D21="T11 - More Time?"</formula>
    </cfRule>
    <cfRule type="expression" dxfId="2789" priority="880">
      <formula>$D21="T10 - Really Busy"</formula>
    </cfRule>
    <cfRule type="expression" dxfId="2788" priority="881">
      <formula>$D21="T9 - Majority of Clients"</formula>
    </cfRule>
    <cfRule type="expression" dxfId="2787" priority="882">
      <formula>$D21="T8 - STOP Contact"</formula>
    </cfRule>
    <cfRule type="expression" dxfId="2786" priority="883">
      <formula>$D21="T7 - Another Lender"</formula>
    </cfRule>
    <cfRule type="expression" dxfId="2785" priority="884">
      <formula>$D21="T6 - Don’t Qualify?"</formula>
    </cfRule>
    <cfRule type="expression" dxfId="2784" priority="885">
      <formula>$D21="T5 - Debt Consolidation"</formula>
    </cfRule>
    <cfRule type="expression" dxfId="2783" priority="886">
      <formula>$D21="T4 - Debt / Home"</formula>
    </cfRule>
    <cfRule type="expression" dxfId="2782" priority="887">
      <formula>$D21="T3 - Correct Cash"</formula>
    </cfRule>
    <cfRule type="expression" dxfId="2781" priority="888">
      <formula>$D21="T2 - Revised"</formula>
    </cfRule>
    <cfRule type="expression" dxfId="2780" priority="889">
      <formula>$D21="T1 - Follow Up"</formula>
    </cfRule>
    <cfRule type="expression" dxfId="2779" priority="890">
      <formula>$D21="APP - LOCKED!"</formula>
    </cfRule>
    <cfRule type="expression" dxfId="2778" priority="891">
      <formula>$D21="LOCKED!"</formula>
    </cfRule>
    <cfRule type="expression" dxfId="2777" priority="892">
      <formula>$D21="APP - Pitched &gt; Follow Up!"</formula>
    </cfRule>
    <cfRule type="expression" dxfId="2776" priority="893">
      <formula>$D21="Pitched &gt; FOLLOW UP!"</formula>
    </cfRule>
    <cfRule type="expression" dxfId="2775" priority="894">
      <formula>$D21="APP - Application Taken"</formula>
    </cfRule>
    <cfRule type="expression" dxfId="2774" priority="895">
      <formula>$D21="AL - HOT!"</formula>
    </cfRule>
    <cfRule type="expression" dxfId="2773" priority="896">
      <formula>$D21="AL - Responded"</formula>
    </cfRule>
    <cfRule type="expression" dxfId="2772" priority="897">
      <formula>$D21="Prospect - Appt Scheduled"</formula>
    </cfRule>
    <cfRule type="expression" dxfId="2771" priority="898">
      <formula>$D21="Appt Scheduled"</formula>
    </cfRule>
    <cfRule type="expression" dxfId="2770" priority="899">
      <formula>$D21="Prospect - Follow Up"</formula>
    </cfRule>
    <cfRule type="expression" dxfId="2769" priority="900">
      <formula>$D21="Prospect - HOT!"</formula>
    </cfRule>
    <cfRule type="expression" dxfId="2768" priority="901">
      <formula>$D21="Prospect - Warm"</formula>
    </cfRule>
  </conditionalFormatting>
  <conditionalFormatting sqref="C21">
    <cfRule type="expression" dxfId="2767" priority="837">
      <formula>$D21="0 - MessageError!"</formula>
    </cfRule>
  </conditionalFormatting>
  <conditionalFormatting sqref="C21">
    <cfRule type="expression" dxfId="2766" priority="771">
      <formula>$D21="Cancel-Decline"</formula>
    </cfRule>
    <cfRule type="expression" dxfId="2765" priority="772">
      <formula>$D21="Funded"</formula>
    </cfRule>
    <cfRule type="expression" dxfId="2764" priority="773">
      <formula>$D21="Pitched &gt; FOLLOW UP!"</formula>
    </cfRule>
    <cfRule type="expression" dxfId="2763" priority="774">
      <formula>$D21="0 - MessageError!"</formula>
    </cfRule>
    <cfRule type="expression" dxfId="2762" priority="775">
      <formula>$D21="9- Changed Mind"</formula>
    </cfRule>
    <cfRule type="expression" dxfId="2761" priority="776">
      <formula>$D21="8- Home Values"</formula>
    </cfRule>
    <cfRule type="expression" dxfId="2760" priority="777">
      <formula>$D21="7- Market Drop"</formula>
    </cfRule>
    <cfRule type="expression" dxfId="2759" priority="778">
      <formula>$D21="6- Another Lender"</formula>
    </cfRule>
    <cfRule type="expression" dxfId="2758" priority="779">
      <formula>$D21="5- ChangedMind?"</formula>
    </cfRule>
    <cfRule type="expression" dxfId="2757" priority="780">
      <formula>$D21="4- Don'tQualify"</formula>
    </cfRule>
    <cfRule type="expression" dxfId="2756" priority="781">
      <formula>$D21="3- CashOut"</formula>
    </cfRule>
    <cfRule type="expression" dxfId="2755" priority="782">
      <formula>$D21="2- RevisedQuote"</formula>
    </cfRule>
    <cfRule type="expression" dxfId="2754" priority="783">
      <formula>$D21="1- FollowUp"</formula>
    </cfRule>
    <cfRule type="expression" dxfId="2753" priority="784">
      <formula>$D21="Responded"</formula>
    </cfRule>
    <cfRule type="expression" dxfId="2752" priority="785">
      <formula>$D21="Locked!"</formula>
    </cfRule>
    <cfRule type="expression" dxfId="2751" priority="786">
      <formula>$D21="E-signed!"</formula>
    </cfRule>
    <cfRule type="expression" dxfId="2750" priority="787">
      <formula>$D21="Docs Received!"</formula>
    </cfRule>
    <cfRule type="expression" dxfId="2749" priority="788">
      <formula>$D21="Disclosures Going Out..."</formula>
    </cfRule>
    <cfRule type="expression" dxfId="2748" priority="789">
      <formula>$D21="Disclosures Sent!"</formula>
    </cfRule>
    <cfRule type="expression" dxfId="2747" priority="790">
      <formula>$D21="FIGURE - Link Sent!"</formula>
    </cfRule>
    <cfRule type="expression" dxfId="2746" priority="791">
      <formula>$D21="Hard Money Opportunity"</formula>
    </cfRule>
    <cfRule type="expression" dxfId="2745" priority="792">
      <formula>$D21="Communicating..."</formula>
    </cfRule>
    <cfRule type="expression" dxfId="2744" priority="793">
      <formula>$D21="Not Interested"</formula>
    </cfRule>
    <cfRule type="expression" dxfId="2743" priority="794">
      <formula>$D21="APP - Pitched &gt; Follow up"</formula>
    </cfRule>
    <cfRule type="expression" dxfId="2742" priority="795">
      <formula>$D21="Appt Scheduled"</formula>
    </cfRule>
    <cfRule type="expression" dxfId="2741" priority="796">
      <formula>$D21="Reverse Mortgage Opportunity"</formula>
    </cfRule>
    <cfRule type="expression" dxfId="2740" priority="797">
      <formula>$D21="Purchase"</formula>
    </cfRule>
    <cfRule type="expression" dxfId="2739" priority="798">
      <formula>$D21="Verified Approval Letter"</formula>
    </cfRule>
    <cfRule type="expression" dxfId="2738" priority="799">
      <formula>$D21="*Thinking about it*"</formula>
    </cfRule>
    <cfRule type="expression" dxfId="2737" priority="800">
      <formula>$D21="DNQ"</formula>
    </cfRule>
    <cfRule type="expression" dxfId="2736" priority="801">
      <formula>$D21="Commercial/Business Loan"</formula>
    </cfRule>
    <cfRule type="expression" dxfId="2735" priority="802">
      <formula>$D21="Credit - Wayfinder"</formula>
    </cfRule>
    <cfRule type="expression" dxfId="2734" priority="803">
      <formula>$D21="Match or Beat"</formula>
    </cfRule>
    <cfRule type="expression" dxfId="2733" priority="804">
      <formula>$D21="Future Deal"</formula>
    </cfRule>
    <cfRule type="expression" dxfId="2732" priority="805">
      <formula>$D21="Prospect -Email Sent"</formula>
    </cfRule>
    <cfRule type="expression" dxfId="2731" priority="806">
      <formula>$D21="STOP!"</formula>
    </cfRule>
    <cfRule type="expression" dxfId="2730" priority="807">
      <formula>$D21="Cold - Unresponsive"</formula>
    </cfRule>
    <cfRule type="expression" dxfId="2729" priority="808">
      <formula>$D21="Cold - Wrong Number"</formula>
    </cfRule>
    <cfRule type="expression" dxfId="2728" priority="809">
      <formula>$D21="Called 3x"</formula>
    </cfRule>
    <cfRule type="expression" dxfId="2727" priority="810">
      <formula>$D21="Called 2x"</formula>
    </cfRule>
    <cfRule type="expression" dxfId="2726" priority="811">
      <formula>$D21="T15 - MessageError!"</formula>
    </cfRule>
    <cfRule type="expression" dxfId="2725" priority="812">
      <formula>$D21="T14 - Right Person?"</formula>
    </cfRule>
    <cfRule type="expression" dxfId="2724" priority="813">
      <formula>$D21="T13 - Email"</formula>
    </cfRule>
    <cfRule type="expression" dxfId="2723" priority="814">
      <formula>$D21="T12 - Blown Up"</formula>
    </cfRule>
    <cfRule type="expression" dxfId="2722" priority="815">
      <formula>$D21="T11 - More Time?"</formula>
    </cfRule>
    <cfRule type="expression" dxfId="2721" priority="816">
      <formula>$D21="T10 - Really Busy"</formula>
    </cfRule>
    <cfRule type="expression" dxfId="2720" priority="817">
      <formula>$D21="T9 - Majority of Clients"</formula>
    </cfRule>
    <cfRule type="expression" dxfId="2719" priority="818">
      <formula>$D21="T8 - STOP Contact"</formula>
    </cfRule>
    <cfRule type="expression" dxfId="2718" priority="819">
      <formula>$D21="T7 - Another Lender"</formula>
    </cfRule>
    <cfRule type="expression" dxfId="2717" priority="820">
      <formula>$D21="T6 - Don’t Qualify?"</formula>
    </cfRule>
    <cfRule type="expression" dxfId="2716" priority="821">
      <formula>$D21="T5 - Debt Consolidation"</formula>
    </cfRule>
    <cfRule type="expression" dxfId="2715" priority="822">
      <formula>$D21="T4 - Debt / Home"</formula>
    </cfRule>
    <cfRule type="expression" dxfId="2714" priority="823">
      <formula>$D21="T3 - Correct Cash"</formula>
    </cfRule>
    <cfRule type="expression" dxfId="2713" priority="824">
      <formula>$D21="T2 - Revised"</formula>
    </cfRule>
    <cfRule type="expression" dxfId="2712" priority="825">
      <formula>$D21="T1 - Follow Up"</formula>
    </cfRule>
    <cfRule type="expression" dxfId="2711" priority="826">
      <formula>$D21="APP - LOCKED!"</formula>
    </cfRule>
    <cfRule type="expression" dxfId="2710" priority="827">
      <formula>$D21="LOCKED!"</formula>
    </cfRule>
    <cfRule type="expression" dxfId="2709" priority="828">
      <formula>$D21="APP - Pitched &gt; Follow Up!"</formula>
    </cfRule>
    <cfRule type="expression" dxfId="2708" priority="829">
      <formula>$D21="APP - Application Taken"</formula>
    </cfRule>
    <cfRule type="expression" dxfId="2707" priority="830">
      <formula>$D21="AL - HOT!"</formula>
    </cfRule>
    <cfRule type="expression" dxfId="2706" priority="831">
      <formula>$D21="AL - Responded"</formula>
    </cfRule>
    <cfRule type="expression" dxfId="2705" priority="832">
      <formula>$D21="Prospect - Appt Scheduled"</formula>
    </cfRule>
    <cfRule type="expression" dxfId="2704" priority="833">
      <formula>$D21="Appt Scheduled"</formula>
    </cfRule>
    <cfRule type="expression" dxfId="2703" priority="834">
      <formula>$D21="Prospect - Follow Up"</formula>
    </cfRule>
    <cfRule type="expression" dxfId="2702" priority="835">
      <formula>$D21="Prospect - HOT!"</formula>
    </cfRule>
    <cfRule type="expression" dxfId="2701" priority="836">
      <formula>$D21="Prospect - Warm"</formula>
    </cfRule>
  </conditionalFormatting>
  <conditionalFormatting sqref="D21:J21">
    <cfRule type="expression" dxfId="2700" priority="705">
      <formula>$D21="Cancel-Decline"</formula>
    </cfRule>
    <cfRule type="expression" dxfId="2699" priority="706">
      <formula>$D21="Funded"</formula>
    </cfRule>
    <cfRule type="expression" dxfId="2698" priority="707">
      <formula>$D21="0 - MessageError!"</formula>
    </cfRule>
    <cfRule type="expression" dxfId="2697" priority="708">
      <formula>$D21="9- Changed Mind"</formula>
    </cfRule>
    <cfRule type="expression" dxfId="2696" priority="709">
      <formula>$D21="8- Home Values"</formula>
    </cfRule>
    <cfRule type="expression" dxfId="2695" priority="710">
      <formula>$D21="7- Market Drop"</formula>
    </cfRule>
    <cfRule type="expression" dxfId="2694" priority="711">
      <formula>$D21="6- Another Lender"</formula>
    </cfRule>
    <cfRule type="expression" dxfId="2693" priority="712">
      <formula>$D21="5- ChangedMind?"</formula>
    </cfRule>
    <cfRule type="expression" dxfId="2692" priority="713">
      <formula>$D21="4- Don'tQualify"</formula>
    </cfRule>
    <cfRule type="expression" dxfId="2691" priority="714">
      <formula>$D21="3- CashOut"</formula>
    </cfRule>
    <cfRule type="expression" dxfId="2690" priority="715">
      <formula>$D21="2- RevisedQuote"</formula>
    </cfRule>
    <cfRule type="expression" dxfId="2689" priority="716">
      <formula>$D21="1- FollowUp"</formula>
    </cfRule>
    <cfRule type="expression" dxfId="2688" priority="717" stopIfTrue="1">
      <formula>$D21="Responded"</formula>
    </cfRule>
    <cfRule type="expression" dxfId="2687" priority="718">
      <formula>$D21="Locked!"</formula>
    </cfRule>
    <cfRule type="expression" dxfId="2686" priority="719">
      <formula>$D21="E-signed!"</formula>
    </cfRule>
    <cfRule type="expression" dxfId="2685" priority="720">
      <formula>$D21="Docs Received!"</formula>
    </cfRule>
    <cfRule type="expression" dxfId="2684" priority="721">
      <formula>$D21="Disclosures Going Out..."</formula>
    </cfRule>
    <cfRule type="expression" dxfId="2683" priority="722">
      <formula>$D21="Disclosures Sent!"</formula>
    </cfRule>
    <cfRule type="expression" dxfId="2682" priority="723">
      <formula>$D21="FIGURE - Link Sent!"</formula>
    </cfRule>
    <cfRule type="expression" dxfId="2681" priority="724">
      <formula>$D21="Hard Money Opportunity"</formula>
    </cfRule>
    <cfRule type="expression" dxfId="2680" priority="725">
      <formula>$D21="Communicating..."</formula>
    </cfRule>
    <cfRule type="expression" dxfId="2679" priority="726">
      <formula>$D21="Not Interested"</formula>
    </cfRule>
    <cfRule type="expression" dxfId="2678" priority="727">
      <formula>$D21="APP - Pitched &gt; Follow up"</formula>
    </cfRule>
    <cfRule type="expression" dxfId="2677" priority="728">
      <formula>$D21="Appt Scheduled"</formula>
    </cfRule>
    <cfRule type="expression" dxfId="2676" priority="729">
      <formula>$D21="Reverse Mortgage Opportunity"</formula>
    </cfRule>
    <cfRule type="expression" dxfId="2675" priority="730">
      <formula>$D21="Purchase"</formula>
    </cfRule>
    <cfRule type="expression" dxfId="2674" priority="731">
      <formula>$D21="Verified Approval Letter"</formula>
    </cfRule>
    <cfRule type="expression" dxfId="2673" priority="732">
      <formula>$D21="*Thinking about it*"</formula>
    </cfRule>
    <cfRule type="expression" dxfId="2672" priority="733">
      <formula>$D21="DNQ"</formula>
    </cfRule>
    <cfRule type="expression" dxfId="2671" priority="734">
      <formula>$D21="Commercial/Business Loan"</formula>
    </cfRule>
    <cfRule type="expression" dxfId="2670" priority="735">
      <formula>$D21="Credit - Wayfinder"</formula>
    </cfRule>
    <cfRule type="expression" dxfId="2669" priority="736">
      <formula>$D21="Match or Beat"</formula>
    </cfRule>
    <cfRule type="expression" dxfId="2668" priority="737">
      <formula>$D21="Future Deal"</formula>
    </cfRule>
    <cfRule type="expression" dxfId="2667" priority="738">
      <formula>$D21="Prospect -Email Sent"</formula>
    </cfRule>
    <cfRule type="expression" dxfId="2666" priority="739">
      <formula>$D21="STOP!"</formula>
    </cfRule>
    <cfRule type="expression" dxfId="2665" priority="740">
      <formula>$D21="No Benefit"</formula>
    </cfRule>
    <cfRule type="expression" dxfId="2664" priority="741">
      <formula>$D21="Went With Another Lender"</formula>
    </cfRule>
    <cfRule type="expression" dxfId="2663" priority="742">
      <formula>$D21="Called 3x"</formula>
    </cfRule>
    <cfRule type="expression" dxfId="2662" priority="743">
      <formula>$D21="Called 2x"</formula>
    </cfRule>
    <cfRule type="expression" dxfId="2661" priority="744">
      <formula>$D21="T15 - MessageError!"</formula>
    </cfRule>
    <cfRule type="expression" dxfId="2660" priority="745">
      <formula>$D21="T14 - Right Person?"</formula>
    </cfRule>
    <cfRule type="expression" dxfId="2659" priority="746">
      <formula>$D21="T13 - Email"</formula>
    </cfRule>
    <cfRule type="expression" dxfId="2658" priority="747">
      <formula>$D21="T12 - Blown Up"</formula>
    </cfRule>
    <cfRule type="expression" dxfId="2657" priority="748">
      <formula>$D21="T11 - More Time?"</formula>
    </cfRule>
    <cfRule type="expression" dxfId="2656" priority="749">
      <formula>$D21="T10 - Really Busy"</formula>
    </cfRule>
    <cfRule type="expression" dxfId="2655" priority="750">
      <formula>$D21="T9 - Majority of Clients"</formula>
    </cfRule>
    <cfRule type="expression" dxfId="2654" priority="751">
      <formula>$D21="T8 - STOP Contact"</formula>
    </cfRule>
    <cfRule type="expression" dxfId="2653" priority="752">
      <formula>$D21="T7 - Another Lender"</formula>
    </cfRule>
    <cfRule type="expression" dxfId="2652" priority="753">
      <formula>$D21="T6 - Don’t Qualify?"</formula>
    </cfRule>
    <cfRule type="expression" dxfId="2651" priority="754">
      <formula>$D21="T5 - Debt Consolidation"</formula>
    </cfRule>
    <cfRule type="expression" dxfId="2650" priority="755">
      <formula>$D21="T4 - Debt / Home"</formula>
    </cfRule>
    <cfRule type="expression" dxfId="2649" priority="756">
      <formula>$D21="T3 - Correct Cash"</formula>
    </cfRule>
    <cfRule type="expression" dxfId="2648" priority="757">
      <formula>$D21="T2 - Revised"</formula>
    </cfRule>
    <cfRule type="expression" dxfId="2647" priority="758">
      <formula>$D21="T1 - Follow Up"</formula>
    </cfRule>
    <cfRule type="expression" dxfId="2646" priority="759">
      <formula>$D21="APP - LOCKED!"</formula>
    </cfRule>
    <cfRule type="expression" dxfId="2645" priority="760">
      <formula>$D21="LOCKED!"</formula>
    </cfRule>
    <cfRule type="expression" dxfId="2644" priority="761">
      <formula>$D21="APP - Pitched &gt; Follow Up!"</formula>
    </cfRule>
    <cfRule type="expression" dxfId="2643" priority="762">
      <formula>$D21="Pitched &gt; FOLLOW UP!"</formula>
    </cfRule>
    <cfRule type="expression" dxfId="2642" priority="763">
      <formula>$D21="APP - Application Taken"</formula>
    </cfRule>
    <cfRule type="expression" dxfId="2641" priority="764">
      <formula>$D21="AL - HOT!"</formula>
    </cfRule>
    <cfRule type="expression" dxfId="2640" priority="765">
      <formula>$D21="AL - Responded"</formula>
    </cfRule>
    <cfRule type="expression" dxfId="2639" priority="766">
      <formula>$D21="Prospect - Appt Scheduled"</formula>
    </cfRule>
    <cfRule type="expression" dxfId="2638" priority="767">
      <formula>$D21="Appt Scheduled"</formula>
    </cfRule>
    <cfRule type="expression" dxfId="2637" priority="768">
      <formula>$D21="Prospect - Follow Up"</formula>
    </cfRule>
    <cfRule type="expression" dxfId="2636" priority="769">
      <formula>$D21="Prospect - HOT!"</formula>
    </cfRule>
    <cfRule type="expression" dxfId="2635" priority="770">
      <formula>$D21="Prospect - Warm"</formula>
    </cfRule>
  </conditionalFormatting>
  <conditionalFormatting sqref="D21:J21">
    <cfRule type="expression" dxfId="2634" priority="701">
      <formula>$D21="Potential Cancel"</formula>
    </cfRule>
    <cfRule type="expression" dxfId="2633" priority="702">
      <formula>$D21="Suspended-Restructure"</formula>
    </cfRule>
    <cfRule type="expression" dxfId="2632" priority="703">
      <formula>$D21="Clear to Close"</formula>
    </cfRule>
    <cfRule type="expression" dxfId="2631" priority="704">
      <formula>$D21="Submitted to Underwriting"</formula>
    </cfRule>
  </conditionalFormatting>
  <conditionalFormatting sqref="D22:J22">
    <cfRule type="expression" dxfId="2630" priority="635">
      <formula>$D22="Cancel-Decline"</formula>
    </cfRule>
    <cfRule type="expression" dxfId="2629" priority="636">
      <formula>$D22="Funded"</formula>
    </cfRule>
    <cfRule type="expression" dxfId="2628" priority="637">
      <formula>$D22="0 - MessageError!"</formula>
    </cfRule>
    <cfRule type="expression" dxfId="2627" priority="638">
      <formula>$D22="9- Changed Mind"</formula>
    </cfRule>
    <cfRule type="expression" dxfId="2626" priority="639">
      <formula>$D22="8- Home Values"</formula>
    </cfRule>
    <cfRule type="expression" dxfId="2625" priority="640">
      <formula>$D22="7- Market Drop"</formula>
    </cfRule>
    <cfRule type="expression" dxfId="2624" priority="641">
      <formula>$D22="6- Another Lender"</formula>
    </cfRule>
    <cfRule type="expression" dxfId="2623" priority="642">
      <formula>$D22="5- ChangedMind?"</formula>
    </cfRule>
    <cfRule type="expression" dxfId="2622" priority="643">
      <formula>$D22="4- Don'tQualify"</formula>
    </cfRule>
    <cfRule type="expression" dxfId="2621" priority="644">
      <formula>$D22="3- CashOut"</formula>
    </cfRule>
    <cfRule type="expression" dxfId="2620" priority="645">
      <formula>$D22="2- RevisedQuote"</formula>
    </cfRule>
    <cfRule type="expression" dxfId="2619" priority="646">
      <formula>$D22="1- FollowUp"</formula>
    </cfRule>
    <cfRule type="expression" dxfId="2618" priority="647" stopIfTrue="1">
      <formula>$D22="Responded"</formula>
    </cfRule>
    <cfRule type="expression" dxfId="2617" priority="648">
      <formula>$D22="Locked!"</formula>
    </cfRule>
    <cfRule type="expression" dxfId="2616" priority="649">
      <formula>$D22="E-signed!"</formula>
    </cfRule>
    <cfRule type="expression" dxfId="2615" priority="650">
      <formula>$D22="Docs Received!"</formula>
    </cfRule>
    <cfRule type="expression" dxfId="2614" priority="651">
      <formula>$D22="Disclosures Going Out..."</formula>
    </cfRule>
    <cfRule type="expression" dxfId="2613" priority="652">
      <formula>$D22="Disclosures Sent!"</formula>
    </cfRule>
    <cfRule type="expression" dxfId="2612" priority="653">
      <formula>$D22="FIGURE - Link Sent!"</formula>
    </cfRule>
    <cfRule type="expression" dxfId="2611" priority="654">
      <formula>$D22="Hard Money Opportunity"</formula>
    </cfRule>
    <cfRule type="expression" dxfId="2610" priority="655">
      <formula>$D22="Communicating..."</formula>
    </cfRule>
    <cfRule type="expression" dxfId="2609" priority="656">
      <formula>$D22="Not Interested"</formula>
    </cfRule>
    <cfRule type="expression" dxfId="2608" priority="657">
      <formula>$D22="APP - Pitched &gt; Follow up"</formula>
    </cfRule>
    <cfRule type="expression" dxfId="2607" priority="658">
      <formula>$D22="Appt Scheduled"</formula>
    </cfRule>
    <cfRule type="expression" dxfId="2606" priority="659">
      <formula>$D22="Reverse Mortgage Opportunity"</formula>
    </cfRule>
    <cfRule type="expression" dxfId="2605" priority="660">
      <formula>$D22="Purchase"</formula>
    </cfRule>
    <cfRule type="expression" dxfId="2604" priority="661">
      <formula>$D22="Verified Approval Letter"</formula>
    </cfRule>
    <cfRule type="expression" dxfId="2603" priority="662">
      <formula>$D22="*Thinking about it*"</formula>
    </cfRule>
    <cfRule type="expression" dxfId="2602" priority="663">
      <formula>$D22="DNQ"</formula>
    </cfRule>
    <cfRule type="expression" dxfId="2601" priority="664">
      <formula>$D22="Commercial/Business Loan"</formula>
    </cfRule>
    <cfRule type="expression" dxfId="2600" priority="665">
      <formula>$D22="Credit - Wayfinder"</formula>
    </cfRule>
    <cfRule type="expression" dxfId="2599" priority="666">
      <formula>$D22="Match or Beat"</formula>
    </cfRule>
    <cfRule type="expression" dxfId="2598" priority="667">
      <formula>$D22="Future Deal"</formula>
    </cfRule>
    <cfRule type="expression" dxfId="2597" priority="668">
      <formula>$D22="Prospect -Email Sent"</formula>
    </cfRule>
    <cfRule type="expression" dxfId="2596" priority="669">
      <formula>$D22="STOP!"</formula>
    </cfRule>
    <cfRule type="expression" dxfId="2595" priority="670">
      <formula>$D22="No Benefit"</formula>
    </cfRule>
    <cfRule type="expression" dxfId="2594" priority="671">
      <formula>$D22="Went With Another Lender"</formula>
    </cfRule>
    <cfRule type="expression" dxfId="2593" priority="672">
      <formula>$D22="Called 3x"</formula>
    </cfRule>
    <cfRule type="expression" dxfId="2592" priority="673">
      <formula>$D22="Called 2x"</formula>
    </cfRule>
    <cfRule type="expression" dxfId="2591" priority="674">
      <formula>$D22="T15 - MessageError!"</formula>
    </cfRule>
    <cfRule type="expression" dxfId="2590" priority="675">
      <formula>$D22="T14 - Right Person?"</formula>
    </cfRule>
    <cfRule type="expression" dxfId="2589" priority="676">
      <formula>$D22="T13 - Email"</formula>
    </cfRule>
    <cfRule type="expression" dxfId="2588" priority="677">
      <formula>$D22="T12 - Blown Up"</formula>
    </cfRule>
    <cfRule type="expression" dxfId="2587" priority="678">
      <formula>$D22="T11 - More Time?"</formula>
    </cfRule>
    <cfRule type="expression" dxfId="2586" priority="679">
      <formula>$D22="T10 - Really Busy"</formula>
    </cfRule>
    <cfRule type="expression" dxfId="2585" priority="680">
      <formula>$D22="T9 - Majority of Clients"</formula>
    </cfRule>
    <cfRule type="expression" dxfId="2584" priority="681">
      <formula>$D22="T8 - STOP Contact"</formula>
    </cfRule>
    <cfRule type="expression" dxfId="2583" priority="682">
      <formula>$D22="T7 - Another Lender"</formula>
    </cfRule>
    <cfRule type="expression" dxfId="2582" priority="683">
      <formula>$D22="T6 - Don’t Qualify?"</formula>
    </cfRule>
    <cfRule type="expression" dxfId="2581" priority="684">
      <formula>$D22="T5 - Debt Consolidation"</formula>
    </cfRule>
    <cfRule type="expression" dxfId="2580" priority="685">
      <formula>$D22="T4 - Debt / Home"</formula>
    </cfRule>
    <cfRule type="expression" dxfId="2579" priority="686">
      <formula>$D22="T3 - Correct Cash"</formula>
    </cfRule>
    <cfRule type="expression" dxfId="2578" priority="687">
      <formula>$D22="T2 - Revised"</formula>
    </cfRule>
    <cfRule type="expression" dxfId="2577" priority="688">
      <formula>$D22="T1 - Follow Up"</formula>
    </cfRule>
    <cfRule type="expression" dxfId="2576" priority="689">
      <formula>$D22="APP - LOCKED!"</formula>
    </cfRule>
    <cfRule type="expression" dxfId="2575" priority="690">
      <formula>$D22="LOCKED!"</formula>
    </cfRule>
    <cfRule type="expression" dxfId="2574" priority="691">
      <formula>$D22="APP - Pitched &gt; Follow Up!"</formula>
    </cfRule>
    <cfRule type="expression" dxfId="2573" priority="692">
      <formula>$D22="Pitched &gt; FOLLOW UP!"</formula>
    </cfRule>
    <cfRule type="expression" dxfId="2572" priority="693">
      <formula>$D22="APP - Application Taken"</formula>
    </cfRule>
    <cfRule type="expression" dxfId="2571" priority="694">
      <formula>$D22="AL - HOT!"</formula>
    </cfRule>
    <cfRule type="expression" dxfId="2570" priority="695">
      <formula>$D22="AL - Responded"</formula>
    </cfRule>
    <cfRule type="expression" dxfId="2569" priority="696">
      <formula>$D22="Prospect - Appt Scheduled"</formula>
    </cfRule>
    <cfRule type="expression" dxfId="2568" priority="697">
      <formula>$D22="Appt Scheduled"</formula>
    </cfRule>
    <cfRule type="expression" dxfId="2567" priority="698">
      <formula>$D22="Prospect - Follow Up"</formula>
    </cfRule>
    <cfRule type="expression" dxfId="2566" priority="699">
      <formula>$D22="Prospect - HOT!"</formula>
    </cfRule>
    <cfRule type="expression" dxfId="2565" priority="700">
      <formula>$D22="Prospect - Warm"</formula>
    </cfRule>
  </conditionalFormatting>
  <conditionalFormatting sqref="D22:J22">
    <cfRule type="expression" dxfId="2564" priority="631">
      <formula>$D22="Potential Cancel"</formula>
    </cfRule>
    <cfRule type="expression" dxfId="2563" priority="632">
      <formula>$D22="Suspended-Restructure"</formula>
    </cfRule>
    <cfRule type="expression" dxfId="2562" priority="633">
      <formula>$D22="Clear to Close"</formula>
    </cfRule>
  </conditionalFormatting>
  <conditionalFormatting sqref="B21">
    <cfRule type="expression" dxfId="2561" priority="565">
      <formula>$D21="Cancel-Decline"</formula>
    </cfRule>
    <cfRule type="expression" dxfId="2560" priority="566">
      <formula>$D21="Funded"</formula>
    </cfRule>
    <cfRule type="expression" dxfId="2559" priority="567">
      <formula>$D21="0 - MessageError!"</formula>
    </cfRule>
    <cfRule type="expression" dxfId="2558" priority="568">
      <formula>$D21="9- Changed Mind"</formula>
    </cfRule>
    <cfRule type="expression" dxfId="2557" priority="569">
      <formula>$D21="8- Home Values"</formula>
    </cfRule>
    <cfRule type="expression" dxfId="2556" priority="570">
      <formula>$D21="7- Market Drop"</formula>
    </cfRule>
    <cfRule type="expression" dxfId="2555" priority="571">
      <formula>$D21="6- Another Lender"</formula>
    </cfRule>
    <cfRule type="expression" dxfId="2554" priority="572">
      <formula>$D21="5- ChangedMind?"</formula>
    </cfRule>
    <cfRule type="expression" dxfId="2553" priority="573">
      <formula>$D21="4- Don'tQualify"</formula>
    </cfRule>
    <cfRule type="expression" dxfId="2552" priority="574">
      <formula>$D21="3- CashOut"</formula>
    </cfRule>
    <cfRule type="expression" dxfId="2551" priority="575">
      <formula>$D21="2- RevisedQuote"</formula>
    </cfRule>
    <cfRule type="expression" dxfId="2550" priority="576">
      <formula>$D21="1- FollowUp"</formula>
    </cfRule>
    <cfRule type="expression" dxfId="2549" priority="577" stopIfTrue="1">
      <formula>$D21="Responded"</formula>
    </cfRule>
    <cfRule type="expression" dxfId="2548" priority="578">
      <formula>$D21="Locked!"</formula>
    </cfRule>
    <cfRule type="expression" dxfId="2547" priority="579">
      <formula>$D21="E-signed!"</formula>
    </cfRule>
    <cfRule type="expression" dxfId="2546" priority="580">
      <formula>$D21="Docs Received!"</formula>
    </cfRule>
    <cfRule type="expression" dxfId="2545" priority="581">
      <formula>$D21="Disclosures Going Out..."</formula>
    </cfRule>
    <cfRule type="expression" dxfId="2544" priority="582">
      <formula>$D21="Disclosures Sent!"</formula>
    </cfRule>
    <cfRule type="expression" dxfId="2543" priority="583">
      <formula>$D21="FIGURE - Link Sent!"</formula>
    </cfRule>
    <cfRule type="expression" dxfId="2542" priority="584">
      <formula>$D21="Hard Money Opportunity"</formula>
    </cfRule>
    <cfRule type="expression" dxfId="2541" priority="585">
      <formula>$D21="Communicating..."</formula>
    </cfRule>
    <cfRule type="expression" dxfId="2540" priority="586">
      <formula>$D21="Not Interested"</formula>
    </cfRule>
    <cfRule type="expression" dxfId="2539" priority="587">
      <formula>$D21="APP - Pitched &gt; Follow up"</formula>
    </cfRule>
    <cfRule type="expression" dxfId="2538" priority="588">
      <formula>$D21="Appt Scheduled"</formula>
    </cfRule>
    <cfRule type="expression" dxfId="2537" priority="589">
      <formula>$D21="Reverse Mortgage Opportunity"</formula>
    </cfRule>
    <cfRule type="expression" dxfId="2536" priority="590">
      <formula>$D21="Purchase"</formula>
    </cfRule>
    <cfRule type="expression" dxfId="2535" priority="591">
      <formula>$D21="Verified Approval Letter"</formula>
    </cfRule>
    <cfRule type="expression" dxfId="2534" priority="592">
      <formula>$D21="*Thinking about it*"</formula>
    </cfRule>
    <cfRule type="expression" dxfId="2533" priority="593">
      <formula>$D21="DNQ"</formula>
    </cfRule>
    <cfRule type="expression" dxfId="2532" priority="594">
      <formula>$D21="Commercial/Business Loan"</formula>
    </cfRule>
    <cfRule type="expression" dxfId="2531" priority="595">
      <formula>$D21="Credit - Wayfinder"</formula>
    </cfRule>
    <cfRule type="expression" dxfId="2530" priority="596">
      <formula>$D21="Match or Beat"</formula>
    </cfRule>
    <cfRule type="expression" dxfId="2529" priority="597">
      <formula>$D21="Future Deal"</formula>
    </cfRule>
    <cfRule type="expression" dxfId="2528" priority="598">
      <formula>$D21="Prospect -Email Sent"</formula>
    </cfRule>
    <cfRule type="expression" dxfId="2527" priority="599">
      <formula>$D21="STOP!"</formula>
    </cfRule>
    <cfRule type="expression" dxfId="2526" priority="600">
      <formula>$D21="No Benefit"</formula>
    </cfRule>
    <cfRule type="expression" dxfId="2525" priority="601">
      <formula>$D21="Went With Another Lender"</formula>
    </cfRule>
    <cfRule type="expression" dxfId="2524" priority="602">
      <formula>$D21="Called 3x"</formula>
    </cfRule>
    <cfRule type="expression" dxfId="2523" priority="603">
      <formula>$D21="Called 2x"</formula>
    </cfRule>
    <cfRule type="expression" dxfId="2522" priority="604">
      <formula>$D21="T15 - MessageError!"</formula>
    </cfRule>
    <cfRule type="expression" dxfId="2521" priority="605">
      <formula>$D21="T14 - Right Person?"</formula>
    </cfRule>
    <cfRule type="expression" dxfId="2520" priority="606">
      <formula>$D21="T13 - Email"</formula>
    </cfRule>
    <cfRule type="expression" dxfId="2519" priority="607">
      <formula>$D21="T12 - Blown Up"</formula>
    </cfRule>
    <cfRule type="expression" dxfId="2518" priority="608">
      <formula>$D21="T11 - More Time?"</formula>
    </cfRule>
    <cfRule type="expression" dxfId="2517" priority="609">
      <formula>$D21="T10 - Really Busy"</formula>
    </cfRule>
    <cfRule type="expression" dxfId="2516" priority="610">
      <formula>$D21="T9 - Majority of Clients"</formula>
    </cfRule>
    <cfRule type="expression" dxfId="2515" priority="611">
      <formula>$D21="T8 - STOP Contact"</formula>
    </cfRule>
    <cfRule type="expression" dxfId="2514" priority="612">
      <formula>$D21="T7 - Another Lender"</formula>
    </cfRule>
    <cfRule type="expression" dxfId="2513" priority="613">
      <formula>$D21="T6 - Don’t Qualify?"</formula>
    </cfRule>
    <cfRule type="expression" dxfId="2512" priority="614">
      <formula>$D21="T5 - Debt Consolidation"</formula>
    </cfRule>
    <cfRule type="expression" dxfId="2511" priority="615">
      <formula>$D21="T4 - Debt / Home"</formula>
    </cfRule>
    <cfRule type="expression" dxfId="2510" priority="616">
      <formula>$D21="T3 - Correct Cash"</formula>
    </cfRule>
    <cfRule type="expression" dxfId="2509" priority="617">
      <formula>$D21="T2 - Revised"</formula>
    </cfRule>
    <cfRule type="expression" dxfId="2508" priority="618">
      <formula>$D21="T1 - Follow Up"</formula>
    </cfRule>
    <cfRule type="expression" dxfId="2507" priority="619">
      <formula>$D21="APP - LOCKED!"</formula>
    </cfRule>
    <cfRule type="expression" dxfId="2506" priority="620">
      <formula>$D21="LOCKED!"</formula>
    </cfRule>
    <cfRule type="expression" dxfId="2505" priority="621">
      <formula>$D21="APP - Pitched &gt; Follow Up!"</formula>
    </cfRule>
    <cfRule type="expression" dxfId="2504" priority="622">
      <formula>$D21="Pitched &gt; FOLLOW UP!"</formula>
    </cfRule>
    <cfRule type="expression" dxfId="2503" priority="623">
      <formula>$D21="APP - Application Taken"</formula>
    </cfRule>
    <cfRule type="expression" dxfId="2502" priority="624">
      <formula>$D21="AL - HOT!"</formula>
    </cfRule>
    <cfRule type="expression" dxfId="2501" priority="625">
      <formula>$D21="AL - Responded"</formula>
    </cfRule>
    <cfRule type="expression" dxfId="2500" priority="626">
      <formula>$D21="Prospect - Appt Scheduled"</formula>
    </cfRule>
    <cfRule type="expression" dxfId="2499" priority="627">
      <formula>$D21="Appt Scheduled"</formula>
    </cfRule>
    <cfRule type="expression" dxfId="2498" priority="628">
      <formula>$D21="Prospect - Follow Up"</formula>
    </cfRule>
    <cfRule type="expression" dxfId="2497" priority="629">
      <formula>$D21="Prospect - HOT!"</formula>
    </cfRule>
    <cfRule type="expression" dxfId="2496" priority="630">
      <formula>$D21="Prospect - Warm"</formula>
    </cfRule>
  </conditionalFormatting>
  <conditionalFormatting sqref="B21">
    <cfRule type="expression" dxfId="2495" priority="561">
      <formula>$D21="Potential Cancel"</formula>
    </cfRule>
    <cfRule type="expression" dxfId="2494" priority="562">
      <formula>$D21="Suspended-Restructure"</formula>
    </cfRule>
    <cfRule type="expression" dxfId="2493" priority="563">
      <formula>$D21="Clear to Close"</formula>
    </cfRule>
    <cfRule type="expression" dxfId="2492" priority="564">
      <formula>$D21="Submitted to Underwriting"</formula>
    </cfRule>
  </conditionalFormatting>
  <conditionalFormatting sqref="D23:J23">
    <cfRule type="expression" dxfId="2491" priority="495">
      <formula>$D23="Cancel-Decline"</formula>
    </cfRule>
    <cfRule type="expression" dxfId="2490" priority="496">
      <formula>$D23="Funded"</formula>
    </cfRule>
    <cfRule type="expression" dxfId="2489" priority="497">
      <formula>$D23="0 - MessageError!"</formula>
    </cfRule>
    <cfRule type="expression" dxfId="2488" priority="498">
      <formula>$D23="9- Changed Mind"</formula>
    </cfRule>
    <cfRule type="expression" dxfId="2487" priority="499">
      <formula>$D23="8- Home Values"</formula>
    </cfRule>
    <cfRule type="expression" dxfId="2486" priority="500">
      <formula>$D23="7- Market Drop"</formula>
    </cfRule>
    <cfRule type="expression" dxfId="2485" priority="501">
      <formula>$D23="6- Another Lender"</formula>
    </cfRule>
    <cfRule type="expression" dxfId="2484" priority="502">
      <formula>$D23="5- ChangedMind?"</formula>
    </cfRule>
    <cfRule type="expression" dxfId="2483" priority="503">
      <formula>$D23="4- Don'tQualify"</formula>
    </cfRule>
    <cfRule type="expression" dxfId="2482" priority="504">
      <formula>$D23="3- CashOut"</formula>
    </cfRule>
    <cfRule type="expression" dxfId="2481" priority="505">
      <formula>$D23="2- RevisedQuote"</formula>
    </cfRule>
    <cfRule type="expression" dxfId="2480" priority="506">
      <formula>$D23="1- FollowUp"</formula>
    </cfRule>
    <cfRule type="expression" dxfId="2479" priority="507" stopIfTrue="1">
      <formula>$D23="Responded"</formula>
    </cfRule>
    <cfRule type="expression" dxfId="2478" priority="508">
      <formula>$D23="Locked!"</formula>
    </cfRule>
    <cfRule type="expression" dxfId="2477" priority="509">
      <formula>$D23="E-signed!"</formula>
    </cfRule>
    <cfRule type="expression" dxfId="2476" priority="510">
      <formula>$D23="Docs Received!"</formula>
    </cfRule>
    <cfRule type="expression" dxfId="2475" priority="511">
      <formula>$D23="Disclosures Going Out..."</formula>
    </cfRule>
    <cfRule type="expression" dxfId="2474" priority="512">
      <formula>$D23="Disclosures Sent!"</formula>
    </cfRule>
    <cfRule type="expression" dxfId="2473" priority="513">
      <formula>$D23="FIGURE - Link Sent!"</formula>
    </cfRule>
    <cfRule type="expression" dxfId="2472" priority="514">
      <formula>$D23="Hard Money Opportunity"</formula>
    </cfRule>
    <cfRule type="expression" dxfId="2471" priority="515">
      <formula>$D23="Communicating..."</formula>
    </cfRule>
    <cfRule type="expression" dxfId="2470" priority="516">
      <formula>$D23="Not Interested"</formula>
    </cfRule>
    <cfRule type="expression" dxfId="2469" priority="517">
      <formula>$D23="APP - Pitched &gt; Follow up"</formula>
    </cfRule>
    <cfRule type="expression" dxfId="2468" priority="518">
      <formula>$D23="Appt Scheduled"</formula>
    </cfRule>
    <cfRule type="expression" dxfId="2467" priority="519">
      <formula>$D23="Reverse Mortgage Opportunity"</formula>
    </cfRule>
    <cfRule type="expression" dxfId="2466" priority="520">
      <formula>$D23="Purchase"</formula>
    </cfRule>
    <cfRule type="expression" dxfId="2465" priority="521">
      <formula>$D23="Verified Approval Letter"</formula>
    </cfRule>
    <cfRule type="expression" dxfId="2464" priority="522">
      <formula>$D23="*Thinking about it*"</formula>
    </cfRule>
    <cfRule type="expression" dxfId="2463" priority="523">
      <formula>$D23="DNQ"</formula>
    </cfRule>
    <cfRule type="expression" dxfId="2462" priority="524">
      <formula>$D23="Commercial/Business Loan"</formula>
    </cfRule>
    <cfRule type="expression" dxfId="2461" priority="525">
      <formula>$D23="Credit - Wayfinder"</formula>
    </cfRule>
    <cfRule type="expression" dxfId="2460" priority="526">
      <formula>$D23="Match or Beat"</formula>
    </cfRule>
    <cfRule type="expression" dxfId="2459" priority="527">
      <formula>$D23="Future Deal"</formula>
    </cfRule>
    <cfRule type="expression" dxfId="2458" priority="528">
      <formula>$D23="Prospect -Email Sent"</formula>
    </cfRule>
    <cfRule type="expression" dxfId="2457" priority="529">
      <formula>$D23="STOP!"</formula>
    </cfRule>
    <cfRule type="expression" dxfId="2456" priority="530">
      <formula>$D23="No Benefit"</formula>
    </cfRule>
    <cfRule type="expression" dxfId="2455" priority="531">
      <formula>$D23="Went With Another Lender"</formula>
    </cfRule>
    <cfRule type="expression" dxfId="2454" priority="532">
      <formula>$D23="Called 3x"</formula>
    </cfRule>
    <cfRule type="expression" dxfId="2453" priority="533">
      <formula>$D23="Called 2x"</formula>
    </cfRule>
    <cfRule type="expression" dxfId="2452" priority="534">
      <formula>$D23="T15 - MessageError!"</formula>
    </cfRule>
    <cfRule type="expression" dxfId="2451" priority="535">
      <formula>$D23="T14 - Right Person?"</formula>
    </cfRule>
    <cfRule type="expression" dxfId="2450" priority="536">
      <formula>$D23="T13 - Email"</formula>
    </cfRule>
    <cfRule type="expression" dxfId="2449" priority="537">
      <formula>$D23="T12 - Blown Up"</formula>
    </cfRule>
    <cfRule type="expression" dxfId="2448" priority="538">
      <formula>$D23="T11 - More Time?"</formula>
    </cfRule>
    <cfRule type="expression" dxfId="2447" priority="539">
      <formula>$D23="T10 - Really Busy"</formula>
    </cfRule>
    <cfRule type="expression" dxfId="2446" priority="540">
      <formula>$D23="T9 - Majority of Clients"</formula>
    </cfRule>
    <cfRule type="expression" dxfId="2445" priority="541">
      <formula>$D23="T8 - STOP Contact"</formula>
    </cfRule>
    <cfRule type="expression" dxfId="2444" priority="542">
      <formula>$D23="T7 - Another Lender"</formula>
    </cfRule>
    <cfRule type="expression" dxfId="2443" priority="543">
      <formula>$D23="T6 - Don’t Qualify?"</formula>
    </cfRule>
    <cfRule type="expression" dxfId="2442" priority="544">
      <formula>$D23="T5 - Debt Consolidation"</formula>
    </cfRule>
    <cfRule type="expression" dxfId="2441" priority="545">
      <formula>$D23="T4 - Debt / Home"</formula>
    </cfRule>
    <cfRule type="expression" dxfId="2440" priority="546">
      <formula>$D23="T3 - Correct Cash"</formula>
    </cfRule>
    <cfRule type="expression" dxfId="2439" priority="547">
      <formula>$D23="T2 - Revised"</formula>
    </cfRule>
    <cfRule type="expression" dxfId="2438" priority="548">
      <formula>$D23="T1 - Follow Up"</formula>
    </cfRule>
    <cfRule type="expression" dxfId="2437" priority="549">
      <formula>$D23="APP - LOCKED!"</formula>
    </cfRule>
    <cfRule type="expression" dxfId="2436" priority="550">
      <formula>$D23="LOCKED!"</formula>
    </cfRule>
    <cfRule type="expression" dxfId="2435" priority="551">
      <formula>$D23="APP - Pitched &gt; Follow Up!"</formula>
    </cfRule>
    <cfRule type="expression" dxfId="2434" priority="552">
      <formula>$D23="Pitched &gt; FOLLOW UP!"</formula>
    </cfRule>
    <cfRule type="expression" dxfId="2433" priority="553">
      <formula>$D23="APP - Application Taken"</formula>
    </cfRule>
    <cfRule type="expression" dxfId="2432" priority="554">
      <formula>$D23="AL - HOT!"</formula>
    </cfRule>
    <cfRule type="expression" dxfId="2431" priority="555">
      <formula>$D23="AL - Responded"</formula>
    </cfRule>
    <cfRule type="expression" dxfId="2430" priority="556">
      <formula>$D23="Prospect - Appt Scheduled"</formula>
    </cfRule>
    <cfRule type="expression" dxfId="2429" priority="557">
      <formula>$D23="Appt Scheduled"</formula>
    </cfRule>
    <cfRule type="expression" dxfId="2428" priority="558">
      <formula>$D23="Prospect - Follow Up"</formula>
    </cfRule>
    <cfRule type="expression" dxfId="2427" priority="559">
      <formula>$D23="Prospect - HOT!"</formula>
    </cfRule>
    <cfRule type="expression" dxfId="2426" priority="560">
      <formula>$D23="Prospect - Warm"</formula>
    </cfRule>
  </conditionalFormatting>
  <conditionalFormatting sqref="D23:J23">
    <cfRule type="expression" dxfId="2425" priority="491">
      <formula>$D23="Potential Cancel"</formula>
    </cfRule>
    <cfRule type="expression" dxfId="2424" priority="492">
      <formula>$D23="Suspended-Restructure"</formula>
    </cfRule>
    <cfRule type="expression" dxfId="2423" priority="493">
      <formula>$D23="Clear to Close"</formula>
    </cfRule>
  </conditionalFormatting>
  <conditionalFormatting sqref="D24:J24">
    <cfRule type="expression" dxfId="2422" priority="425">
      <formula>$D24="Cancel-Decline"</formula>
    </cfRule>
    <cfRule type="expression" dxfId="2421" priority="426">
      <formula>$D24="Funded"</formula>
    </cfRule>
    <cfRule type="expression" dxfId="2420" priority="427">
      <formula>$D24="0 - MessageError!"</formula>
    </cfRule>
    <cfRule type="expression" dxfId="2419" priority="428">
      <formula>$D24="9- Changed Mind"</formula>
    </cfRule>
    <cfRule type="expression" dxfId="2418" priority="429">
      <formula>$D24="8- Home Values"</formula>
    </cfRule>
    <cfRule type="expression" dxfId="2417" priority="430">
      <formula>$D24="7- Market Drop"</formula>
    </cfRule>
    <cfRule type="expression" dxfId="2416" priority="431">
      <formula>$D24="6- Another Lender"</formula>
    </cfRule>
    <cfRule type="expression" dxfId="2415" priority="432">
      <formula>$D24="5- ChangedMind?"</formula>
    </cfRule>
    <cfRule type="expression" dxfId="2414" priority="433">
      <formula>$D24="4- Don'tQualify"</formula>
    </cfRule>
    <cfRule type="expression" dxfId="2413" priority="434">
      <formula>$D24="3- CashOut"</formula>
    </cfRule>
    <cfRule type="expression" dxfId="2412" priority="435">
      <formula>$D24="2- RevisedQuote"</formula>
    </cfRule>
    <cfRule type="expression" dxfId="2411" priority="436">
      <formula>$D24="1- FollowUp"</formula>
    </cfRule>
    <cfRule type="expression" dxfId="2410" priority="437" stopIfTrue="1">
      <formula>$D24="Responded"</formula>
    </cfRule>
    <cfRule type="expression" dxfId="2409" priority="438">
      <formula>$D24="Locked!"</formula>
    </cfRule>
    <cfRule type="expression" dxfId="2408" priority="439">
      <formula>$D24="E-signed!"</formula>
    </cfRule>
    <cfRule type="expression" dxfId="2407" priority="440">
      <formula>$D24="Docs Received!"</formula>
    </cfRule>
    <cfRule type="expression" dxfId="2406" priority="441">
      <formula>$D24="Disclosures Going Out..."</formula>
    </cfRule>
    <cfRule type="expression" dxfId="2405" priority="442">
      <formula>$D24="Disclosures Sent!"</formula>
    </cfRule>
    <cfRule type="expression" dxfId="2404" priority="443">
      <formula>$D24="FIGURE - Link Sent!"</formula>
    </cfRule>
    <cfRule type="expression" dxfId="2403" priority="444">
      <formula>$D24="Hard Money Opportunity"</formula>
    </cfRule>
    <cfRule type="expression" dxfId="2402" priority="445">
      <formula>$D24="Communicating..."</formula>
    </cfRule>
    <cfRule type="expression" dxfId="2401" priority="446">
      <formula>$D24="Not Interested"</formula>
    </cfRule>
    <cfRule type="expression" dxfId="2400" priority="447">
      <formula>$D24="APP - Pitched &gt; Follow up"</formula>
    </cfRule>
    <cfRule type="expression" dxfId="2399" priority="448">
      <formula>$D24="Appt Scheduled"</formula>
    </cfRule>
    <cfRule type="expression" dxfId="2398" priority="449">
      <formula>$D24="Reverse Mortgage Opportunity"</formula>
    </cfRule>
    <cfRule type="expression" dxfId="2397" priority="450">
      <formula>$D24="Purchase"</formula>
    </cfRule>
    <cfRule type="expression" dxfId="2396" priority="451">
      <formula>$D24="Verified Approval Letter"</formula>
    </cfRule>
    <cfRule type="expression" dxfId="2395" priority="452">
      <formula>$D24="*Thinking about it*"</formula>
    </cfRule>
    <cfRule type="expression" dxfId="2394" priority="453">
      <formula>$D24="DNQ"</formula>
    </cfRule>
    <cfRule type="expression" dxfId="2393" priority="454">
      <formula>$D24="Commercial/Business Loan"</formula>
    </cfRule>
    <cfRule type="expression" dxfId="2392" priority="455">
      <formula>$D24="Credit - Wayfinder"</formula>
    </cfRule>
    <cfRule type="expression" dxfId="2391" priority="456">
      <formula>$D24="Match or Beat"</formula>
    </cfRule>
    <cfRule type="expression" dxfId="2390" priority="457">
      <formula>$D24="Future Deal"</formula>
    </cfRule>
    <cfRule type="expression" dxfId="2389" priority="458">
      <formula>$D24="Prospect -Email Sent"</formula>
    </cfRule>
    <cfRule type="expression" dxfId="2388" priority="459">
      <formula>$D24="STOP!"</formula>
    </cfRule>
    <cfRule type="expression" dxfId="2387" priority="460">
      <formula>$D24="No Benefit"</formula>
    </cfRule>
    <cfRule type="expression" dxfId="2386" priority="461">
      <formula>$D24="Went With Another Lender"</formula>
    </cfRule>
    <cfRule type="expression" dxfId="2385" priority="462">
      <formula>$D24="Called 3x"</formula>
    </cfRule>
    <cfRule type="expression" dxfId="2384" priority="463">
      <formula>$D24="Called 2x"</formula>
    </cfRule>
    <cfRule type="expression" dxfId="2383" priority="464">
      <formula>$D24="T15 - MessageError!"</formula>
    </cfRule>
    <cfRule type="expression" dxfId="2382" priority="465">
      <formula>$D24="T14 - Right Person?"</formula>
    </cfRule>
    <cfRule type="expression" dxfId="2381" priority="466">
      <formula>$D24="T13 - Email"</formula>
    </cfRule>
    <cfRule type="expression" dxfId="2380" priority="467">
      <formula>$D24="T12 - Blown Up"</formula>
    </cfRule>
    <cfRule type="expression" dxfId="2379" priority="468">
      <formula>$D24="T11 - More Time?"</formula>
    </cfRule>
    <cfRule type="expression" dxfId="2378" priority="469">
      <formula>$D24="T10 - Really Busy"</formula>
    </cfRule>
    <cfRule type="expression" dxfId="2377" priority="470">
      <formula>$D24="T9 - Majority of Clients"</formula>
    </cfRule>
    <cfRule type="expression" dxfId="2376" priority="471">
      <formula>$D24="T8 - STOP Contact"</formula>
    </cfRule>
    <cfRule type="expression" dxfId="2375" priority="472">
      <formula>$D24="T7 - Another Lender"</formula>
    </cfRule>
    <cfRule type="expression" dxfId="2374" priority="473">
      <formula>$D24="T6 - Don’t Qualify?"</formula>
    </cfRule>
    <cfRule type="expression" dxfId="2373" priority="474">
      <formula>$D24="T5 - Debt Consolidation"</formula>
    </cfRule>
    <cfRule type="expression" dxfId="2372" priority="475">
      <formula>$D24="T4 - Debt / Home"</formula>
    </cfRule>
    <cfRule type="expression" dxfId="2371" priority="476">
      <formula>$D24="T3 - Correct Cash"</formula>
    </cfRule>
    <cfRule type="expression" dxfId="2370" priority="477">
      <formula>$D24="T2 - Revised"</formula>
    </cfRule>
    <cfRule type="expression" dxfId="2369" priority="478">
      <formula>$D24="T1 - Follow Up"</formula>
    </cfRule>
    <cfRule type="expression" dxfId="2368" priority="479">
      <formula>$D24="APP - LOCKED!"</formula>
    </cfRule>
    <cfRule type="expression" dxfId="2367" priority="480">
      <formula>$D24="LOCKED!"</formula>
    </cfRule>
    <cfRule type="expression" dxfId="2366" priority="481">
      <formula>$D24="APP - Pitched &gt; Follow Up!"</formula>
    </cfRule>
    <cfRule type="expression" dxfId="2365" priority="482">
      <formula>$D24="Pitched &gt; FOLLOW UP!"</formula>
    </cfRule>
    <cfRule type="expression" dxfId="2364" priority="483">
      <formula>$D24="APP - Application Taken"</formula>
    </cfRule>
    <cfRule type="expression" dxfId="2363" priority="484">
      <formula>$D24="AL - HOT!"</formula>
    </cfRule>
    <cfRule type="expression" dxfId="2362" priority="485">
      <formula>$D24="AL - Responded"</formula>
    </cfRule>
    <cfRule type="expression" dxfId="2361" priority="486">
      <formula>$D24="Prospect - Appt Scheduled"</formula>
    </cfRule>
    <cfRule type="expression" dxfId="2360" priority="487">
      <formula>$D24="Appt Scheduled"</formula>
    </cfRule>
    <cfRule type="expression" dxfId="2359" priority="488">
      <formula>$D24="Prospect - Follow Up"</formula>
    </cfRule>
    <cfRule type="expression" dxfId="2358" priority="489">
      <formula>$D24="Prospect - HOT!"</formula>
    </cfRule>
    <cfRule type="expression" dxfId="2357" priority="490">
      <formula>$D24="Prospect - Warm"</formula>
    </cfRule>
  </conditionalFormatting>
  <conditionalFormatting sqref="D24:J24">
    <cfRule type="expression" dxfId="2356" priority="421">
      <formula>$D24="Potential Cancel"</formula>
    </cfRule>
    <cfRule type="expression" dxfId="2355" priority="422">
      <formula>$D24="Suspended-Restructure"</formula>
    </cfRule>
    <cfRule type="expression" dxfId="2354" priority="423">
      <formula>$D24="Clear to Close"</formula>
    </cfRule>
    <cfRule type="expression" dxfId="2353" priority="424">
      <formula>$D24="Submitted to Underwriting"</formula>
    </cfRule>
  </conditionalFormatting>
  <conditionalFormatting sqref="D26:J26">
    <cfRule type="expression" dxfId="2352" priority="355">
      <formula>$D26="Cancel-Decline"</formula>
    </cfRule>
    <cfRule type="expression" dxfId="2351" priority="356">
      <formula>$D26="Funded"</formula>
    </cfRule>
    <cfRule type="expression" dxfId="2350" priority="357">
      <formula>$D26="0 - MessageError!"</formula>
    </cfRule>
    <cfRule type="expression" dxfId="2349" priority="358">
      <formula>$D26="9- Changed Mind"</formula>
    </cfRule>
    <cfRule type="expression" dxfId="2348" priority="359">
      <formula>$D26="8- Home Values"</formula>
    </cfRule>
    <cfRule type="expression" dxfId="2347" priority="360">
      <formula>$D26="7- Market Drop"</formula>
    </cfRule>
    <cfRule type="expression" dxfId="2346" priority="361">
      <formula>$D26="6- Another Lender"</formula>
    </cfRule>
    <cfRule type="expression" dxfId="2345" priority="362">
      <formula>$D26="5- ChangedMind?"</formula>
    </cfRule>
    <cfRule type="expression" dxfId="2344" priority="363">
      <formula>$D26="4- Don'tQualify"</formula>
    </cfRule>
    <cfRule type="expression" dxfId="2343" priority="364">
      <formula>$D26="3- CashOut"</formula>
    </cfRule>
    <cfRule type="expression" dxfId="2342" priority="365">
      <formula>$D26="2- RevisedQuote"</formula>
    </cfRule>
    <cfRule type="expression" dxfId="2341" priority="366">
      <formula>$D26="1- FollowUp"</formula>
    </cfRule>
    <cfRule type="expression" dxfId="2340" priority="367" stopIfTrue="1">
      <formula>$D26="Responded"</formula>
    </cfRule>
    <cfRule type="expression" dxfId="2339" priority="368">
      <formula>$D26="Locked!"</formula>
    </cfRule>
    <cfRule type="expression" dxfId="2338" priority="369">
      <formula>$D26="E-signed!"</formula>
    </cfRule>
    <cfRule type="expression" dxfId="2337" priority="370">
      <formula>$D26="Docs Received!"</formula>
    </cfRule>
    <cfRule type="expression" dxfId="2336" priority="371">
      <formula>$D26="Disclosures Going Out..."</formula>
    </cfRule>
    <cfRule type="expression" dxfId="2335" priority="372">
      <formula>$D26="Disclosures Sent!"</formula>
    </cfRule>
    <cfRule type="expression" dxfId="2334" priority="373">
      <formula>$D26="FIGURE - Link Sent!"</formula>
    </cfRule>
    <cfRule type="expression" dxfId="2333" priority="374">
      <formula>$D26="Hard Money Opportunity"</formula>
    </cfRule>
    <cfRule type="expression" dxfId="2332" priority="375">
      <formula>$D26="Communicating..."</formula>
    </cfRule>
    <cfRule type="expression" dxfId="2331" priority="376">
      <formula>$D26="Not Interested"</formula>
    </cfRule>
    <cfRule type="expression" dxfId="2330" priority="377">
      <formula>$D26="APP - Pitched &gt; Follow up"</formula>
    </cfRule>
    <cfRule type="expression" dxfId="2329" priority="378">
      <formula>$D26="Appt Scheduled"</formula>
    </cfRule>
    <cfRule type="expression" dxfId="2328" priority="379">
      <formula>$D26="Reverse Mortgage Opportunity"</formula>
    </cfRule>
    <cfRule type="expression" dxfId="2327" priority="380">
      <formula>$D26="Purchase"</formula>
    </cfRule>
    <cfRule type="expression" dxfId="2326" priority="381">
      <formula>$D26="Verified Approval Letter"</formula>
    </cfRule>
    <cfRule type="expression" dxfId="2325" priority="382">
      <formula>$D26="*Thinking about it*"</formula>
    </cfRule>
    <cfRule type="expression" dxfId="2324" priority="383">
      <formula>$D26="DNQ"</formula>
    </cfRule>
    <cfRule type="expression" dxfId="2323" priority="384">
      <formula>$D26="Commercial/Business Loan"</formula>
    </cfRule>
    <cfRule type="expression" dxfId="2322" priority="385">
      <formula>$D26="Credit - Wayfinder"</formula>
    </cfRule>
    <cfRule type="expression" dxfId="2321" priority="386">
      <formula>$D26="Match or Beat"</formula>
    </cfRule>
    <cfRule type="expression" dxfId="2320" priority="387">
      <formula>$D26="Future Deal"</formula>
    </cfRule>
    <cfRule type="expression" dxfId="2319" priority="388">
      <formula>$D26="Prospect -Email Sent"</formula>
    </cfRule>
    <cfRule type="expression" dxfId="2318" priority="389">
      <formula>$D26="STOP!"</formula>
    </cfRule>
    <cfRule type="expression" dxfId="2317" priority="390">
      <formula>$D26="No Benefit"</formula>
    </cfRule>
    <cfRule type="expression" dxfId="2316" priority="391">
      <formula>$D26="Went With Another Lender"</formula>
    </cfRule>
    <cfRule type="expression" dxfId="2315" priority="392">
      <formula>$D26="Called 3x"</formula>
    </cfRule>
    <cfRule type="expression" dxfId="2314" priority="393">
      <formula>$D26="Called 2x"</formula>
    </cfRule>
    <cfRule type="expression" dxfId="2313" priority="394">
      <formula>$D26="T15 - MessageError!"</formula>
    </cfRule>
    <cfRule type="expression" dxfId="2312" priority="395">
      <formula>$D26="T14 - Right Person?"</formula>
    </cfRule>
    <cfRule type="expression" dxfId="2311" priority="396">
      <formula>$D26="T13 - Email"</formula>
    </cfRule>
    <cfRule type="expression" dxfId="2310" priority="397">
      <formula>$D26="T12 - Blown Up"</formula>
    </cfRule>
    <cfRule type="expression" dxfId="2309" priority="398">
      <formula>$D26="T11 - More Time?"</formula>
    </cfRule>
    <cfRule type="expression" dxfId="2308" priority="399">
      <formula>$D26="T10 - Really Busy"</formula>
    </cfRule>
    <cfRule type="expression" dxfId="2307" priority="400">
      <formula>$D26="T9 - Majority of Clients"</formula>
    </cfRule>
    <cfRule type="expression" dxfId="2306" priority="401">
      <formula>$D26="T8 - STOP Contact"</formula>
    </cfRule>
    <cfRule type="expression" dxfId="2305" priority="402">
      <formula>$D26="T7 - Another Lender"</formula>
    </cfRule>
    <cfRule type="expression" dxfId="2304" priority="403">
      <formula>$D26="T6 - Don’t Qualify?"</formula>
    </cfRule>
    <cfRule type="expression" dxfId="2303" priority="404">
      <formula>$D26="T5 - Debt Consolidation"</formula>
    </cfRule>
    <cfRule type="expression" dxfId="2302" priority="405">
      <formula>$D26="T4 - Debt / Home"</formula>
    </cfRule>
    <cfRule type="expression" dxfId="2301" priority="406">
      <formula>$D26="T3 - Correct Cash"</formula>
    </cfRule>
    <cfRule type="expression" dxfId="2300" priority="407">
      <formula>$D26="T2 - Revised"</formula>
    </cfRule>
    <cfRule type="expression" dxfId="2299" priority="408">
      <formula>$D26="T1 - Follow Up"</formula>
    </cfRule>
    <cfRule type="expression" dxfId="2298" priority="409">
      <formula>$D26="APP - LOCKED!"</formula>
    </cfRule>
    <cfRule type="expression" dxfId="2297" priority="410">
      <formula>$D26="LOCKED!"</formula>
    </cfRule>
    <cfRule type="expression" dxfId="2296" priority="411">
      <formula>$D26="APP - Pitched &gt; Follow Up!"</formula>
    </cfRule>
    <cfRule type="expression" dxfId="2295" priority="412">
      <formula>$D26="Pitched &gt; FOLLOW UP!"</formula>
    </cfRule>
    <cfRule type="expression" dxfId="2294" priority="413">
      <formula>$D26="APP - Application Taken"</formula>
    </cfRule>
    <cfRule type="expression" dxfId="2293" priority="414">
      <formula>$D26="AL - HOT!"</formula>
    </cfRule>
    <cfRule type="expression" dxfId="2292" priority="415">
      <formula>$D26="AL - Responded"</formula>
    </cfRule>
    <cfRule type="expression" dxfId="2291" priority="416">
      <formula>$D26="Prospect - Appt Scheduled"</formula>
    </cfRule>
    <cfRule type="expression" dxfId="2290" priority="417">
      <formula>$D26="Appt Scheduled"</formula>
    </cfRule>
    <cfRule type="expression" dxfId="2289" priority="418">
      <formula>$D26="Prospect - Follow Up"</formula>
    </cfRule>
    <cfRule type="expression" dxfId="2288" priority="419">
      <formula>$D26="Prospect - HOT!"</formula>
    </cfRule>
    <cfRule type="expression" dxfId="2287" priority="420">
      <formula>$D26="Prospect - Warm"</formula>
    </cfRule>
  </conditionalFormatting>
  <conditionalFormatting sqref="D26:J26">
    <cfRule type="expression" dxfId="2286" priority="351">
      <formula>$D26="Potential Cancel"</formula>
    </cfRule>
    <cfRule type="expression" dxfId="2285" priority="352">
      <formula>$D26="Suspended-Restructure"</formula>
    </cfRule>
    <cfRule type="expression" dxfId="2284" priority="353">
      <formula>$D26="Clear to Close"</formula>
    </cfRule>
  </conditionalFormatting>
  <conditionalFormatting sqref="D28:J28">
    <cfRule type="expression" dxfId="2283" priority="215">
      <formula>$D28="Cancel-Decline"</formula>
    </cfRule>
    <cfRule type="expression" dxfId="2282" priority="216">
      <formula>$D28="Funded"</formula>
    </cfRule>
    <cfRule type="expression" dxfId="2281" priority="217">
      <formula>$D28="0 - MessageError!"</formula>
    </cfRule>
    <cfRule type="expression" dxfId="2280" priority="218">
      <formula>$D28="9- Changed Mind"</formula>
    </cfRule>
    <cfRule type="expression" dxfId="2279" priority="219">
      <formula>$D28="8- Home Values"</formula>
    </cfRule>
    <cfRule type="expression" dxfId="2278" priority="220">
      <formula>$D28="7- Market Drop"</formula>
    </cfRule>
    <cfRule type="expression" dxfId="2277" priority="221">
      <formula>$D28="6- Another Lender"</formula>
    </cfRule>
    <cfRule type="expression" dxfId="2276" priority="222">
      <formula>$D28="5- ChangedMind?"</formula>
    </cfRule>
    <cfRule type="expression" dxfId="2275" priority="223">
      <formula>$D28="4- Don'tQualify"</formula>
    </cfRule>
    <cfRule type="expression" dxfId="2274" priority="224">
      <formula>$D28="3- CashOut"</formula>
    </cfRule>
    <cfRule type="expression" dxfId="2273" priority="225">
      <formula>$D28="2- RevisedQuote"</formula>
    </cfRule>
    <cfRule type="expression" dxfId="2272" priority="226">
      <formula>$D28="1- FollowUp"</formula>
    </cfRule>
    <cfRule type="expression" dxfId="2271" priority="227" stopIfTrue="1">
      <formula>$D28="Responded"</formula>
    </cfRule>
    <cfRule type="expression" dxfId="2270" priority="228">
      <formula>$D28="Locked!"</formula>
    </cfRule>
    <cfRule type="expression" dxfId="2269" priority="229">
      <formula>$D28="E-signed!"</formula>
    </cfRule>
    <cfRule type="expression" dxfId="2268" priority="230">
      <formula>$D28="Docs Received!"</formula>
    </cfRule>
    <cfRule type="expression" dxfId="2267" priority="231">
      <formula>$D28="Disclosures Going Out..."</formula>
    </cfRule>
    <cfRule type="expression" dxfId="2266" priority="232">
      <formula>$D28="Disclosures Sent!"</formula>
    </cfRule>
    <cfRule type="expression" dxfId="2265" priority="233">
      <formula>$D28="FIGURE - Link Sent!"</formula>
    </cfRule>
    <cfRule type="expression" dxfId="2264" priority="234">
      <formula>$D28="Hard Money Opportunity"</formula>
    </cfRule>
    <cfRule type="expression" dxfId="2263" priority="235">
      <formula>$D28="Communicating..."</formula>
    </cfRule>
    <cfRule type="expression" dxfId="2262" priority="236">
      <formula>$D28="Not Interested"</formula>
    </cfRule>
    <cfRule type="expression" dxfId="2261" priority="237">
      <formula>$D28="APP - Pitched &gt; Follow up"</formula>
    </cfRule>
    <cfRule type="expression" dxfId="2260" priority="238">
      <formula>$D28="Appt Scheduled"</formula>
    </cfRule>
    <cfRule type="expression" dxfId="2259" priority="239">
      <formula>$D28="Reverse Mortgage Opportunity"</formula>
    </cfRule>
    <cfRule type="expression" dxfId="2258" priority="240">
      <formula>$D28="Purchase"</formula>
    </cfRule>
    <cfRule type="expression" dxfId="2257" priority="241">
      <formula>$D28="Verified Approval Letter"</formula>
    </cfRule>
    <cfRule type="expression" dxfId="2256" priority="242">
      <formula>$D28="*Thinking about it*"</formula>
    </cfRule>
    <cfRule type="expression" dxfId="2255" priority="243">
      <formula>$D28="DNQ"</formula>
    </cfRule>
    <cfRule type="expression" dxfId="2254" priority="244">
      <formula>$D28="Commercial/Business Loan"</formula>
    </cfRule>
    <cfRule type="expression" dxfId="2253" priority="245">
      <formula>$D28="Credit - Wayfinder"</formula>
    </cfRule>
    <cfRule type="expression" dxfId="2252" priority="246">
      <formula>$D28="Match or Beat"</formula>
    </cfRule>
    <cfRule type="expression" dxfId="2251" priority="247">
      <formula>$D28="Future Deal"</formula>
    </cfRule>
    <cfRule type="expression" dxfId="2250" priority="248">
      <formula>$D28="Prospect -Email Sent"</formula>
    </cfRule>
    <cfRule type="expression" dxfId="2249" priority="249">
      <formula>$D28="STOP!"</formula>
    </cfRule>
    <cfRule type="expression" dxfId="2248" priority="250">
      <formula>$D28="No Benefit"</formula>
    </cfRule>
    <cfRule type="expression" dxfId="2247" priority="251">
      <formula>$D28="Went With Another Lender"</formula>
    </cfRule>
    <cfRule type="expression" dxfId="2246" priority="252">
      <formula>$D28="Called 3x"</formula>
    </cfRule>
    <cfRule type="expression" dxfId="2245" priority="253">
      <formula>$D28="Called 2x"</formula>
    </cfRule>
    <cfRule type="expression" dxfId="2244" priority="254">
      <formula>$D28="T15 - MessageError!"</formula>
    </cfRule>
    <cfRule type="expression" dxfId="2243" priority="255">
      <formula>$D28="T14 - Right Person?"</formula>
    </cfRule>
    <cfRule type="expression" dxfId="2242" priority="256">
      <formula>$D28="T13 - Email"</formula>
    </cfRule>
    <cfRule type="expression" dxfId="2241" priority="257">
      <formula>$D28="T12 - Blown Up"</formula>
    </cfRule>
    <cfRule type="expression" dxfId="2240" priority="258">
      <formula>$D28="T11 - More Time?"</formula>
    </cfRule>
    <cfRule type="expression" dxfId="2239" priority="259">
      <formula>$D28="T10 - Really Busy"</formula>
    </cfRule>
    <cfRule type="expression" dxfId="2238" priority="260">
      <formula>$D28="T9 - Majority of Clients"</formula>
    </cfRule>
    <cfRule type="expression" dxfId="2237" priority="261">
      <formula>$D28="T8 - STOP Contact"</formula>
    </cfRule>
    <cfRule type="expression" dxfId="2236" priority="262">
      <formula>$D28="T7 - Another Lender"</formula>
    </cfRule>
    <cfRule type="expression" dxfId="2235" priority="263">
      <formula>$D28="T6 - Don’t Qualify?"</formula>
    </cfRule>
    <cfRule type="expression" dxfId="2234" priority="264">
      <formula>$D28="T5 - Debt Consolidation"</formula>
    </cfRule>
    <cfRule type="expression" dxfId="2233" priority="265">
      <formula>$D28="T4 - Debt / Home"</formula>
    </cfRule>
    <cfRule type="expression" dxfId="2232" priority="266">
      <formula>$D28="T3 - Correct Cash"</formula>
    </cfRule>
    <cfRule type="expression" dxfId="2231" priority="267">
      <formula>$D28="T2 - Revised"</formula>
    </cfRule>
    <cfRule type="expression" dxfId="2230" priority="268">
      <formula>$D28="T1 - Follow Up"</formula>
    </cfRule>
    <cfRule type="expression" dxfId="2229" priority="269">
      <formula>$D28="APP - LOCKED!"</formula>
    </cfRule>
    <cfRule type="expression" dxfId="2228" priority="270">
      <formula>$D28="LOCKED!"</formula>
    </cfRule>
    <cfRule type="expression" dxfId="2227" priority="271">
      <formula>$D28="APP - Pitched &gt; Follow Up!"</formula>
    </cfRule>
    <cfRule type="expression" dxfId="2226" priority="272">
      <formula>$D28="Pitched &gt; FOLLOW UP!"</formula>
    </cfRule>
    <cfRule type="expression" dxfId="2225" priority="273">
      <formula>$D28="APP - Application Taken"</formula>
    </cfRule>
    <cfRule type="expression" dxfId="2224" priority="274">
      <formula>$D28="AL - HOT!"</formula>
    </cfRule>
    <cfRule type="expression" dxfId="2223" priority="275">
      <formula>$D28="AL - Responded"</formula>
    </cfRule>
    <cfRule type="expression" dxfId="2222" priority="276">
      <formula>$D28="Prospect - Appt Scheduled"</formula>
    </cfRule>
    <cfRule type="expression" dxfId="2221" priority="277">
      <formula>$D28="Appt Scheduled"</formula>
    </cfRule>
    <cfRule type="expression" dxfId="2220" priority="278">
      <formula>$D28="Prospect - Follow Up"</formula>
    </cfRule>
    <cfRule type="expression" dxfId="2219" priority="279">
      <formula>$D28="Prospect - HOT!"</formula>
    </cfRule>
    <cfRule type="expression" dxfId="2218" priority="280">
      <formula>$D28="Prospect - Warm"</formula>
    </cfRule>
  </conditionalFormatting>
  <conditionalFormatting sqref="D28:J28">
    <cfRule type="expression" dxfId="2217" priority="211">
      <formula>$D28="Potential Cancel"</formula>
    </cfRule>
    <cfRule type="expression" dxfId="2216" priority="212">
      <formula>$D28="Suspended-Restructure"</formula>
    </cfRule>
    <cfRule type="expression" dxfId="2215" priority="213">
      <formula>$D28="Clear to Close"</formula>
    </cfRule>
  </conditionalFormatting>
  <conditionalFormatting sqref="B29:U29">
    <cfRule type="expression" dxfId="2214" priority="145">
      <formula>$D29="Cancel-Decline"</formula>
    </cfRule>
    <cfRule type="expression" dxfId="2213" priority="146">
      <formula>$D29="Funded"</formula>
    </cfRule>
    <cfRule type="expression" dxfId="2212" priority="147">
      <formula>$D29="0 - MessageError!"</formula>
    </cfRule>
    <cfRule type="expression" dxfId="2211" priority="148">
      <formula>$D29="9- Changed Mind"</formula>
    </cfRule>
    <cfRule type="expression" dxfId="2210" priority="149">
      <formula>$D29="8- Home Values"</formula>
    </cfRule>
    <cfRule type="expression" dxfId="2209" priority="150">
      <formula>$D29="7- Market Drop"</formula>
    </cfRule>
    <cfRule type="expression" dxfId="2208" priority="151">
      <formula>$D29="6- Another Lender"</formula>
    </cfRule>
    <cfRule type="expression" dxfId="2207" priority="152">
      <formula>$D29="5- ChangedMind?"</formula>
    </cfRule>
    <cfRule type="expression" dxfId="2206" priority="153">
      <formula>$D29="4- Don'tQualify"</formula>
    </cfRule>
    <cfRule type="expression" dxfId="2205" priority="154">
      <formula>$D29="3- CashOut"</formula>
    </cfRule>
    <cfRule type="expression" dxfId="2204" priority="155">
      <formula>$D29="2- RevisedQuote"</formula>
    </cfRule>
    <cfRule type="expression" dxfId="2203" priority="156">
      <formula>$D29="1- FollowUp"</formula>
    </cfRule>
    <cfRule type="expression" dxfId="2202" priority="157" stopIfTrue="1">
      <formula>$D29="Responded"</formula>
    </cfRule>
    <cfRule type="expression" dxfId="2201" priority="158">
      <formula>$D29="Locked!"</formula>
    </cfRule>
    <cfRule type="expression" dxfId="2200" priority="159">
      <formula>$D29="E-signed!"</formula>
    </cfRule>
    <cfRule type="expression" dxfId="2199" priority="160">
      <formula>$D29="Docs Received!"</formula>
    </cfRule>
    <cfRule type="expression" dxfId="2198" priority="161">
      <formula>$D29="Disclosures Going Out..."</formula>
    </cfRule>
    <cfRule type="expression" dxfId="2197" priority="162">
      <formula>$D29="Disclosures Sent!"</formula>
    </cfRule>
    <cfRule type="expression" dxfId="2196" priority="163">
      <formula>$D29="FIGURE - Link Sent!"</formula>
    </cfRule>
    <cfRule type="expression" dxfId="2195" priority="164">
      <formula>$D29="Hard Money Opportunity"</formula>
    </cfRule>
    <cfRule type="expression" dxfId="2194" priority="165">
      <formula>$D29="Communicating..."</formula>
    </cfRule>
    <cfRule type="expression" dxfId="2193" priority="166">
      <formula>$D29="Not Interested"</formula>
    </cfRule>
    <cfRule type="expression" dxfId="2192" priority="167">
      <formula>$D29="APP - Pitched &gt; Follow up"</formula>
    </cfRule>
    <cfRule type="expression" dxfId="2191" priority="168">
      <formula>$D29="Appt Scheduled"</formula>
    </cfRule>
    <cfRule type="expression" dxfId="2190" priority="169">
      <formula>$D29="Reverse Mortgage Opportunity"</formula>
    </cfRule>
    <cfRule type="expression" dxfId="2189" priority="170">
      <formula>$D29="Purchase"</formula>
    </cfRule>
    <cfRule type="expression" dxfId="2188" priority="171">
      <formula>$D29="Verified Approval Letter"</formula>
    </cfRule>
    <cfRule type="expression" dxfId="2187" priority="172">
      <formula>$D29="*Thinking about it*"</formula>
    </cfRule>
    <cfRule type="expression" dxfId="2186" priority="173">
      <formula>$D29="DNQ"</formula>
    </cfRule>
    <cfRule type="expression" dxfId="2185" priority="174">
      <formula>$D29="Commercial/Business Loan"</formula>
    </cfRule>
    <cfRule type="expression" dxfId="2184" priority="175">
      <formula>$D29="Credit - Wayfinder"</formula>
    </cfRule>
    <cfRule type="expression" dxfId="2183" priority="176">
      <formula>$D29="Match or Beat"</formula>
    </cfRule>
    <cfRule type="expression" dxfId="2182" priority="177">
      <formula>$D29="Future Deal"</formula>
    </cfRule>
    <cfRule type="expression" dxfId="2181" priority="178">
      <formula>$D29="Prospect -Email Sent"</formula>
    </cfRule>
    <cfRule type="expression" dxfId="2180" priority="179">
      <formula>$D29="STOP!"</formula>
    </cfRule>
    <cfRule type="expression" dxfId="2179" priority="180">
      <formula>$D29="No Benefit"</formula>
    </cfRule>
    <cfRule type="expression" dxfId="2178" priority="181">
      <formula>$D29="Went With Another Lender"</formula>
    </cfRule>
    <cfRule type="expression" dxfId="2177" priority="182">
      <formula>$D29="Called 3x"</formula>
    </cfRule>
    <cfRule type="expression" dxfId="2176" priority="183">
      <formula>$D29="Called 2x"</formula>
    </cfRule>
    <cfRule type="expression" dxfId="2175" priority="184">
      <formula>$D29="T15 - MessageError!"</formula>
    </cfRule>
    <cfRule type="expression" dxfId="2174" priority="185">
      <formula>$D29="T14 - Right Person?"</formula>
    </cfRule>
    <cfRule type="expression" dxfId="2173" priority="186">
      <formula>$D29="T13 - Email"</formula>
    </cfRule>
    <cfRule type="expression" dxfId="2172" priority="187">
      <formula>$D29="T12 - Blown Up"</formula>
    </cfRule>
    <cfRule type="expression" dxfId="2171" priority="188">
      <formula>$D29="T11 - More Time?"</formula>
    </cfRule>
    <cfRule type="expression" dxfId="2170" priority="189">
      <formula>$D29="T10 - Really Busy"</formula>
    </cfRule>
    <cfRule type="expression" dxfId="2169" priority="190">
      <formula>$D29="T9 - Majority of Clients"</formula>
    </cfRule>
    <cfRule type="expression" dxfId="2168" priority="191">
      <formula>$D29="T8 - STOP Contact"</formula>
    </cfRule>
    <cfRule type="expression" dxfId="2167" priority="192">
      <formula>$D29="T7 - Another Lender"</formula>
    </cfRule>
    <cfRule type="expression" dxfId="2166" priority="193">
      <formula>$D29="T6 - Don’t Qualify?"</formula>
    </cfRule>
    <cfRule type="expression" dxfId="2165" priority="194">
      <formula>$D29="T5 - Debt Consolidation"</formula>
    </cfRule>
    <cfRule type="expression" dxfId="2164" priority="195">
      <formula>$D29="T4 - Debt / Home"</formula>
    </cfRule>
    <cfRule type="expression" dxfId="2163" priority="196">
      <formula>$D29="T3 - Correct Cash"</formula>
    </cfRule>
    <cfRule type="expression" dxfId="2162" priority="197">
      <formula>$D29="T2 - Revised"</formula>
    </cfRule>
    <cfRule type="expression" dxfId="2161" priority="198">
      <formula>$D29="T1 - Follow Up"</formula>
    </cfRule>
    <cfRule type="expression" dxfId="2160" priority="199">
      <formula>$D29="APP - LOCKED!"</formula>
    </cfRule>
    <cfRule type="expression" dxfId="2159" priority="200">
      <formula>$D29="LOCKED!"</formula>
    </cfRule>
    <cfRule type="expression" dxfId="2158" priority="201">
      <formula>$D29="APP - Pitched &gt; Follow Up!"</formula>
    </cfRule>
    <cfRule type="expression" dxfId="2157" priority="202">
      <formula>$D29="Pitched &gt; FOLLOW UP!"</formula>
    </cfRule>
    <cfRule type="expression" dxfId="2156" priority="203">
      <formula>$D29="APP - Application Taken"</formula>
    </cfRule>
    <cfRule type="expression" dxfId="2155" priority="204">
      <formula>$D29="AL - HOT!"</formula>
    </cfRule>
    <cfRule type="expression" dxfId="2154" priority="205">
      <formula>$D29="AL - Responded"</formula>
    </cfRule>
    <cfRule type="expression" dxfId="2153" priority="206">
      <formula>$D29="Prospect - Appt Scheduled"</formula>
    </cfRule>
    <cfRule type="expression" dxfId="2152" priority="207">
      <formula>$D29="Appt Scheduled"</formula>
    </cfRule>
    <cfRule type="expression" dxfId="2151" priority="208">
      <formula>$D29="Prospect - Follow Up"</formula>
    </cfRule>
    <cfRule type="expression" dxfId="2150" priority="209">
      <formula>$D29="Prospect - HOT!"</formula>
    </cfRule>
    <cfRule type="expression" dxfId="2149" priority="210">
      <formula>$D29="Prospect - Warm"</formula>
    </cfRule>
  </conditionalFormatting>
  <conditionalFormatting sqref="B29:U29">
    <cfRule type="expression" dxfId="2148" priority="141">
      <formula>$D29="Potential Cancel"</formula>
    </cfRule>
    <cfRule type="expression" dxfId="2147" priority="142">
      <formula>$D29="Suspended-Restructure"</formula>
    </cfRule>
    <cfRule type="expression" dxfId="2146" priority="143">
      <formula>$D29="Clear to Close"</formula>
    </cfRule>
    <cfRule type="expression" dxfId="2145" priority="144">
      <formula>$D29="Submitted to Underwriting"</formula>
    </cfRule>
  </conditionalFormatting>
  <conditionalFormatting sqref="N30">
    <cfRule type="expression" dxfId="2144" priority="75">
      <formula>$D30="Cancel-Decline"</formula>
    </cfRule>
    <cfRule type="expression" dxfId="2143" priority="76">
      <formula>$D30="Funded"</formula>
    </cfRule>
    <cfRule type="expression" dxfId="2142" priority="77">
      <formula>$D30="0 - MessageError!"</formula>
    </cfRule>
    <cfRule type="expression" dxfId="2141" priority="78">
      <formula>$D30="9- Changed Mind"</formula>
    </cfRule>
    <cfRule type="expression" dxfId="2140" priority="79">
      <formula>$D30="8- Home Values"</formula>
    </cfRule>
    <cfRule type="expression" dxfId="2139" priority="80">
      <formula>$D30="7- Market Drop"</formula>
    </cfRule>
    <cfRule type="expression" dxfId="2138" priority="81">
      <formula>$D30="6- Another Lender"</formula>
    </cfRule>
    <cfRule type="expression" dxfId="2137" priority="82">
      <formula>$D30="5- ChangedMind?"</formula>
    </cfRule>
    <cfRule type="expression" dxfId="2136" priority="83">
      <formula>$D30="4- Don'tQualify"</formula>
    </cfRule>
    <cfRule type="expression" dxfId="2135" priority="84">
      <formula>$D30="3- CashOut"</formula>
    </cfRule>
    <cfRule type="expression" dxfId="2134" priority="85">
      <formula>$D30="2- RevisedQuote"</formula>
    </cfRule>
    <cfRule type="expression" dxfId="2133" priority="86">
      <formula>$D30="1- FollowUp"</formula>
    </cfRule>
    <cfRule type="expression" dxfId="2132" priority="87" stopIfTrue="1">
      <formula>$D30="Responded"</formula>
    </cfRule>
    <cfRule type="expression" dxfId="2131" priority="88">
      <formula>$D30="Locked!"</formula>
    </cfRule>
    <cfRule type="expression" dxfId="2130" priority="89">
      <formula>$D30="E-signed!"</formula>
    </cfRule>
    <cfRule type="expression" dxfId="2129" priority="90">
      <formula>$D30="Docs Received!"</formula>
    </cfRule>
    <cfRule type="expression" dxfId="2128" priority="91">
      <formula>$D30="Disclosures Going Out..."</formula>
    </cfRule>
    <cfRule type="expression" dxfId="2127" priority="92">
      <formula>$D30="Disclosures Sent!"</formula>
    </cfRule>
    <cfRule type="expression" dxfId="2126" priority="93">
      <formula>$D30="FIGURE - Link Sent!"</formula>
    </cfRule>
    <cfRule type="expression" dxfId="2125" priority="94">
      <formula>$D30="Hard Money Opportunity"</formula>
    </cfRule>
    <cfRule type="expression" dxfId="2124" priority="95">
      <formula>$D30="Communicating..."</formula>
    </cfRule>
    <cfRule type="expression" dxfId="2123" priority="96">
      <formula>$D30="Not Interested"</formula>
    </cfRule>
    <cfRule type="expression" dxfId="2122" priority="97">
      <formula>$D30="APP - Pitched &gt; Follow up"</formula>
    </cfRule>
    <cfRule type="expression" dxfId="2121" priority="98">
      <formula>$D30="Appt Scheduled"</formula>
    </cfRule>
    <cfRule type="expression" dxfId="2120" priority="99">
      <formula>$D30="Reverse Mortgage Opportunity"</formula>
    </cfRule>
    <cfRule type="expression" dxfId="2119" priority="100">
      <formula>$D30="Purchase"</formula>
    </cfRule>
    <cfRule type="expression" dxfId="2118" priority="101">
      <formula>$D30="Verified Approval Letter"</formula>
    </cfRule>
    <cfRule type="expression" dxfId="2117" priority="102">
      <formula>$D30="*Thinking about it*"</formula>
    </cfRule>
    <cfRule type="expression" dxfId="2116" priority="103">
      <formula>$D30="DNQ"</formula>
    </cfRule>
    <cfRule type="expression" dxfId="2115" priority="104">
      <formula>$D30="Commercial/Business Loan"</formula>
    </cfRule>
    <cfRule type="expression" dxfId="2114" priority="105">
      <formula>$D30="Credit - Wayfinder"</formula>
    </cfRule>
    <cfRule type="expression" dxfId="2113" priority="106">
      <formula>$D30="Match or Beat"</formula>
    </cfRule>
    <cfRule type="expression" dxfId="2112" priority="107">
      <formula>$D30="Future Deal"</formula>
    </cfRule>
    <cfRule type="expression" dxfId="2111" priority="108">
      <formula>$D30="Prospect -Email Sent"</formula>
    </cfRule>
    <cfRule type="expression" dxfId="2110" priority="109">
      <formula>$D30="STOP!"</formula>
    </cfRule>
    <cfRule type="expression" dxfId="2109" priority="110">
      <formula>$D30="No Benefit"</formula>
    </cfRule>
    <cfRule type="expression" dxfId="2108" priority="111">
      <formula>$D30="Went With Another Lender"</formula>
    </cfRule>
    <cfRule type="expression" dxfId="2107" priority="112">
      <formula>$D30="Called 3x"</formula>
    </cfRule>
    <cfRule type="expression" dxfId="2106" priority="113">
      <formula>$D30="Called 2x"</formula>
    </cfRule>
    <cfRule type="expression" dxfId="2105" priority="114">
      <formula>$D30="T15 - MessageError!"</formula>
    </cfRule>
    <cfRule type="expression" dxfId="2104" priority="115">
      <formula>$D30="T14 - Right Person?"</formula>
    </cfRule>
    <cfRule type="expression" dxfId="2103" priority="116">
      <formula>$D30="T13 - Email"</formula>
    </cfRule>
    <cfRule type="expression" dxfId="2102" priority="117">
      <formula>$D30="T12 - Blown Up"</formula>
    </cfRule>
    <cfRule type="expression" dxfId="2101" priority="118">
      <formula>$D30="T11 - More Time?"</formula>
    </cfRule>
    <cfRule type="expression" dxfId="2100" priority="119">
      <formula>$D30="T10 - Really Busy"</formula>
    </cfRule>
    <cfRule type="expression" dxfId="2099" priority="120">
      <formula>$D30="T9 - Majority of Clients"</formula>
    </cfRule>
    <cfRule type="expression" dxfId="2098" priority="121">
      <formula>$D30="T8 - STOP Contact"</formula>
    </cfRule>
    <cfRule type="expression" dxfId="2097" priority="122">
      <formula>$D30="T7 - Another Lender"</formula>
    </cfRule>
    <cfRule type="expression" dxfId="2096" priority="123">
      <formula>$D30="T6 - Don’t Qualify?"</formula>
    </cfRule>
    <cfRule type="expression" dxfId="2095" priority="124">
      <formula>$D30="T5 - Debt Consolidation"</formula>
    </cfRule>
    <cfRule type="expression" dxfId="2094" priority="125">
      <formula>$D30="T4 - Debt / Home"</formula>
    </cfRule>
    <cfRule type="expression" dxfId="2093" priority="126">
      <formula>$D30="T3 - Correct Cash"</formula>
    </cfRule>
    <cfRule type="expression" dxfId="2092" priority="127">
      <formula>$D30="T2 - Revised"</formula>
    </cfRule>
    <cfRule type="expression" dxfId="2091" priority="128">
      <formula>$D30="T1 - Follow Up"</formula>
    </cfRule>
    <cfRule type="expression" dxfId="2090" priority="129">
      <formula>$D30="APP - LOCKED!"</formula>
    </cfRule>
    <cfRule type="expression" dxfId="2089" priority="130">
      <formula>$D30="LOCKED!"</formula>
    </cfRule>
    <cfRule type="expression" dxfId="2088" priority="131">
      <formula>$D30="APP - Pitched &gt; Follow Up!"</formula>
    </cfRule>
    <cfRule type="expression" dxfId="2087" priority="132">
      <formula>$D30="Pitched &gt; FOLLOW UP!"</formula>
    </cfRule>
    <cfRule type="expression" dxfId="2086" priority="133">
      <formula>$D30="APP - Application Taken"</formula>
    </cfRule>
    <cfRule type="expression" dxfId="2085" priority="134">
      <formula>$D30="AL - HOT!"</formula>
    </cfRule>
    <cfRule type="expression" dxfId="2084" priority="135">
      <formula>$D30="AL - Responded"</formula>
    </cfRule>
    <cfRule type="expression" dxfId="2083" priority="136">
      <formula>$D30="Prospect - Appt Scheduled"</formula>
    </cfRule>
    <cfRule type="expression" dxfId="2082" priority="137">
      <formula>$D30="Appt Scheduled"</formula>
    </cfRule>
    <cfRule type="expression" dxfId="2081" priority="138">
      <formula>$D30="Prospect - Follow Up"</formula>
    </cfRule>
    <cfRule type="expression" dxfId="2080" priority="139">
      <formula>$D30="Prospect - HOT!"</formula>
    </cfRule>
    <cfRule type="expression" dxfId="2079" priority="140">
      <formula>$D30="Prospect - Warm"</formula>
    </cfRule>
  </conditionalFormatting>
  <conditionalFormatting sqref="N30">
    <cfRule type="expression" dxfId="2078" priority="71">
      <formula>$D30="Potential Cancel"</formula>
    </cfRule>
    <cfRule type="expression" dxfId="2077" priority="73">
      <formula>$D30="Clear to Close"</formula>
    </cfRule>
  </conditionalFormatting>
  <conditionalFormatting sqref="A1:U2994">
    <cfRule type="expression" dxfId="2076" priority="1080">
      <formula>$D1="Conditionally Approved"</formula>
    </cfRule>
    <cfRule type="expression" dxfId="2075" priority="1085">
      <formula>$D1="Submitted to Underwriting"</formula>
    </cfRule>
  </conditionalFormatting>
  <conditionalFormatting sqref="A1:U2997">
    <cfRule type="expression" dxfId="2074" priority="72">
      <formula>$D1="Suspended-Restructure"</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ActiveToFunded">
                <anchor>
                  <from>
                    <xdr:col>1</xdr:col>
                    <xdr:colOff>68580</xdr:colOff>
                    <xdr:row>0</xdr:row>
                    <xdr:rowOff>45720</xdr:rowOff>
                  </from>
                  <to>
                    <xdr:col>3</xdr:col>
                    <xdr:colOff>83820</xdr:colOff>
                    <xdr:row>1</xdr:row>
                    <xdr:rowOff>251460</xdr:rowOff>
                  </to>
                </anchor>
              </controlPr>
            </control>
          </mc:Choice>
        </mc:AlternateContent>
        <mc:AlternateContent xmlns:mc="http://schemas.openxmlformats.org/markup-compatibility/2006">
          <mc:Choice Requires="x14">
            <control shapeId="3074" r:id="rId4" name="Button 2">
              <controlPr defaultSize="0" print="0" autoFill="0" autoPict="0" macro="[0]!ActiveToCancelDecline">
                <anchor>
                  <from>
                    <xdr:col>3</xdr:col>
                    <xdr:colOff>182880</xdr:colOff>
                    <xdr:row>0</xdr:row>
                    <xdr:rowOff>45720</xdr:rowOff>
                  </from>
                  <to>
                    <xdr:col>4</xdr:col>
                    <xdr:colOff>632460</xdr:colOff>
                    <xdr:row>1</xdr:row>
                    <xdr:rowOff>251460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ontainsText" priority="8853" operator="containsText" text="E-Mail Sent" id="{B4D94D80-2834-4DAD-B62A-099F106F22C7}">
            <xm:f>NOT(ISERROR(SEARCH("E-Mail Sent",LEADS!A1)))</xm:f>
            <x14:dxf>
              <font>
                <b/>
                <i val="0"/>
                <strike val="0"/>
                <u/>
              </font>
              <fill>
                <patternFill patternType="darkTrellis">
                  <fgColor theme="9" tint="0.59996337778862885"/>
                  <bgColor auto="1"/>
                </patternFill>
              </fill>
              <border>
                <left style="thin">
                  <color auto="1"/>
                </left>
                <right style="thin">
                  <color auto="1"/>
                </right>
                <top style="thin">
                  <color auto="1"/>
                </top>
                <bottom style="thin">
                  <color auto="1"/>
                </bottom>
              </border>
            </x14:dxf>
          </x14:cfRule>
          <x14:cfRule type="containsText" priority="8854" operator="containsText" text="E Mail" id="{3FD86690-1E41-4B95-BA2C-50A3436C4442}">
            <xm:f>NOT(ISERROR(SEARCH("E Mail",LEADS!A1)))</xm:f>
            <x14:dxf>
              <font>
                <b/>
                <i val="0"/>
                <u val="double"/>
                <color auto="1"/>
              </font>
              <fill>
                <patternFill patternType="darkTrellis">
                  <fgColor theme="5" tint="0.39994506668294322"/>
                </patternFill>
              </fill>
              <border>
                <left style="thin">
                  <color auto="1"/>
                </left>
                <right style="thin">
                  <color auto="1"/>
                </right>
                <top style="thin">
                  <color auto="1"/>
                </top>
                <bottom style="thin">
                  <color auto="1"/>
                </bottom>
              </border>
            </x14:dxf>
          </x14:cfRule>
          <xm:sqref>A1:A2</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0000000}">
          <x14:formula1>
            <xm:f>WCL!$B$1:$B$47</xm:f>
          </x14:formula1>
          <xm:sqref>D4:D3070</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tabColor rgb="FFC00000"/>
  </sheetPr>
  <dimension ref="A1:V7091"/>
  <sheetViews>
    <sheetView topLeftCell="B1" zoomScale="90" zoomScaleNormal="90" workbookViewId="0">
      <pane ySplit="3" topLeftCell="A4" activePane="bottomLeft" state="frozen"/>
      <selection activeCell="B1" sqref="B1"/>
      <selection pane="bottomLeft" activeCell="E9" sqref="E9"/>
    </sheetView>
  </sheetViews>
  <sheetFormatPr defaultRowHeight="14.4"/>
  <cols>
    <col min="1" max="1" width="11" hidden="1" customWidth="1"/>
    <col min="2" max="2" width="26.44140625" customWidth="1"/>
    <col min="3" max="3" width="12.109375" style="120" customWidth="1"/>
    <col min="4" max="4" width="39" customWidth="1"/>
    <col min="5" max="6" width="12.109375" customWidth="1"/>
    <col min="7" max="7" width="14" customWidth="1"/>
    <col min="8" max="8" width="29.44140625" bestFit="1" customWidth="1"/>
    <col min="9" max="9" width="7.44140625" customWidth="1"/>
    <col min="10" max="10" width="68.6640625" bestFit="1" customWidth="1"/>
    <col min="11" max="11" width="11.33203125" customWidth="1"/>
    <col min="12" max="12" width="11" customWidth="1"/>
    <col min="13" max="13" width="13.6640625" bestFit="1" customWidth="1"/>
    <col min="14" max="14" width="13.44140625" bestFit="1" customWidth="1"/>
    <col min="15" max="15" width="15" style="120" bestFit="1" customWidth="1"/>
    <col min="16" max="16" width="20.109375" style="120" bestFit="1" customWidth="1"/>
    <col min="17" max="17" width="15.33203125" style="163" customWidth="1"/>
    <col min="18" max="18" width="14.6640625" style="163" customWidth="1"/>
    <col min="19" max="19" width="14" style="165" customWidth="1"/>
    <col min="20" max="20" width="15.88671875" style="144" bestFit="1" customWidth="1"/>
    <col min="21" max="21" width="8.109375" customWidth="1"/>
  </cols>
  <sheetData>
    <row r="1" spans="1:21" ht="36.75" customHeight="1">
      <c r="A1" s="284"/>
      <c r="B1" s="285"/>
      <c r="C1" s="285"/>
      <c r="D1" s="285"/>
      <c r="E1" s="285"/>
      <c r="F1" s="285"/>
      <c r="G1" s="285"/>
      <c r="H1" s="285"/>
      <c r="I1" s="285"/>
      <c r="J1" s="285"/>
      <c r="K1" s="285"/>
      <c r="L1" s="285"/>
      <c r="M1" s="285"/>
      <c r="N1" s="285"/>
      <c r="O1" s="285"/>
      <c r="P1" s="285"/>
      <c r="Q1" s="285"/>
      <c r="R1" s="285"/>
      <c r="S1" s="285"/>
      <c r="T1" s="285"/>
      <c r="U1" s="285"/>
    </row>
    <row r="2" spans="1:21" ht="23.4">
      <c r="A2" s="288"/>
      <c r="B2" s="289"/>
      <c r="C2" s="289"/>
      <c r="D2" s="289"/>
      <c r="E2" s="289"/>
      <c r="F2" s="289"/>
      <c r="G2" s="289"/>
      <c r="H2" s="289"/>
      <c r="I2" s="289"/>
      <c r="J2" s="289"/>
      <c r="K2" s="289"/>
      <c r="L2" s="289"/>
      <c r="M2" s="289"/>
      <c r="N2" s="289"/>
      <c r="O2" s="289"/>
      <c r="P2" s="289"/>
      <c r="Q2" s="289"/>
      <c r="R2" s="289"/>
      <c r="S2" s="289"/>
      <c r="T2" s="289"/>
      <c r="U2" s="289"/>
    </row>
    <row r="3" spans="1:21" ht="50.25" customHeight="1">
      <c r="A3" s="62" t="s">
        <v>27</v>
      </c>
      <c r="B3" s="62" t="s">
        <v>102</v>
      </c>
      <c r="C3" s="63" t="s">
        <v>1</v>
      </c>
      <c r="D3" s="62" t="s">
        <v>2</v>
      </c>
      <c r="E3" s="62" t="s">
        <v>3</v>
      </c>
      <c r="F3" s="62" t="s">
        <v>4</v>
      </c>
      <c r="G3" s="62" t="s">
        <v>5</v>
      </c>
      <c r="H3" s="62" t="s">
        <v>6</v>
      </c>
      <c r="I3" s="62" t="s">
        <v>7</v>
      </c>
      <c r="J3" s="62" t="s">
        <v>8</v>
      </c>
      <c r="K3" s="62" t="s">
        <v>18</v>
      </c>
      <c r="L3" s="62" t="s">
        <v>142</v>
      </c>
      <c r="M3" s="62" t="s">
        <v>153</v>
      </c>
      <c r="N3" s="62" t="s">
        <v>10</v>
      </c>
      <c r="O3" s="63" t="s">
        <v>143</v>
      </c>
      <c r="P3" s="63" t="s">
        <v>144</v>
      </c>
      <c r="Q3" s="162" t="s">
        <v>26</v>
      </c>
      <c r="R3" s="162" t="s">
        <v>81</v>
      </c>
      <c r="S3" s="164" t="s">
        <v>145</v>
      </c>
      <c r="T3" s="143" t="s">
        <v>131</v>
      </c>
      <c r="U3" s="62" t="s">
        <v>23</v>
      </c>
    </row>
    <row r="4" spans="1:21">
      <c r="A4" s="32"/>
      <c r="B4" s="1"/>
      <c r="C4" s="28"/>
      <c r="D4" s="19"/>
      <c r="G4" s="29"/>
      <c r="H4" s="212"/>
      <c r="I4" s="1"/>
      <c r="L4" s="30"/>
      <c r="M4" s="30"/>
      <c r="N4" s="30"/>
      <c r="O4" s="1"/>
      <c r="P4" s="211"/>
      <c r="Q4" s="211"/>
      <c r="R4" s="31"/>
      <c r="S4" s="211"/>
      <c r="T4" s="165"/>
    </row>
    <row r="5" spans="1:21">
      <c r="A5" s="32"/>
      <c r="H5" s="212"/>
      <c r="O5"/>
      <c r="P5"/>
      <c r="Q5"/>
      <c r="R5"/>
      <c r="S5"/>
      <c r="T5" s="165"/>
    </row>
    <row r="6" spans="1:21">
      <c r="A6" s="32" t="s">
        <v>98</v>
      </c>
      <c r="H6" s="212"/>
      <c r="O6"/>
      <c r="P6"/>
      <c r="Q6"/>
      <c r="R6"/>
      <c r="S6"/>
      <c r="T6" s="165"/>
    </row>
    <row r="7" spans="1:21">
      <c r="A7" s="32" t="s">
        <v>98</v>
      </c>
      <c r="H7" s="212"/>
      <c r="O7"/>
      <c r="P7"/>
      <c r="Q7"/>
      <c r="R7"/>
      <c r="S7"/>
      <c r="T7" s="165"/>
    </row>
    <row r="8" spans="1:21">
      <c r="A8" s="32"/>
      <c r="B8" s="1"/>
      <c r="C8" s="28"/>
      <c r="D8" s="19"/>
      <c r="G8" s="29"/>
      <c r="H8" s="212"/>
      <c r="I8" s="1"/>
      <c r="L8" s="30"/>
      <c r="M8" s="30"/>
      <c r="N8" s="30"/>
      <c r="O8" s="28"/>
      <c r="Q8" s="211"/>
      <c r="R8" s="31"/>
      <c r="S8" s="211"/>
      <c r="T8" s="165"/>
    </row>
    <row r="9" spans="1:21">
      <c r="A9" s="32" t="s">
        <v>98</v>
      </c>
      <c r="B9" s="1"/>
      <c r="C9" s="28"/>
      <c r="D9" s="19"/>
      <c r="G9" s="29"/>
      <c r="H9" s="212"/>
      <c r="I9" s="1"/>
      <c r="L9" s="30"/>
      <c r="M9" s="30"/>
      <c r="N9" s="30"/>
      <c r="O9" s="28"/>
      <c r="Q9" s="211"/>
      <c r="R9" s="31"/>
      <c r="S9" s="211"/>
      <c r="T9" s="165"/>
    </row>
    <row r="10" spans="1:21">
      <c r="A10" s="32" t="s">
        <v>98</v>
      </c>
      <c r="B10" s="1"/>
      <c r="C10" s="28"/>
      <c r="D10" s="19"/>
      <c r="G10" s="29"/>
      <c r="H10" s="212"/>
      <c r="I10" s="1"/>
      <c r="L10" s="30"/>
      <c r="M10" s="30"/>
      <c r="N10" s="30"/>
      <c r="O10" s="28"/>
      <c r="Q10" s="211"/>
      <c r="R10" s="31"/>
      <c r="S10" s="211"/>
      <c r="T10" s="165"/>
    </row>
    <row r="11" spans="1:21">
      <c r="A11" s="32" t="s">
        <v>98</v>
      </c>
      <c r="B11" s="1"/>
      <c r="C11" s="28"/>
      <c r="D11" s="19"/>
      <c r="G11" s="29"/>
      <c r="H11" s="212"/>
      <c r="I11" s="1"/>
      <c r="L11" s="30"/>
      <c r="M11" s="30"/>
      <c r="N11" s="30"/>
      <c r="O11" s="28"/>
      <c r="Q11" s="211"/>
      <c r="R11" s="31"/>
      <c r="S11" s="211"/>
      <c r="T11" s="165"/>
    </row>
    <row r="12" spans="1:21">
      <c r="A12" s="32" t="s">
        <v>98</v>
      </c>
      <c r="B12" s="1"/>
      <c r="C12" s="28"/>
      <c r="D12" s="19"/>
      <c r="G12" s="29"/>
      <c r="H12" s="212"/>
      <c r="I12" s="1"/>
      <c r="L12" s="30"/>
      <c r="M12" s="30"/>
      <c r="N12" s="30"/>
      <c r="O12" s="28"/>
      <c r="Q12" s="211"/>
      <c r="R12" s="31"/>
      <c r="S12" s="211"/>
      <c r="T12" s="165"/>
    </row>
    <row r="13" spans="1:21">
      <c r="A13" s="32" t="s">
        <v>98</v>
      </c>
      <c r="B13" s="1"/>
      <c r="C13" s="28"/>
      <c r="D13" s="19"/>
      <c r="G13" s="29"/>
      <c r="H13" s="212"/>
      <c r="I13" s="1"/>
      <c r="L13" s="30"/>
      <c r="M13" s="30"/>
      <c r="N13" s="30"/>
      <c r="O13" s="28"/>
      <c r="Q13" s="211"/>
      <c r="R13" s="31"/>
      <c r="S13" s="211"/>
      <c r="T13" s="165"/>
    </row>
    <row r="14" spans="1:21">
      <c r="A14" s="32"/>
      <c r="B14" s="1"/>
      <c r="C14" s="28"/>
      <c r="D14" s="19"/>
      <c r="G14" s="29"/>
      <c r="H14" s="212"/>
      <c r="I14" s="1"/>
      <c r="L14" s="30"/>
      <c r="M14" s="30"/>
      <c r="N14" s="30"/>
      <c r="O14" s="28"/>
      <c r="Q14" s="211"/>
      <c r="R14" s="31"/>
      <c r="S14" s="211"/>
      <c r="T14" s="165"/>
    </row>
    <row r="15" spans="1:21">
      <c r="A15" s="32"/>
      <c r="B15" s="1"/>
      <c r="C15" s="28"/>
      <c r="D15" s="19"/>
      <c r="G15" s="29"/>
      <c r="H15" s="212"/>
      <c r="I15" s="1"/>
      <c r="L15" s="30"/>
      <c r="M15" s="30"/>
      <c r="N15" s="30"/>
      <c r="O15" s="28"/>
      <c r="Q15" s="211"/>
      <c r="R15" s="31"/>
      <c r="S15" s="211"/>
      <c r="T15" s="165"/>
    </row>
    <row r="16" spans="1:21">
      <c r="A16" s="32"/>
      <c r="B16" s="1"/>
      <c r="C16" s="28"/>
      <c r="H16" s="212"/>
      <c r="L16" s="30"/>
      <c r="M16" s="30"/>
      <c r="N16" s="30"/>
      <c r="O16" s="28"/>
      <c r="Q16" s="211"/>
      <c r="R16" s="31"/>
      <c r="S16" s="211"/>
      <c r="T16" s="165"/>
    </row>
    <row r="17" spans="1:22">
      <c r="A17" s="32"/>
      <c r="B17" s="1"/>
      <c r="C17" s="28"/>
      <c r="L17" s="30"/>
      <c r="M17" s="30"/>
      <c r="N17" s="30"/>
      <c r="O17" s="28"/>
      <c r="Q17" s="211"/>
      <c r="R17" s="31"/>
      <c r="S17" s="211"/>
      <c r="T17" s="165"/>
    </row>
    <row r="18" spans="1:22">
      <c r="A18" s="32"/>
      <c r="B18" s="1"/>
      <c r="C18" s="28"/>
      <c r="D18" s="19"/>
      <c r="G18" s="29"/>
      <c r="H18" s="212"/>
      <c r="I18" s="1"/>
      <c r="L18" s="30"/>
      <c r="M18" s="30"/>
      <c r="N18" s="30"/>
      <c r="O18" s="1"/>
      <c r="P18" s="211"/>
      <c r="Q18" s="211"/>
      <c r="R18" s="31"/>
      <c r="S18" s="211"/>
      <c r="T18" s="165"/>
    </row>
    <row r="19" spans="1:22">
      <c r="A19" s="32"/>
      <c r="B19" s="1"/>
      <c r="C19" s="28"/>
      <c r="D19" s="19"/>
      <c r="G19" s="29"/>
      <c r="H19" s="212"/>
      <c r="I19" s="1"/>
      <c r="L19" s="30"/>
      <c r="M19" s="30"/>
      <c r="N19" s="30"/>
      <c r="O19" s="1"/>
      <c r="P19" s="211"/>
      <c r="Q19" s="211"/>
      <c r="R19" s="31"/>
      <c r="S19" s="211"/>
      <c r="T19" s="165"/>
    </row>
    <row r="20" spans="1:22">
      <c r="A20" s="32"/>
      <c r="B20" s="1"/>
      <c r="C20" s="28"/>
      <c r="D20" s="19"/>
      <c r="G20" s="29"/>
      <c r="H20" s="212"/>
      <c r="I20" s="1"/>
      <c r="L20" s="30"/>
      <c r="M20" s="30"/>
      <c r="N20" s="30"/>
      <c r="O20" s="1"/>
      <c r="P20" s="211"/>
      <c r="Q20" s="211"/>
      <c r="R20" s="31"/>
      <c r="S20" s="211"/>
      <c r="T20" s="211"/>
    </row>
    <row r="21" spans="1:22">
      <c r="A21" s="32" t="s">
        <v>98</v>
      </c>
      <c r="B21" s="1"/>
      <c r="C21" s="28"/>
      <c r="D21" s="19"/>
      <c r="G21" s="29"/>
      <c r="H21" s="212"/>
      <c r="I21" s="1"/>
      <c r="L21" s="30"/>
      <c r="M21" s="30"/>
      <c r="N21" s="30"/>
      <c r="O21" s="1"/>
      <c r="P21" s="211"/>
      <c r="Q21" s="211"/>
      <c r="R21" s="31"/>
      <c r="S21" s="211"/>
      <c r="T21" s="211"/>
    </row>
    <row r="22" spans="1:22">
      <c r="A22" s="32"/>
      <c r="B22" s="1"/>
      <c r="C22" s="217"/>
      <c r="D22" s="218"/>
      <c r="E22" s="218"/>
      <c r="F22" s="218"/>
      <c r="G22" s="219"/>
      <c r="H22" s="224"/>
      <c r="I22" s="221"/>
      <c r="J22" s="218"/>
      <c r="K22" s="30"/>
      <c r="L22" s="30"/>
      <c r="M22" s="1"/>
      <c r="N22" s="211"/>
      <c r="O22" s="211"/>
      <c r="P22" s="31"/>
      <c r="Q22" s="211"/>
      <c r="R22" s="211"/>
      <c r="S22" s="31"/>
      <c r="T22" s="165"/>
    </row>
    <row r="23" spans="1:22">
      <c r="A23" s="32"/>
      <c r="D23" s="19"/>
      <c r="S23" s="144"/>
      <c r="V23" s="163"/>
    </row>
    <row r="24" spans="1:22">
      <c r="A24" s="32"/>
      <c r="D24" s="19"/>
      <c r="S24" s="144"/>
      <c r="V24" s="163"/>
    </row>
    <row r="25" spans="1:22">
      <c r="A25" s="32"/>
    </row>
    <row r="26" spans="1:22">
      <c r="A26" s="32"/>
    </row>
    <row r="27" spans="1:22">
      <c r="A27" s="32"/>
    </row>
    <row r="28" spans="1:22">
      <c r="A28" s="32"/>
    </row>
    <row r="29" spans="1:22">
      <c r="A29" s="32"/>
    </row>
    <row r="30" spans="1:22">
      <c r="A30" s="32"/>
    </row>
    <row r="31" spans="1:22">
      <c r="A31" s="32"/>
    </row>
    <row r="32" spans="1:22">
      <c r="A32" s="32"/>
    </row>
    <row r="33" spans="1:1">
      <c r="A33" s="32"/>
    </row>
    <row r="34" spans="1:1">
      <c r="A34" s="32"/>
    </row>
    <row r="35" spans="1:1">
      <c r="A35" s="32"/>
    </row>
    <row r="36" spans="1:1">
      <c r="A36" s="32"/>
    </row>
    <row r="37" spans="1:1">
      <c r="A37" s="32"/>
    </row>
    <row r="38" spans="1:1">
      <c r="A38" s="32"/>
    </row>
    <row r="39" spans="1:1">
      <c r="A39" s="32"/>
    </row>
    <row r="40" spans="1:1">
      <c r="A40" s="32"/>
    </row>
    <row r="41" spans="1:1">
      <c r="A41" s="32"/>
    </row>
    <row r="42" spans="1:1">
      <c r="A42" s="32"/>
    </row>
    <row r="43" spans="1:1">
      <c r="A43" s="32"/>
    </row>
    <row r="44" spans="1:1">
      <c r="A44" s="32"/>
    </row>
    <row r="45" spans="1:1">
      <c r="A45" s="32"/>
    </row>
    <row r="46" spans="1:1">
      <c r="A46" s="32"/>
    </row>
    <row r="47" spans="1:1">
      <c r="A47" s="32"/>
    </row>
    <row r="48" spans="1:1">
      <c r="A48" s="32"/>
    </row>
    <row r="49" spans="1:1">
      <c r="A49" s="32"/>
    </row>
    <row r="50" spans="1:1">
      <c r="A50" s="32"/>
    </row>
    <row r="51" spans="1:1">
      <c r="A51" s="32"/>
    </row>
    <row r="52" spans="1:1">
      <c r="A52" s="32"/>
    </row>
    <row r="53" spans="1:1">
      <c r="A53" s="32"/>
    </row>
    <row r="54" spans="1:1">
      <c r="A54" s="32"/>
    </row>
    <row r="55" spans="1:1">
      <c r="A55" s="32"/>
    </row>
    <row r="56" spans="1:1">
      <c r="A56" s="32"/>
    </row>
    <row r="57" spans="1:1">
      <c r="A57" s="32"/>
    </row>
    <row r="58" spans="1:1">
      <c r="A58" s="32"/>
    </row>
    <row r="59" spans="1:1">
      <c r="A59" s="32"/>
    </row>
    <row r="60" spans="1:1">
      <c r="A60" s="32"/>
    </row>
    <row r="61" spans="1:1">
      <c r="A61" s="32"/>
    </row>
    <row r="62" spans="1:1">
      <c r="A62" s="32"/>
    </row>
    <row r="63" spans="1:1">
      <c r="A63" s="32"/>
    </row>
    <row r="64" spans="1:1">
      <c r="A64" s="32"/>
    </row>
    <row r="65" spans="1:1">
      <c r="A65" s="32"/>
    </row>
    <row r="66" spans="1:1">
      <c r="A66" s="32"/>
    </row>
    <row r="67" spans="1:1">
      <c r="A67" s="32"/>
    </row>
    <row r="68" spans="1:1">
      <c r="A68" s="32"/>
    </row>
    <row r="69" spans="1:1">
      <c r="A69" s="32"/>
    </row>
    <row r="70" spans="1:1">
      <c r="A70" s="32"/>
    </row>
    <row r="71" spans="1:1">
      <c r="A71" s="32"/>
    </row>
    <row r="72" spans="1:1">
      <c r="A72" s="32"/>
    </row>
    <row r="73" spans="1:1">
      <c r="A73" s="32"/>
    </row>
    <row r="74" spans="1:1">
      <c r="A74" s="32"/>
    </row>
    <row r="75" spans="1:1">
      <c r="A75" s="32"/>
    </row>
    <row r="76" spans="1:1">
      <c r="A76" s="32"/>
    </row>
    <row r="77" spans="1:1">
      <c r="A77" s="32"/>
    </row>
    <row r="78" spans="1:1">
      <c r="A78" s="32"/>
    </row>
    <row r="79" spans="1:1">
      <c r="A79" s="32"/>
    </row>
    <row r="80" spans="1:1">
      <c r="A80" s="32"/>
    </row>
    <row r="81" spans="1:1">
      <c r="A81" s="32"/>
    </row>
    <row r="82" spans="1:1">
      <c r="A82" s="32"/>
    </row>
    <row r="83" spans="1:1">
      <c r="A83" s="32"/>
    </row>
    <row r="84" spans="1:1">
      <c r="A84" s="32"/>
    </row>
    <row r="85" spans="1:1">
      <c r="A85" s="32"/>
    </row>
    <row r="86" spans="1:1">
      <c r="A86" s="32"/>
    </row>
    <row r="87" spans="1:1">
      <c r="A87" s="32"/>
    </row>
    <row r="88" spans="1:1">
      <c r="A88" s="32"/>
    </row>
    <row r="89" spans="1:1">
      <c r="A89" s="32"/>
    </row>
    <row r="90" spans="1:1">
      <c r="A90" s="32"/>
    </row>
    <row r="91" spans="1:1">
      <c r="A91" s="32"/>
    </row>
    <row r="92" spans="1:1">
      <c r="A92" s="32"/>
    </row>
    <row r="93" spans="1:1">
      <c r="A93" s="32"/>
    </row>
    <row r="94" spans="1:1">
      <c r="A94" s="32"/>
    </row>
    <row r="95" spans="1:1">
      <c r="A95" s="32"/>
    </row>
    <row r="96" spans="1:1">
      <c r="A96" s="32"/>
    </row>
    <row r="97" spans="1:1">
      <c r="A97" s="32"/>
    </row>
    <row r="98" spans="1:1">
      <c r="A98" s="32"/>
    </row>
    <row r="99" spans="1:1">
      <c r="A99" s="32"/>
    </row>
    <row r="100" spans="1:1">
      <c r="A100" s="32"/>
    </row>
    <row r="101" spans="1:1">
      <c r="A101" s="32"/>
    </row>
    <row r="102" spans="1:1">
      <c r="A102" s="32"/>
    </row>
    <row r="103" spans="1:1">
      <c r="A103" s="32"/>
    </row>
    <row r="104" spans="1:1">
      <c r="A104" s="32"/>
    </row>
    <row r="105" spans="1:1">
      <c r="A105" s="32"/>
    </row>
    <row r="106" spans="1:1">
      <c r="A106" s="32"/>
    </row>
    <row r="107" spans="1:1">
      <c r="A107" s="32"/>
    </row>
    <row r="108" spans="1:1">
      <c r="A108" s="32"/>
    </row>
    <row r="109" spans="1:1">
      <c r="A109" s="32"/>
    </row>
    <row r="110" spans="1:1">
      <c r="A110" s="32"/>
    </row>
    <row r="111" spans="1:1">
      <c r="A111" s="32"/>
    </row>
    <row r="112" spans="1:1">
      <c r="A112" s="32"/>
    </row>
    <row r="113" spans="1:1">
      <c r="A113" s="32"/>
    </row>
    <row r="114" spans="1:1">
      <c r="A114" s="32"/>
    </row>
    <row r="115" spans="1:1">
      <c r="A115" s="32"/>
    </row>
    <row r="116" spans="1:1">
      <c r="A116" s="32"/>
    </row>
    <row r="117" spans="1:1">
      <c r="A117" s="32"/>
    </row>
    <row r="118" spans="1:1">
      <c r="A118" s="32"/>
    </row>
    <row r="119" spans="1:1">
      <c r="A119" s="32"/>
    </row>
    <row r="120" spans="1:1">
      <c r="A120" s="32"/>
    </row>
    <row r="121" spans="1:1">
      <c r="A121" s="32"/>
    </row>
    <row r="122" spans="1:1">
      <c r="A122" s="32"/>
    </row>
    <row r="123" spans="1:1">
      <c r="A123" s="32"/>
    </row>
    <row r="124" spans="1:1">
      <c r="A124" s="32"/>
    </row>
    <row r="125" spans="1:1">
      <c r="A125" s="32"/>
    </row>
    <row r="126" spans="1:1">
      <c r="A126" s="32"/>
    </row>
    <row r="127" spans="1:1">
      <c r="A127" s="32"/>
    </row>
    <row r="128" spans="1:1">
      <c r="A128" s="32"/>
    </row>
    <row r="129" spans="1:1">
      <c r="A129" s="32"/>
    </row>
    <row r="130" spans="1:1">
      <c r="A130" s="32"/>
    </row>
    <row r="131" spans="1:1">
      <c r="A131" s="32"/>
    </row>
    <row r="132" spans="1:1">
      <c r="A132" s="32"/>
    </row>
    <row r="133" spans="1:1">
      <c r="A133" s="32"/>
    </row>
    <row r="134" spans="1:1">
      <c r="A134" s="32"/>
    </row>
    <row r="135" spans="1:1">
      <c r="A135" s="32"/>
    </row>
    <row r="136" spans="1:1">
      <c r="A136" s="32"/>
    </row>
    <row r="137" spans="1:1">
      <c r="A137" s="32"/>
    </row>
    <row r="138" spans="1:1">
      <c r="A138" s="32"/>
    </row>
    <row r="139" spans="1:1">
      <c r="A139" s="32"/>
    </row>
    <row r="140" spans="1:1">
      <c r="A140" s="32"/>
    </row>
    <row r="141" spans="1:1">
      <c r="A141" s="32"/>
    </row>
    <row r="142" spans="1:1">
      <c r="A142" s="32"/>
    </row>
    <row r="143" spans="1:1">
      <c r="A143" s="32"/>
    </row>
    <row r="144" spans="1:1">
      <c r="A144" s="32"/>
    </row>
    <row r="145" spans="1:1">
      <c r="A145" s="32"/>
    </row>
    <row r="146" spans="1:1">
      <c r="A146" s="32"/>
    </row>
    <row r="147" spans="1:1">
      <c r="A147" s="32"/>
    </row>
    <row r="148" spans="1:1">
      <c r="A148" s="32"/>
    </row>
    <row r="149" spans="1:1">
      <c r="A149" s="32"/>
    </row>
    <row r="150" spans="1:1">
      <c r="A150" s="32"/>
    </row>
    <row r="151" spans="1:1">
      <c r="A151" s="32"/>
    </row>
    <row r="152" spans="1:1">
      <c r="A152" s="32"/>
    </row>
    <row r="153" spans="1:1">
      <c r="A153" s="32"/>
    </row>
    <row r="154" spans="1:1">
      <c r="A154" s="32"/>
    </row>
    <row r="155" spans="1:1">
      <c r="A155" s="32"/>
    </row>
    <row r="156" spans="1:1">
      <c r="A156" s="32"/>
    </row>
    <row r="157" spans="1:1">
      <c r="A157" s="32"/>
    </row>
    <row r="158" spans="1:1">
      <c r="A158" s="32"/>
    </row>
    <row r="159" spans="1:1">
      <c r="A159" s="32"/>
    </row>
    <row r="160" spans="1:1">
      <c r="A160" s="32"/>
    </row>
    <row r="161" spans="1:1">
      <c r="A161" s="32"/>
    </row>
    <row r="162" spans="1:1">
      <c r="A162" s="32"/>
    </row>
    <row r="163" spans="1:1">
      <c r="A163" s="32"/>
    </row>
    <row r="164" spans="1:1">
      <c r="A164" s="32"/>
    </row>
    <row r="165" spans="1:1">
      <c r="A165" s="32"/>
    </row>
    <row r="166" spans="1:1">
      <c r="A166" s="32"/>
    </row>
    <row r="167" spans="1:1">
      <c r="A167" s="32"/>
    </row>
    <row r="168" spans="1:1">
      <c r="A168" s="32"/>
    </row>
    <row r="169" spans="1:1">
      <c r="A169" s="32"/>
    </row>
    <row r="170" spans="1:1">
      <c r="A170" s="32"/>
    </row>
    <row r="171" spans="1:1">
      <c r="A171" s="32"/>
    </row>
    <row r="172" spans="1:1">
      <c r="A172" s="32"/>
    </row>
    <row r="173" spans="1:1">
      <c r="A173" s="32"/>
    </row>
    <row r="174" spans="1:1">
      <c r="A174" s="32"/>
    </row>
    <row r="175" spans="1:1">
      <c r="A175" s="32"/>
    </row>
    <row r="176" spans="1:1">
      <c r="A176" s="32"/>
    </row>
    <row r="177" spans="1:1">
      <c r="A177" s="32"/>
    </row>
    <row r="178" spans="1:1">
      <c r="A178" s="32"/>
    </row>
    <row r="179" spans="1:1">
      <c r="A179" s="32"/>
    </row>
    <row r="180" spans="1:1">
      <c r="A180" s="32"/>
    </row>
    <row r="181" spans="1:1">
      <c r="A181" s="32"/>
    </row>
    <row r="182" spans="1:1">
      <c r="A182" s="32"/>
    </row>
    <row r="183" spans="1:1">
      <c r="A183" s="32"/>
    </row>
    <row r="184" spans="1:1">
      <c r="A184" s="32"/>
    </row>
    <row r="185" spans="1:1">
      <c r="A185" s="32"/>
    </row>
    <row r="186" spans="1:1">
      <c r="A186" s="32"/>
    </row>
    <row r="187" spans="1:1">
      <c r="A187" s="32"/>
    </row>
    <row r="188" spans="1:1">
      <c r="A188" s="32"/>
    </row>
    <row r="189" spans="1:1">
      <c r="A189" s="32"/>
    </row>
    <row r="190" spans="1:1">
      <c r="A190" s="32"/>
    </row>
    <row r="191" spans="1:1">
      <c r="A191" s="32"/>
    </row>
    <row r="192" spans="1:1">
      <c r="A192" s="32"/>
    </row>
    <row r="193" spans="1:1">
      <c r="A193" s="32"/>
    </row>
    <row r="194" spans="1:1">
      <c r="A194" s="32"/>
    </row>
    <row r="195" spans="1:1">
      <c r="A195" s="32"/>
    </row>
    <row r="196" spans="1:1">
      <c r="A196" s="32"/>
    </row>
    <row r="197" spans="1:1">
      <c r="A197" s="32"/>
    </row>
    <row r="198" spans="1:1">
      <c r="A198" s="32"/>
    </row>
    <row r="199" spans="1:1">
      <c r="A199" s="32"/>
    </row>
    <row r="200" spans="1:1">
      <c r="A200" s="32"/>
    </row>
    <row r="201" spans="1:1">
      <c r="A201" s="32"/>
    </row>
    <row r="202" spans="1:1">
      <c r="A202" s="32"/>
    </row>
    <row r="203" spans="1:1">
      <c r="A203" s="32"/>
    </row>
    <row r="204" spans="1:1">
      <c r="A204" s="32"/>
    </row>
    <row r="205" spans="1:1">
      <c r="A205" s="32"/>
    </row>
    <row r="206" spans="1:1">
      <c r="A206" s="32"/>
    </row>
    <row r="207" spans="1:1">
      <c r="A207" s="32"/>
    </row>
    <row r="208" spans="1:1">
      <c r="A208" s="32"/>
    </row>
    <row r="209" spans="1:1">
      <c r="A209" s="32"/>
    </row>
    <row r="210" spans="1:1">
      <c r="A210" s="32"/>
    </row>
    <row r="211" spans="1:1">
      <c r="A211" s="32"/>
    </row>
    <row r="212" spans="1:1">
      <c r="A212" s="32"/>
    </row>
    <row r="213" spans="1:1">
      <c r="A213" s="32"/>
    </row>
    <row r="214" spans="1:1">
      <c r="A214" s="32"/>
    </row>
    <row r="215" spans="1:1">
      <c r="A215" s="32"/>
    </row>
    <row r="216" spans="1:1">
      <c r="A216" s="32"/>
    </row>
    <row r="217" spans="1:1">
      <c r="A217" s="32"/>
    </row>
    <row r="218" spans="1:1">
      <c r="A218" s="32"/>
    </row>
    <row r="219" spans="1:1">
      <c r="A219" s="32"/>
    </row>
    <row r="220" spans="1:1">
      <c r="A220" s="32"/>
    </row>
    <row r="221" spans="1:1">
      <c r="A221" s="32"/>
    </row>
    <row r="222" spans="1:1">
      <c r="A222" s="32"/>
    </row>
    <row r="223" spans="1:1">
      <c r="A223" s="32"/>
    </row>
    <row r="224" spans="1:1">
      <c r="A224" s="32"/>
    </row>
    <row r="225" spans="1:1">
      <c r="A225" s="32"/>
    </row>
    <row r="226" spans="1:1">
      <c r="A226" s="32"/>
    </row>
    <row r="227" spans="1:1">
      <c r="A227" s="32"/>
    </row>
    <row r="228" spans="1:1">
      <c r="A228" s="32"/>
    </row>
    <row r="229" spans="1:1">
      <c r="A229" s="32"/>
    </row>
    <row r="230" spans="1:1">
      <c r="A230" s="32"/>
    </row>
    <row r="231" spans="1:1">
      <c r="A231" s="32"/>
    </row>
    <row r="232" spans="1:1">
      <c r="A232" s="32"/>
    </row>
    <row r="233" spans="1:1">
      <c r="A233" s="32"/>
    </row>
    <row r="234" spans="1:1">
      <c r="A234" s="32"/>
    </row>
    <row r="235" spans="1:1">
      <c r="A235" s="32"/>
    </row>
    <row r="236" spans="1:1">
      <c r="A236" s="32"/>
    </row>
    <row r="237" spans="1:1">
      <c r="A237" s="32"/>
    </row>
    <row r="238" spans="1:1">
      <c r="A238" s="32"/>
    </row>
    <row r="239" spans="1:1">
      <c r="A239" s="32"/>
    </row>
    <row r="240" spans="1:1">
      <c r="A240" s="32"/>
    </row>
    <row r="241" spans="1:1">
      <c r="A241" s="32"/>
    </row>
    <row r="242" spans="1:1">
      <c r="A242" s="32"/>
    </row>
    <row r="243" spans="1:1">
      <c r="A243" s="32"/>
    </row>
    <row r="244" spans="1:1">
      <c r="A244" s="32"/>
    </row>
    <row r="245" spans="1:1">
      <c r="A245" s="32"/>
    </row>
    <row r="246" spans="1:1">
      <c r="A246" s="32"/>
    </row>
    <row r="247" spans="1:1">
      <c r="A247" s="32"/>
    </row>
    <row r="248" spans="1:1">
      <c r="A248" s="32"/>
    </row>
    <row r="249" spans="1:1">
      <c r="A249" s="32"/>
    </row>
    <row r="250" spans="1:1">
      <c r="A250" s="32"/>
    </row>
    <row r="251" spans="1:1">
      <c r="A251" s="32"/>
    </row>
    <row r="252" spans="1:1">
      <c r="A252" s="32"/>
    </row>
    <row r="253" spans="1:1">
      <c r="A253" s="32"/>
    </row>
    <row r="254" spans="1:1">
      <c r="A254" s="32"/>
    </row>
    <row r="255" spans="1:1">
      <c r="A255" s="32"/>
    </row>
    <row r="256" spans="1:1">
      <c r="A256" s="32"/>
    </row>
    <row r="257" spans="1:1">
      <c r="A257" s="32"/>
    </row>
    <row r="258" spans="1:1">
      <c r="A258" s="32"/>
    </row>
    <row r="259" spans="1:1">
      <c r="A259" s="32"/>
    </row>
    <row r="260" spans="1:1">
      <c r="A260" s="32"/>
    </row>
    <row r="261" spans="1:1">
      <c r="A261" s="32"/>
    </row>
    <row r="262" spans="1:1">
      <c r="A262" s="32"/>
    </row>
    <row r="263" spans="1:1">
      <c r="A263" s="32"/>
    </row>
    <row r="264" spans="1:1">
      <c r="A264" s="32"/>
    </row>
    <row r="265" spans="1:1">
      <c r="A265" s="32"/>
    </row>
    <row r="266" spans="1:1">
      <c r="A266" s="32"/>
    </row>
    <row r="267" spans="1:1">
      <c r="A267" s="32"/>
    </row>
    <row r="268" spans="1:1">
      <c r="A268" s="32"/>
    </row>
    <row r="269" spans="1:1">
      <c r="A269" s="32"/>
    </row>
    <row r="270" spans="1:1">
      <c r="A270" s="32"/>
    </row>
    <row r="271" spans="1:1">
      <c r="A271" s="32"/>
    </row>
    <row r="272" spans="1:1">
      <c r="A272" s="32"/>
    </row>
    <row r="273" spans="1:1">
      <c r="A273" s="32"/>
    </row>
    <row r="274" spans="1:1">
      <c r="A274" s="32"/>
    </row>
    <row r="275" spans="1:1">
      <c r="A275" s="32"/>
    </row>
    <row r="276" spans="1:1">
      <c r="A276" s="32"/>
    </row>
    <row r="277" spans="1:1">
      <c r="A277" s="32"/>
    </row>
    <row r="278" spans="1:1">
      <c r="A278" s="32"/>
    </row>
    <row r="279" spans="1:1">
      <c r="A279" s="32"/>
    </row>
    <row r="280" spans="1:1">
      <c r="A280" s="32"/>
    </row>
    <row r="281" spans="1:1">
      <c r="A281" s="32"/>
    </row>
    <row r="282" spans="1:1">
      <c r="A282" s="32"/>
    </row>
    <row r="283" spans="1:1">
      <c r="A283" s="32"/>
    </row>
    <row r="284" spans="1:1">
      <c r="A284" s="32"/>
    </row>
    <row r="285" spans="1:1">
      <c r="A285" s="32"/>
    </row>
    <row r="286" spans="1:1">
      <c r="A286" s="32"/>
    </row>
    <row r="287" spans="1:1">
      <c r="A287" s="32"/>
    </row>
    <row r="288" spans="1:1">
      <c r="A288" s="32"/>
    </row>
    <row r="289" spans="1:1">
      <c r="A289" s="32"/>
    </row>
    <row r="290" spans="1:1">
      <c r="A290" s="32"/>
    </row>
    <row r="291" spans="1:1">
      <c r="A291" s="32"/>
    </row>
    <row r="292" spans="1:1">
      <c r="A292" s="32"/>
    </row>
    <row r="293" spans="1:1">
      <c r="A293" s="32"/>
    </row>
    <row r="294" spans="1:1">
      <c r="A294" s="32"/>
    </row>
    <row r="295" spans="1:1">
      <c r="A295" s="32"/>
    </row>
    <row r="296" spans="1:1">
      <c r="A296" s="32"/>
    </row>
    <row r="297" spans="1:1">
      <c r="A297" s="32"/>
    </row>
    <row r="298" spans="1:1">
      <c r="A298" s="32"/>
    </row>
    <row r="299" spans="1:1">
      <c r="A299" s="32"/>
    </row>
    <row r="300" spans="1:1">
      <c r="A300" s="32"/>
    </row>
    <row r="301" spans="1:1">
      <c r="A301" s="32"/>
    </row>
    <row r="302" spans="1:1">
      <c r="A302" s="32"/>
    </row>
    <row r="303" spans="1:1">
      <c r="A303" s="32"/>
    </row>
    <row r="304" spans="1:1">
      <c r="A304" s="32"/>
    </row>
    <row r="305" spans="1:1">
      <c r="A305" s="32"/>
    </row>
    <row r="306" spans="1:1">
      <c r="A306" s="32"/>
    </row>
    <row r="307" spans="1:1">
      <c r="A307" s="32"/>
    </row>
    <row r="308" spans="1:1">
      <c r="A308" s="32"/>
    </row>
    <row r="309" spans="1:1">
      <c r="A309" s="32"/>
    </row>
    <row r="310" spans="1:1">
      <c r="A310" s="32"/>
    </row>
    <row r="311" spans="1:1">
      <c r="A311" s="32"/>
    </row>
    <row r="312" spans="1:1">
      <c r="A312" s="32"/>
    </row>
    <row r="313" spans="1:1">
      <c r="A313" s="32"/>
    </row>
    <row r="314" spans="1:1">
      <c r="A314" s="32"/>
    </row>
    <row r="315" spans="1:1">
      <c r="A315" s="32"/>
    </row>
    <row r="316" spans="1:1">
      <c r="A316" s="32"/>
    </row>
    <row r="317" spans="1:1">
      <c r="A317" s="32"/>
    </row>
    <row r="318" spans="1:1">
      <c r="A318" s="32"/>
    </row>
    <row r="319" spans="1:1">
      <c r="A319" s="32"/>
    </row>
    <row r="320" spans="1:1">
      <c r="A320" s="32"/>
    </row>
    <row r="321" spans="1:1">
      <c r="A321" s="32"/>
    </row>
    <row r="322" spans="1:1">
      <c r="A322" s="32"/>
    </row>
    <row r="323" spans="1:1">
      <c r="A323" s="32"/>
    </row>
    <row r="324" spans="1:1">
      <c r="A324" s="32"/>
    </row>
    <row r="325" spans="1:1">
      <c r="A325" s="32"/>
    </row>
    <row r="326" spans="1:1">
      <c r="A326" s="32"/>
    </row>
    <row r="327" spans="1:1">
      <c r="A327" s="32"/>
    </row>
    <row r="328" spans="1:1">
      <c r="A328" s="32"/>
    </row>
    <row r="329" spans="1:1">
      <c r="A329" s="32"/>
    </row>
    <row r="330" spans="1:1">
      <c r="A330" s="32"/>
    </row>
    <row r="331" spans="1:1">
      <c r="A331" s="32"/>
    </row>
    <row r="332" spans="1:1">
      <c r="A332" s="32"/>
    </row>
    <row r="333" spans="1:1">
      <c r="A333" s="32"/>
    </row>
    <row r="334" spans="1:1">
      <c r="A334" s="32"/>
    </row>
    <row r="335" spans="1:1">
      <c r="A335" s="32"/>
    </row>
    <row r="336" spans="1:1">
      <c r="A336" s="32"/>
    </row>
    <row r="337" spans="1:1">
      <c r="A337" s="32"/>
    </row>
    <row r="338" spans="1:1">
      <c r="A338" s="32"/>
    </row>
    <row r="339" spans="1:1">
      <c r="A339" s="32"/>
    </row>
    <row r="340" spans="1:1">
      <c r="A340" s="32"/>
    </row>
    <row r="341" spans="1:1">
      <c r="A341" s="32"/>
    </row>
    <row r="342" spans="1:1">
      <c r="A342" s="32"/>
    </row>
    <row r="343" spans="1:1">
      <c r="A343" s="32"/>
    </row>
    <row r="344" spans="1:1">
      <c r="A344" s="32"/>
    </row>
    <row r="345" spans="1:1">
      <c r="A345" s="32"/>
    </row>
    <row r="346" spans="1:1">
      <c r="A346" s="32"/>
    </row>
    <row r="347" spans="1:1">
      <c r="A347" s="32"/>
    </row>
    <row r="348" spans="1:1">
      <c r="A348" s="32"/>
    </row>
    <row r="349" spans="1:1">
      <c r="A349" s="32"/>
    </row>
    <row r="350" spans="1:1">
      <c r="A350" s="32"/>
    </row>
    <row r="351" spans="1:1">
      <c r="A351" s="32"/>
    </row>
    <row r="352" spans="1:1">
      <c r="A352" s="32"/>
    </row>
    <row r="353" spans="1:1">
      <c r="A353" s="32"/>
    </row>
    <row r="354" spans="1:1">
      <c r="A354" s="32"/>
    </row>
    <row r="355" spans="1:1">
      <c r="A355" s="32"/>
    </row>
    <row r="356" spans="1:1">
      <c r="A356" s="32"/>
    </row>
    <row r="357" spans="1:1">
      <c r="A357" s="32"/>
    </row>
    <row r="358" spans="1:1">
      <c r="A358" s="32"/>
    </row>
    <row r="359" spans="1:1">
      <c r="A359" s="32"/>
    </row>
    <row r="360" spans="1:1">
      <c r="A360" s="32"/>
    </row>
    <row r="361" spans="1:1">
      <c r="A361" s="32"/>
    </row>
    <row r="362" spans="1:1">
      <c r="A362" s="32"/>
    </row>
    <row r="363" spans="1:1">
      <c r="A363" s="32"/>
    </row>
    <row r="364" spans="1:1">
      <c r="A364" s="32"/>
    </row>
    <row r="365" spans="1:1">
      <c r="A365" s="32"/>
    </row>
    <row r="366" spans="1:1">
      <c r="A366" s="32"/>
    </row>
    <row r="367" spans="1:1">
      <c r="A367" s="32"/>
    </row>
    <row r="368" spans="1:1">
      <c r="A368" s="32"/>
    </row>
    <row r="369" spans="1:1">
      <c r="A369" s="32"/>
    </row>
    <row r="370" spans="1:1">
      <c r="A370" s="32"/>
    </row>
    <row r="371" spans="1:1">
      <c r="A371" s="32"/>
    </row>
    <row r="372" spans="1:1">
      <c r="A372" s="32"/>
    </row>
    <row r="373" spans="1:1">
      <c r="A373" s="32"/>
    </row>
    <row r="374" spans="1:1">
      <c r="A374" s="32"/>
    </row>
    <row r="375" spans="1:1">
      <c r="A375" s="32"/>
    </row>
    <row r="376" spans="1:1">
      <c r="A376" s="32"/>
    </row>
    <row r="377" spans="1:1">
      <c r="A377" s="32"/>
    </row>
    <row r="378" spans="1:1">
      <c r="A378" s="32"/>
    </row>
    <row r="379" spans="1:1">
      <c r="A379" s="32"/>
    </row>
    <row r="380" spans="1:1">
      <c r="A380" s="32"/>
    </row>
    <row r="381" spans="1:1">
      <c r="A381" s="32"/>
    </row>
    <row r="382" spans="1:1">
      <c r="A382" s="32"/>
    </row>
    <row r="383" spans="1:1">
      <c r="A383" s="32"/>
    </row>
    <row r="384" spans="1:1">
      <c r="A384" s="32"/>
    </row>
    <row r="385" spans="1:1">
      <c r="A385" s="32"/>
    </row>
    <row r="386" spans="1:1">
      <c r="A386" s="32"/>
    </row>
    <row r="387" spans="1:1">
      <c r="A387" s="32"/>
    </row>
    <row r="388" spans="1:1">
      <c r="A388" s="32"/>
    </row>
    <row r="389" spans="1:1">
      <c r="A389" s="32"/>
    </row>
    <row r="390" spans="1:1">
      <c r="A390" s="32"/>
    </row>
    <row r="391" spans="1:1">
      <c r="A391" s="32"/>
    </row>
    <row r="392" spans="1:1">
      <c r="A392" s="32"/>
    </row>
    <row r="393" spans="1:1">
      <c r="A393" s="32"/>
    </row>
    <row r="394" spans="1:1">
      <c r="A394" s="32"/>
    </row>
    <row r="395" spans="1:1">
      <c r="A395" s="32"/>
    </row>
    <row r="396" spans="1:1">
      <c r="A396" s="32"/>
    </row>
    <row r="397" spans="1:1">
      <c r="A397" s="32"/>
    </row>
    <row r="398" spans="1:1">
      <c r="A398" s="32"/>
    </row>
    <row r="399" spans="1:1">
      <c r="A399" s="32"/>
    </row>
    <row r="400" spans="1:1">
      <c r="A400" s="32"/>
    </row>
    <row r="401" spans="1:1">
      <c r="A401" s="32"/>
    </row>
    <row r="402" spans="1:1">
      <c r="A402" s="32"/>
    </row>
    <row r="403" spans="1:1">
      <c r="A403" s="32"/>
    </row>
    <row r="404" spans="1:1">
      <c r="A404" s="32"/>
    </row>
    <row r="405" spans="1:1">
      <c r="A405" s="32"/>
    </row>
    <row r="406" spans="1:1">
      <c r="A406" s="32"/>
    </row>
    <row r="407" spans="1:1">
      <c r="A407" s="32"/>
    </row>
    <row r="408" spans="1:1">
      <c r="A408" s="32"/>
    </row>
    <row r="409" spans="1:1">
      <c r="A409" s="32"/>
    </row>
    <row r="410" spans="1:1">
      <c r="A410" s="32"/>
    </row>
    <row r="411" spans="1:1">
      <c r="A411" s="32"/>
    </row>
    <row r="412" spans="1:1">
      <c r="A412" s="32"/>
    </row>
    <row r="413" spans="1:1">
      <c r="A413" s="32"/>
    </row>
    <row r="414" spans="1:1">
      <c r="A414" s="32"/>
    </row>
    <row r="415" spans="1:1">
      <c r="A415" s="32"/>
    </row>
    <row r="416" spans="1:1">
      <c r="A416" s="32"/>
    </row>
    <row r="417" spans="1:1">
      <c r="A417" s="32"/>
    </row>
    <row r="418" spans="1:1">
      <c r="A418" s="32"/>
    </row>
    <row r="419" spans="1:1">
      <c r="A419" s="32"/>
    </row>
    <row r="420" spans="1:1">
      <c r="A420" s="32"/>
    </row>
    <row r="421" spans="1:1">
      <c r="A421" s="32"/>
    </row>
    <row r="422" spans="1:1">
      <c r="A422" s="32"/>
    </row>
    <row r="423" spans="1:1">
      <c r="A423" s="32"/>
    </row>
    <row r="424" spans="1:1">
      <c r="A424" s="32"/>
    </row>
    <row r="425" spans="1:1">
      <c r="A425" s="32"/>
    </row>
    <row r="426" spans="1:1">
      <c r="A426" s="32"/>
    </row>
    <row r="427" spans="1:1">
      <c r="A427" s="32"/>
    </row>
    <row r="428" spans="1:1">
      <c r="A428" s="32"/>
    </row>
    <row r="429" spans="1:1">
      <c r="A429" s="32"/>
    </row>
    <row r="430" spans="1:1">
      <c r="A430" s="32"/>
    </row>
    <row r="431" spans="1:1">
      <c r="A431" s="32"/>
    </row>
    <row r="432" spans="1:1">
      <c r="A432" s="32"/>
    </row>
    <row r="433" spans="1:1">
      <c r="A433" s="32"/>
    </row>
    <row r="434" spans="1:1">
      <c r="A434" s="32"/>
    </row>
    <row r="435" spans="1:1">
      <c r="A435" s="32"/>
    </row>
    <row r="436" spans="1:1">
      <c r="A436" s="32"/>
    </row>
    <row r="437" spans="1:1">
      <c r="A437" s="32"/>
    </row>
    <row r="438" spans="1:1">
      <c r="A438" s="32"/>
    </row>
    <row r="439" spans="1:1">
      <c r="A439" s="32"/>
    </row>
    <row r="440" spans="1:1">
      <c r="A440" s="32"/>
    </row>
    <row r="441" spans="1:1">
      <c r="A441" s="32"/>
    </row>
    <row r="442" spans="1:1">
      <c r="A442" s="32"/>
    </row>
    <row r="443" spans="1:1">
      <c r="A443" s="32"/>
    </row>
    <row r="444" spans="1:1">
      <c r="A444" s="32"/>
    </row>
    <row r="445" spans="1:1">
      <c r="A445" s="32"/>
    </row>
    <row r="446" spans="1:1">
      <c r="A446" s="32"/>
    </row>
    <row r="447" spans="1:1">
      <c r="A447" s="32"/>
    </row>
    <row r="448" spans="1:1">
      <c r="A448" s="32"/>
    </row>
    <row r="449" spans="1:1">
      <c r="A449" s="32"/>
    </row>
    <row r="450" spans="1:1">
      <c r="A450" s="32"/>
    </row>
    <row r="451" spans="1:1">
      <c r="A451" s="32"/>
    </row>
    <row r="452" spans="1:1">
      <c r="A452" s="32"/>
    </row>
    <row r="453" spans="1:1">
      <c r="A453" s="32"/>
    </row>
    <row r="454" spans="1:1">
      <c r="A454" s="32"/>
    </row>
    <row r="455" spans="1:1">
      <c r="A455" s="32"/>
    </row>
    <row r="456" spans="1:1">
      <c r="A456" s="32"/>
    </row>
    <row r="457" spans="1:1">
      <c r="A457" s="32"/>
    </row>
    <row r="458" spans="1:1">
      <c r="A458" s="32"/>
    </row>
    <row r="459" spans="1:1">
      <c r="A459" s="32"/>
    </row>
    <row r="460" spans="1:1">
      <c r="A460" s="32"/>
    </row>
    <row r="461" spans="1:1">
      <c r="A461" s="32"/>
    </row>
    <row r="462" spans="1:1">
      <c r="A462" s="32"/>
    </row>
    <row r="463" spans="1:1">
      <c r="A463" s="32"/>
    </row>
    <row r="464" spans="1:1">
      <c r="A464" s="32"/>
    </row>
    <row r="465" spans="1:1">
      <c r="A465" s="32"/>
    </row>
    <row r="466" spans="1:1">
      <c r="A466" s="32"/>
    </row>
    <row r="467" spans="1:1">
      <c r="A467" s="32"/>
    </row>
    <row r="468" spans="1:1">
      <c r="A468" s="32"/>
    </row>
    <row r="469" spans="1:1">
      <c r="A469" s="32"/>
    </row>
    <row r="470" spans="1:1">
      <c r="A470" s="32"/>
    </row>
    <row r="471" spans="1:1">
      <c r="A471" s="32"/>
    </row>
    <row r="472" spans="1:1">
      <c r="A472" s="32"/>
    </row>
    <row r="473" spans="1:1">
      <c r="A473" s="32"/>
    </row>
    <row r="474" spans="1:1">
      <c r="A474" s="32"/>
    </row>
    <row r="475" spans="1:1">
      <c r="A475" s="32"/>
    </row>
    <row r="476" spans="1:1">
      <c r="A476" s="32"/>
    </row>
    <row r="477" spans="1:1">
      <c r="A477" s="32"/>
    </row>
    <row r="478" spans="1:1">
      <c r="A478" s="32"/>
    </row>
    <row r="479" spans="1:1">
      <c r="A479" s="32"/>
    </row>
    <row r="480" spans="1:1">
      <c r="A480" s="32"/>
    </row>
    <row r="481" spans="1:1">
      <c r="A481" s="32"/>
    </row>
    <row r="482" spans="1:1">
      <c r="A482" s="32"/>
    </row>
    <row r="483" spans="1:1">
      <c r="A483" s="32"/>
    </row>
    <row r="484" spans="1:1">
      <c r="A484" s="32"/>
    </row>
    <row r="485" spans="1:1">
      <c r="A485" s="32"/>
    </row>
    <row r="486" spans="1:1">
      <c r="A486" s="32"/>
    </row>
    <row r="487" spans="1:1">
      <c r="A487" s="32"/>
    </row>
    <row r="488" spans="1:1">
      <c r="A488" s="32"/>
    </row>
    <row r="489" spans="1:1">
      <c r="A489" s="32"/>
    </row>
    <row r="490" spans="1:1">
      <c r="A490" s="32"/>
    </row>
    <row r="491" spans="1:1">
      <c r="A491" s="32"/>
    </row>
    <row r="492" spans="1:1">
      <c r="A492" s="32"/>
    </row>
    <row r="493" spans="1:1">
      <c r="A493" s="32"/>
    </row>
    <row r="494" spans="1:1">
      <c r="A494" s="32"/>
    </row>
    <row r="495" spans="1:1">
      <c r="A495" s="32"/>
    </row>
    <row r="496" spans="1:1">
      <c r="A496" s="32"/>
    </row>
    <row r="497" spans="1:1">
      <c r="A497" s="32"/>
    </row>
    <row r="498" spans="1:1">
      <c r="A498" s="32"/>
    </row>
    <row r="499" spans="1:1">
      <c r="A499" s="32"/>
    </row>
    <row r="500" spans="1:1">
      <c r="A500" s="32"/>
    </row>
    <row r="501" spans="1:1">
      <c r="A501" s="32"/>
    </row>
    <row r="502" spans="1:1">
      <c r="A502" s="32"/>
    </row>
    <row r="503" spans="1:1">
      <c r="A503" s="32"/>
    </row>
    <row r="504" spans="1:1">
      <c r="A504" s="32"/>
    </row>
    <row r="505" spans="1:1">
      <c r="A505" s="32"/>
    </row>
    <row r="506" spans="1:1">
      <c r="A506" s="32"/>
    </row>
    <row r="507" spans="1:1">
      <c r="A507" s="32"/>
    </row>
    <row r="508" spans="1:1">
      <c r="A508" s="32"/>
    </row>
    <row r="509" spans="1:1">
      <c r="A509" s="32"/>
    </row>
    <row r="510" spans="1:1">
      <c r="A510" s="32"/>
    </row>
    <row r="511" spans="1:1">
      <c r="A511" s="32"/>
    </row>
    <row r="512" spans="1:1">
      <c r="A512" s="32"/>
    </row>
    <row r="513" spans="1:1">
      <c r="A513" s="32"/>
    </row>
    <row r="514" spans="1:1">
      <c r="A514" s="32"/>
    </row>
    <row r="515" spans="1:1">
      <c r="A515" s="32"/>
    </row>
    <row r="516" spans="1:1">
      <c r="A516" s="32"/>
    </row>
    <row r="517" spans="1:1">
      <c r="A517" s="32"/>
    </row>
    <row r="518" spans="1:1">
      <c r="A518" s="32"/>
    </row>
    <row r="519" spans="1:1">
      <c r="A519" s="32"/>
    </row>
    <row r="520" spans="1:1">
      <c r="A520" s="32"/>
    </row>
    <row r="521" spans="1:1">
      <c r="A521" s="32"/>
    </row>
    <row r="522" spans="1:1">
      <c r="A522" s="32"/>
    </row>
    <row r="523" spans="1:1">
      <c r="A523" s="32"/>
    </row>
    <row r="524" spans="1:1">
      <c r="A524" s="32"/>
    </row>
    <row r="525" spans="1:1">
      <c r="A525" s="32"/>
    </row>
    <row r="526" spans="1:1">
      <c r="A526" s="32"/>
    </row>
    <row r="527" spans="1:1">
      <c r="A527" s="32"/>
    </row>
    <row r="528" spans="1:1">
      <c r="A528" s="32"/>
    </row>
    <row r="529" spans="1:1">
      <c r="A529" s="32"/>
    </row>
    <row r="530" spans="1:1">
      <c r="A530" s="32"/>
    </row>
    <row r="531" spans="1:1">
      <c r="A531" s="32"/>
    </row>
    <row r="532" spans="1:1">
      <c r="A532" s="32"/>
    </row>
    <row r="533" spans="1:1">
      <c r="A533" s="32"/>
    </row>
    <row r="534" spans="1:1">
      <c r="A534" s="32"/>
    </row>
    <row r="535" spans="1:1">
      <c r="A535" s="32"/>
    </row>
    <row r="536" spans="1:1">
      <c r="A536" s="32"/>
    </row>
    <row r="537" spans="1:1">
      <c r="A537" s="32"/>
    </row>
    <row r="538" spans="1:1">
      <c r="A538" s="32"/>
    </row>
    <row r="539" spans="1:1">
      <c r="A539" s="32"/>
    </row>
    <row r="540" spans="1:1">
      <c r="A540" s="32"/>
    </row>
    <row r="541" spans="1:1">
      <c r="A541" s="32"/>
    </row>
    <row r="542" spans="1:1">
      <c r="A542" s="32"/>
    </row>
    <row r="543" spans="1:1">
      <c r="A543" s="32"/>
    </row>
    <row r="544" spans="1:1">
      <c r="A544" s="32"/>
    </row>
    <row r="545" spans="1:1">
      <c r="A545" s="32"/>
    </row>
    <row r="546" spans="1:1">
      <c r="A546" s="32"/>
    </row>
    <row r="547" spans="1:1">
      <c r="A547" s="32"/>
    </row>
    <row r="548" spans="1:1">
      <c r="A548" s="32"/>
    </row>
    <row r="549" spans="1:1">
      <c r="A549" s="32"/>
    </row>
    <row r="550" spans="1:1">
      <c r="A550" s="32"/>
    </row>
    <row r="551" spans="1:1">
      <c r="A551" s="32"/>
    </row>
    <row r="552" spans="1:1">
      <c r="A552" s="32"/>
    </row>
    <row r="553" spans="1:1">
      <c r="A553" s="32"/>
    </row>
    <row r="554" spans="1:1">
      <c r="A554" s="32"/>
    </row>
    <row r="555" spans="1:1">
      <c r="A555" s="32"/>
    </row>
    <row r="556" spans="1:1">
      <c r="A556" s="32"/>
    </row>
    <row r="557" spans="1:1">
      <c r="A557" s="32"/>
    </row>
    <row r="558" spans="1:1">
      <c r="A558" s="32"/>
    </row>
    <row r="559" spans="1:1">
      <c r="A559" s="32"/>
    </row>
    <row r="560" spans="1:1">
      <c r="A560" s="32"/>
    </row>
    <row r="561" spans="1:1">
      <c r="A561" s="32"/>
    </row>
    <row r="562" spans="1:1">
      <c r="A562" s="32"/>
    </row>
    <row r="563" spans="1:1">
      <c r="A563" s="32"/>
    </row>
    <row r="564" spans="1:1">
      <c r="A564" s="32"/>
    </row>
    <row r="565" spans="1:1">
      <c r="A565" s="32"/>
    </row>
    <row r="566" spans="1:1">
      <c r="A566" s="32"/>
    </row>
    <row r="567" spans="1:1">
      <c r="A567" s="32"/>
    </row>
    <row r="568" spans="1:1">
      <c r="A568" s="32"/>
    </row>
    <row r="569" spans="1:1">
      <c r="A569" s="32"/>
    </row>
    <row r="570" spans="1:1">
      <c r="A570" s="32"/>
    </row>
    <row r="571" spans="1:1">
      <c r="A571" s="32"/>
    </row>
    <row r="572" spans="1:1">
      <c r="A572" s="32"/>
    </row>
    <row r="573" spans="1:1">
      <c r="A573" s="32"/>
    </row>
    <row r="574" spans="1:1">
      <c r="A574" s="32"/>
    </row>
    <row r="575" spans="1:1">
      <c r="A575" s="32"/>
    </row>
    <row r="576" spans="1:1">
      <c r="A576" s="32"/>
    </row>
    <row r="577" spans="1:1">
      <c r="A577" s="32"/>
    </row>
    <row r="578" spans="1:1">
      <c r="A578" s="32"/>
    </row>
    <row r="579" spans="1:1">
      <c r="A579" s="32"/>
    </row>
    <row r="580" spans="1:1">
      <c r="A580" s="32"/>
    </row>
    <row r="581" spans="1:1">
      <c r="A581" s="32"/>
    </row>
    <row r="582" spans="1:1">
      <c r="A582" s="32"/>
    </row>
    <row r="583" spans="1:1">
      <c r="A583" s="32"/>
    </row>
    <row r="584" spans="1:1">
      <c r="A584" s="32"/>
    </row>
    <row r="585" spans="1:1">
      <c r="A585" s="32"/>
    </row>
    <row r="586" spans="1:1">
      <c r="A586" s="32"/>
    </row>
    <row r="587" spans="1:1">
      <c r="A587" s="32"/>
    </row>
    <row r="588" spans="1:1">
      <c r="A588" s="32"/>
    </row>
    <row r="589" spans="1:1">
      <c r="A589" s="32"/>
    </row>
    <row r="590" spans="1:1">
      <c r="A590" s="32"/>
    </row>
    <row r="591" spans="1:1">
      <c r="A591" s="32"/>
    </row>
    <row r="592" spans="1:1">
      <c r="A592" s="32"/>
    </row>
    <row r="593" spans="1:1">
      <c r="A593" s="32"/>
    </row>
    <row r="594" spans="1:1">
      <c r="A594" s="32"/>
    </row>
    <row r="595" spans="1:1">
      <c r="A595" s="32"/>
    </row>
    <row r="596" spans="1:1">
      <c r="A596" s="32"/>
    </row>
    <row r="597" spans="1:1">
      <c r="A597" s="32"/>
    </row>
    <row r="598" spans="1:1">
      <c r="A598" s="32"/>
    </row>
    <row r="599" spans="1:1">
      <c r="A599" s="32"/>
    </row>
    <row r="600" spans="1:1">
      <c r="A600" s="32"/>
    </row>
    <row r="601" spans="1:1">
      <c r="A601" s="32"/>
    </row>
    <row r="602" spans="1:1">
      <c r="A602" s="32"/>
    </row>
    <row r="603" spans="1:1">
      <c r="A603" s="32"/>
    </row>
    <row r="604" spans="1:1">
      <c r="A604" s="32"/>
    </row>
    <row r="605" spans="1:1">
      <c r="A605" s="32"/>
    </row>
    <row r="606" spans="1:1">
      <c r="A606" s="32"/>
    </row>
    <row r="607" spans="1:1">
      <c r="A607" s="32"/>
    </row>
    <row r="608" spans="1:1">
      <c r="A608" s="32"/>
    </row>
    <row r="609" spans="1:1">
      <c r="A609" s="32"/>
    </row>
    <row r="610" spans="1:1">
      <c r="A610" s="32"/>
    </row>
    <row r="611" spans="1:1">
      <c r="A611" s="32"/>
    </row>
    <row r="612" spans="1:1">
      <c r="A612" s="32"/>
    </row>
    <row r="613" spans="1:1">
      <c r="A613" s="32"/>
    </row>
    <row r="614" spans="1:1">
      <c r="A614" s="32"/>
    </row>
    <row r="615" spans="1:1">
      <c r="A615" s="32"/>
    </row>
    <row r="616" spans="1:1">
      <c r="A616" s="32"/>
    </row>
    <row r="617" spans="1:1">
      <c r="A617" s="32"/>
    </row>
    <row r="618" spans="1:1">
      <c r="A618" s="32"/>
    </row>
    <row r="619" spans="1:1">
      <c r="A619" s="32"/>
    </row>
    <row r="620" spans="1:1">
      <c r="A620" s="32"/>
    </row>
    <row r="621" spans="1:1">
      <c r="A621" s="32"/>
    </row>
    <row r="622" spans="1:1">
      <c r="A622" s="32"/>
    </row>
    <row r="623" spans="1:1">
      <c r="A623" s="32"/>
    </row>
    <row r="624" spans="1:1">
      <c r="A624" s="32"/>
    </row>
    <row r="625" spans="1:1">
      <c r="A625" s="32"/>
    </row>
    <row r="626" spans="1:1">
      <c r="A626" s="32"/>
    </row>
    <row r="627" spans="1:1">
      <c r="A627" s="32"/>
    </row>
    <row r="628" spans="1:1">
      <c r="A628" s="32"/>
    </row>
    <row r="629" spans="1:1">
      <c r="A629" s="32"/>
    </row>
    <row r="630" spans="1:1">
      <c r="A630" s="32"/>
    </row>
    <row r="631" spans="1:1">
      <c r="A631" s="32"/>
    </row>
    <row r="632" spans="1:1">
      <c r="A632" s="32"/>
    </row>
    <row r="633" spans="1:1">
      <c r="A633" s="32"/>
    </row>
    <row r="634" spans="1:1">
      <c r="A634" s="32"/>
    </row>
    <row r="635" spans="1:1">
      <c r="A635" s="32"/>
    </row>
    <row r="636" spans="1:1">
      <c r="A636" s="32"/>
    </row>
    <row r="637" spans="1:1">
      <c r="A637" s="32"/>
    </row>
    <row r="638" spans="1:1">
      <c r="A638" s="32"/>
    </row>
    <row r="639" spans="1:1">
      <c r="A639" s="32"/>
    </row>
    <row r="640" spans="1:1">
      <c r="A640" s="32"/>
    </row>
    <row r="641" spans="1:1">
      <c r="A641" s="32"/>
    </row>
    <row r="642" spans="1:1">
      <c r="A642" s="32"/>
    </row>
    <row r="643" spans="1:1">
      <c r="A643" s="32"/>
    </row>
    <row r="644" spans="1:1">
      <c r="A644" s="32"/>
    </row>
    <row r="645" spans="1:1">
      <c r="A645" s="32"/>
    </row>
    <row r="646" spans="1:1">
      <c r="A646" s="32"/>
    </row>
    <row r="647" spans="1:1">
      <c r="A647" s="32"/>
    </row>
    <row r="648" spans="1:1">
      <c r="A648" s="32"/>
    </row>
    <row r="649" spans="1:1">
      <c r="A649" s="32"/>
    </row>
    <row r="650" spans="1:1">
      <c r="A650" s="32"/>
    </row>
    <row r="651" spans="1:1">
      <c r="A651" s="32"/>
    </row>
    <row r="652" spans="1:1">
      <c r="A652" s="32"/>
    </row>
    <row r="653" spans="1:1">
      <c r="A653" s="32"/>
    </row>
    <row r="654" spans="1:1">
      <c r="A654" s="32"/>
    </row>
    <row r="655" spans="1:1">
      <c r="A655" s="32"/>
    </row>
    <row r="656" spans="1:1">
      <c r="A656" s="32"/>
    </row>
    <row r="657" spans="1:1">
      <c r="A657" s="32"/>
    </row>
    <row r="658" spans="1:1">
      <c r="A658" s="32"/>
    </row>
    <row r="659" spans="1:1">
      <c r="A659" s="32"/>
    </row>
    <row r="660" spans="1:1">
      <c r="A660" s="32"/>
    </row>
    <row r="661" spans="1:1">
      <c r="A661" s="32"/>
    </row>
    <row r="662" spans="1:1">
      <c r="A662" s="32"/>
    </row>
    <row r="663" spans="1:1">
      <c r="A663" s="32"/>
    </row>
    <row r="664" spans="1:1">
      <c r="A664" s="32"/>
    </row>
    <row r="665" spans="1:1">
      <c r="A665" s="32"/>
    </row>
    <row r="666" spans="1:1">
      <c r="A666" s="32"/>
    </row>
    <row r="667" spans="1:1">
      <c r="A667" s="32"/>
    </row>
    <row r="668" spans="1:1">
      <c r="A668" s="32"/>
    </row>
    <row r="669" spans="1:1">
      <c r="A669" s="32"/>
    </row>
    <row r="670" spans="1:1">
      <c r="A670" s="32"/>
    </row>
    <row r="671" spans="1:1">
      <c r="A671" s="32"/>
    </row>
    <row r="672" spans="1:1">
      <c r="A672" s="32"/>
    </row>
    <row r="673" spans="1:1">
      <c r="A673" s="32"/>
    </row>
    <row r="674" spans="1:1">
      <c r="A674" s="32"/>
    </row>
    <row r="675" spans="1:1">
      <c r="A675" s="32"/>
    </row>
    <row r="676" spans="1:1">
      <c r="A676" s="32"/>
    </row>
    <row r="677" spans="1:1">
      <c r="A677" s="32"/>
    </row>
    <row r="678" spans="1:1">
      <c r="A678" s="32"/>
    </row>
    <row r="679" spans="1:1">
      <c r="A679" s="32"/>
    </row>
    <row r="680" spans="1:1">
      <c r="A680" s="32"/>
    </row>
    <row r="681" spans="1:1">
      <c r="A681" s="32"/>
    </row>
    <row r="682" spans="1:1">
      <c r="A682" s="32"/>
    </row>
    <row r="683" spans="1:1">
      <c r="A683" s="32"/>
    </row>
    <row r="684" spans="1:1">
      <c r="A684" s="32"/>
    </row>
    <row r="685" spans="1:1">
      <c r="A685" s="32"/>
    </row>
    <row r="686" spans="1:1">
      <c r="A686" s="32"/>
    </row>
    <row r="687" spans="1:1">
      <c r="A687" s="32"/>
    </row>
    <row r="688" spans="1:1">
      <c r="A688" s="32"/>
    </row>
    <row r="689" spans="1:1">
      <c r="A689" s="32"/>
    </row>
    <row r="690" spans="1:1">
      <c r="A690" s="32"/>
    </row>
    <row r="691" spans="1:1">
      <c r="A691" s="32"/>
    </row>
    <row r="692" spans="1:1">
      <c r="A692" s="32"/>
    </row>
    <row r="693" spans="1:1">
      <c r="A693" s="32"/>
    </row>
    <row r="694" spans="1:1">
      <c r="A694" s="32"/>
    </row>
    <row r="695" spans="1:1">
      <c r="A695" s="32"/>
    </row>
    <row r="696" spans="1:1">
      <c r="A696" s="32"/>
    </row>
    <row r="697" spans="1:1">
      <c r="A697" s="32"/>
    </row>
    <row r="698" spans="1:1">
      <c r="A698" s="32"/>
    </row>
    <row r="699" spans="1:1">
      <c r="A699" s="32"/>
    </row>
    <row r="700" spans="1:1">
      <c r="A700" s="32"/>
    </row>
    <row r="701" spans="1:1">
      <c r="A701" s="32"/>
    </row>
    <row r="702" spans="1:1">
      <c r="A702" s="32"/>
    </row>
    <row r="703" spans="1:1">
      <c r="A703" s="32"/>
    </row>
    <row r="704" spans="1:1">
      <c r="A704" s="32"/>
    </row>
    <row r="705" spans="1:1">
      <c r="A705" s="32"/>
    </row>
    <row r="706" spans="1:1">
      <c r="A706" s="32"/>
    </row>
    <row r="707" spans="1:1">
      <c r="A707" s="32"/>
    </row>
    <row r="708" spans="1:1">
      <c r="A708" s="32"/>
    </row>
    <row r="709" spans="1:1">
      <c r="A709" s="32"/>
    </row>
    <row r="710" spans="1:1">
      <c r="A710" s="32"/>
    </row>
    <row r="711" spans="1:1">
      <c r="A711" s="32"/>
    </row>
    <row r="712" spans="1:1">
      <c r="A712" s="32"/>
    </row>
    <row r="713" spans="1:1">
      <c r="A713" s="32"/>
    </row>
    <row r="714" spans="1:1">
      <c r="A714" s="32"/>
    </row>
    <row r="715" spans="1:1">
      <c r="A715" s="32"/>
    </row>
    <row r="716" spans="1:1">
      <c r="A716" s="32"/>
    </row>
    <row r="717" spans="1:1">
      <c r="A717" s="32"/>
    </row>
    <row r="718" spans="1:1">
      <c r="A718" s="32"/>
    </row>
    <row r="719" spans="1:1">
      <c r="A719" s="32"/>
    </row>
    <row r="720" spans="1:1">
      <c r="A720" s="32"/>
    </row>
    <row r="721" spans="1:1">
      <c r="A721" s="32"/>
    </row>
    <row r="722" spans="1:1">
      <c r="A722" s="32"/>
    </row>
    <row r="723" spans="1:1">
      <c r="A723" s="32"/>
    </row>
    <row r="724" spans="1:1">
      <c r="A724" s="32"/>
    </row>
    <row r="725" spans="1:1">
      <c r="A725" s="32"/>
    </row>
    <row r="726" spans="1:1">
      <c r="A726" s="32"/>
    </row>
    <row r="727" spans="1:1">
      <c r="A727" s="32"/>
    </row>
    <row r="728" spans="1:1">
      <c r="A728" s="32"/>
    </row>
    <row r="729" spans="1:1">
      <c r="A729" s="32"/>
    </row>
    <row r="730" spans="1:1">
      <c r="A730" s="32"/>
    </row>
    <row r="731" spans="1:1">
      <c r="A731" s="32"/>
    </row>
    <row r="732" spans="1:1">
      <c r="A732" s="32"/>
    </row>
    <row r="733" spans="1:1">
      <c r="A733" s="32"/>
    </row>
    <row r="734" spans="1:1">
      <c r="A734" s="32"/>
    </row>
    <row r="735" spans="1:1">
      <c r="A735" s="32"/>
    </row>
    <row r="736" spans="1:1">
      <c r="A736" s="32"/>
    </row>
    <row r="737" spans="1:1">
      <c r="A737" s="32"/>
    </row>
    <row r="738" spans="1:1">
      <c r="A738" s="32"/>
    </row>
    <row r="739" spans="1:1">
      <c r="A739" s="32"/>
    </row>
    <row r="740" spans="1:1">
      <c r="A740" s="32"/>
    </row>
    <row r="741" spans="1:1">
      <c r="A741" s="32"/>
    </row>
    <row r="742" spans="1:1">
      <c r="A742" s="32"/>
    </row>
    <row r="743" spans="1:1">
      <c r="A743" s="32"/>
    </row>
    <row r="744" spans="1:1">
      <c r="A744" s="32"/>
    </row>
    <row r="745" spans="1:1">
      <c r="A745" s="32"/>
    </row>
    <row r="746" spans="1:1">
      <c r="A746" s="32"/>
    </row>
    <row r="747" spans="1:1">
      <c r="A747" s="32"/>
    </row>
    <row r="748" spans="1:1">
      <c r="A748" s="32"/>
    </row>
    <row r="749" spans="1:1">
      <c r="A749" s="32"/>
    </row>
    <row r="750" spans="1:1">
      <c r="A750" s="32"/>
    </row>
    <row r="751" spans="1:1">
      <c r="A751" s="32"/>
    </row>
    <row r="752" spans="1:1">
      <c r="A752" s="32"/>
    </row>
    <row r="753" spans="1:1">
      <c r="A753" s="32"/>
    </row>
    <row r="754" spans="1:1">
      <c r="A754" s="32"/>
    </row>
    <row r="755" spans="1:1">
      <c r="A755" s="32"/>
    </row>
    <row r="756" spans="1:1">
      <c r="A756" s="32"/>
    </row>
    <row r="757" spans="1:1">
      <c r="A757" s="32"/>
    </row>
    <row r="758" spans="1:1">
      <c r="A758" s="32"/>
    </row>
    <row r="759" spans="1:1">
      <c r="A759" s="32"/>
    </row>
    <row r="760" spans="1:1">
      <c r="A760" s="32"/>
    </row>
    <row r="761" spans="1:1">
      <c r="A761" s="32"/>
    </row>
    <row r="762" spans="1:1">
      <c r="A762" s="32"/>
    </row>
    <row r="763" spans="1:1">
      <c r="A763" s="32"/>
    </row>
    <row r="764" spans="1:1">
      <c r="A764" s="32"/>
    </row>
    <row r="765" spans="1:1">
      <c r="A765" s="32"/>
    </row>
    <row r="766" spans="1:1">
      <c r="A766" s="32"/>
    </row>
    <row r="767" spans="1:1">
      <c r="A767" s="32"/>
    </row>
    <row r="768" spans="1:1">
      <c r="A768" s="32"/>
    </row>
    <row r="769" spans="1:1">
      <c r="A769" s="32"/>
    </row>
    <row r="770" spans="1:1">
      <c r="A770" s="32"/>
    </row>
    <row r="771" spans="1:1">
      <c r="A771" s="32"/>
    </row>
    <row r="772" spans="1:1">
      <c r="A772" s="32"/>
    </row>
    <row r="773" spans="1:1">
      <c r="A773" s="32"/>
    </row>
    <row r="774" spans="1:1">
      <c r="A774" s="32"/>
    </row>
    <row r="775" spans="1:1">
      <c r="A775" s="32"/>
    </row>
    <row r="776" spans="1:1">
      <c r="A776" s="32"/>
    </row>
    <row r="777" spans="1:1">
      <c r="A777" s="32"/>
    </row>
    <row r="778" spans="1:1">
      <c r="A778" s="32"/>
    </row>
    <row r="779" spans="1:1">
      <c r="A779" s="32"/>
    </row>
    <row r="780" spans="1:1">
      <c r="A780" s="32"/>
    </row>
    <row r="781" spans="1:1">
      <c r="A781" s="32"/>
    </row>
    <row r="782" spans="1:1">
      <c r="A782" s="32"/>
    </row>
    <row r="783" spans="1:1">
      <c r="A783" s="32"/>
    </row>
    <row r="784" spans="1:1">
      <c r="A784" s="32"/>
    </row>
    <row r="785" spans="1:1">
      <c r="A785" s="32"/>
    </row>
    <row r="786" spans="1:1">
      <c r="A786" s="32"/>
    </row>
    <row r="787" spans="1:1">
      <c r="A787" s="32"/>
    </row>
    <row r="788" spans="1:1">
      <c r="A788" s="32"/>
    </row>
    <row r="789" spans="1:1">
      <c r="A789" s="32"/>
    </row>
    <row r="790" spans="1:1">
      <c r="A790" s="32"/>
    </row>
    <row r="791" spans="1:1">
      <c r="A791" s="32"/>
    </row>
    <row r="792" spans="1:1">
      <c r="A792" s="32"/>
    </row>
    <row r="793" spans="1:1">
      <c r="A793" s="32"/>
    </row>
    <row r="794" spans="1:1">
      <c r="A794" s="32"/>
    </row>
    <row r="795" spans="1:1">
      <c r="A795" s="32"/>
    </row>
    <row r="796" spans="1:1">
      <c r="A796" s="32"/>
    </row>
    <row r="797" spans="1:1">
      <c r="A797" s="32"/>
    </row>
    <row r="798" spans="1:1">
      <c r="A798" s="32"/>
    </row>
    <row r="799" spans="1:1">
      <c r="A799" s="32"/>
    </row>
    <row r="800" spans="1:1">
      <c r="A800" s="32"/>
    </row>
    <row r="801" spans="1:1">
      <c r="A801" s="32"/>
    </row>
    <row r="802" spans="1:1">
      <c r="A802" s="32"/>
    </row>
    <row r="803" spans="1:1">
      <c r="A803" s="32"/>
    </row>
    <row r="804" spans="1:1">
      <c r="A804" s="32"/>
    </row>
    <row r="805" spans="1:1">
      <c r="A805" s="32"/>
    </row>
    <row r="806" spans="1:1">
      <c r="A806" s="32"/>
    </row>
    <row r="807" spans="1:1">
      <c r="A807" s="32"/>
    </row>
    <row r="808" spans="1:1">
      <c r="A808" s="32"/>
    </row>
    <row r="809" spans="1:1">
      <c r="A809" s="32"/>
    </row>
    <row r="810" spans="1:1">
      <c r="A810" s="32"/>
    </row>
    <row r="811" spans="1:1">
      <c r="A811" s="32"/>
    </row>
    <row r="812" spans="1:1">
      <c r="A812" s="32"/>
    </row>
    <row r="813" spans="1:1">
      <c r="A813" s="32"/>
    </row>
    <row r="814" spans="1:1">
      <c r="A814" s="32"/>
    </row>
    <row r="815" spans="1:1">
      <c r="A815" s="32"/>
    </row>
    <row r="816" spans="1:1">
      <c r="A816" s="32"/>
    </row>
    <row r="817" spans="1:1">
      <c r="A817" s="32"/>
    </row>
    <row r="818" spans="1:1">
      <c r="A818" s="32"/>
    </row>
    <row r="819" spans="1:1">
      <c r="A819" s="32"/>
    </row>
    <row r="820" spans="1:1">
      <c r="A820" s="32"/>
    </row>
    <row r="821" spans="1:1">
      <c r="A821" s="32"/>
    </row>
    <row r="822" spans="1:1">
      <c r="A822" s="32"/>
    </row>
    <row r="823" spans="1:1">
      <c r="A823" s="32"/>
    </row>
    <row r="824" spans="1:1">
      <c r="A824" s="32"/>
    </row>
    <row r="825" spans="1:1">
      <c r="A825" s="32"/>
    </row>
    <row r="826" spans="1:1">
      <c r="A826" s="32"/>
    </row>
    <row r="827" spans="1:1">
      <c r="A827" s="32"/>
    </row>
    <row r="828" spans="1:1">
      <c r="A828" s="32"/>
    </row>
    <row r="829" spans="1:1">
      <c r="A829" s="32"/>
    </row>
    <row r="830" spans="1:1">
      <c r="A830" s="32"/>
    </row>
    <row r="831" spans="1:1">
      <c r="A831" s="32"/>
    </row>
    <row r="832" spans="1:1">
      <c r="A832" s="32"/>
    </row>
    <row r="833" spans="1:1">
      <c r="A833" s="32"/>
    </row>
    <row r="834" spans="1:1">
      <c r="A834" s="32"/>
    </row>
    <row r="835" spans="1:1">
      <c r="A835" s="32"/>
    </row>
    <row r="836" spans="1:1">
      <c r="A836" s="32"/>
    </row>
    <row r="837" spans="1:1">
      <c r="A837" s="32"/>
    </row>
    <row r="838" spans="1:1">
      <c r="A838" s="32"/>
    </row>
    <row r="839" spans="1:1">
      <c r="A839" s="32"/>
    </row>
    <row r="840" spans="1:1">
      <c r="A840" s="32"/>
    </row>
    <row r="841" spans="1:1">
      <c r="A841" s="32"/>
    </row>
    <row r="842" spans="1:1">
      <c r="A842" s="32"/>
    </row>
    <row r="843" spans="1:1">
      <c r="A843" s="32"/>
    </row>
    <row r="844" spans="1:1">
      <c r="A844" s="32"/>
    </row>
    <row r="845" spans="1:1">
      <c r="A845" s="32"/>
    </row>
    <row r="846" spans="1:1">
      <c r="A846" s="32"/>
    </row>
    <row r="847" spans="1:1">
      <c r="A847" s="32"/>
    </row>
    <row r="848" spans="1:1">
      <c r="A848" s="32"/>
    </row>
    <row r="849" spans="1:1">
      <c r="A849" s="32"/>
    </row>
    <row r="850" spans="1:1">
      <c r="A850" s="32"/>
    </row>
    <row r="851" spans="1:1">
      <c r="A851" s="32"/>
    </row>
    <row r="852" spans="1:1">
      <c r="A852" s="32"/>
    </row>
    <row r="853" spans="1:1">
      <c r="A853" s="32"/>
    </row>
    <row r="854" spans="1:1">
      <c r="A854" s="32"/>
    </row>
    <row r="855" spans="1:1">
      <c r="A855" s="32"/>
    </row>
    <row r="856" spans="1:1">
      <c r="A856" s="32"/>
    </row>
    <row r="857" spans="1:1">
      <c r="A857" s="32"/>
    </row>
    <row r="858" spans="1:1">
      <c r="A858" s="32"/>
    </row>
    <row r="859" spans="1:1">
      <c r="A859" s="32"/>
    </row>
    <row r="860" spans="1:1">
      <c r="A860" s="32"/>
    </row>
    <row r="861" spans="1:1">
      <c r="A861" s="32"/>
    </row>
    <row r="862" spans="1:1">
      <c r="A862" s="32"/>
    </row>
    <row r="863" spans="1:1">
      <c r="A863" s="32"/>
    </row>
    <row r="864" spans="1:1">
      <c r="A864" s="32"/>
    </row>
    <row r="865" spans="1:1">
      <c r="A865" s="32"/>
    </row>
    <row r="866" spans="1:1">
      <c r="A866" s="32"/>
    </row>
    <row r="867" spans="1:1">
      <c r="A867" s="32"/>
    </row>
    <row r="868" spans="1:1">
      <c r="A868" s="32"/>
    </row>
    <row r="869" spans="1:1">
      <c r="A869" s="32"/>
    </row>
    <row r="870" spans="1:1">
      <c r="A870" s="32"/>
    </row>
    <row r="871" spans="1:1">
      <c r="A871" s="32"/>
    </row>
    <row r="872" spans="1:1">
      <c r="A872" s="32"/>
    </row>
    <row r="873" spans="1:1">
      <c r="A873" s="32"/>
    </row>
    <row r="874" spans="1:1">
      <c r="A874" s="32"/>
    </row>
    <row r="875" spans="1:1">
      <c r="A875" s="32"/>
    </row>
    <row r="876" spans="1:1">
      <c r="A876" s="32"/>
    </row>
    <row r="877" spans="1:1">
      <c r="A877" s="32"/>
    </row>
    <row r="878" spans="1:1">
      <c r="A878" s="32"/>
    </row>
    <row r="879" spans="1:1">
      <c r="A879" s="32"/>
    </row>
    <row r="880" spans="1:1">
      <c r="A880" s="32"/>
    </row>
    <row r="881" spans="1:1">
      <c r="A881" s="32"/>
    </row>
    <row r="882" spans="1:1">
      <c r="A882" s="32"/>
    </row>
    <row r="883" spans="1:1">
      <c r="A883" s="32"/>
    </row>
    <row r="884" spans="1:1">
      <c r="A884" s="32"/>
    </row>
    <row r="885" spans="1:1">
      <c r="A885" s="32"/>
    </row>
    <row r="886" spans="1:1">
      <c r="A886" s="32"/>
    </row>
    <row r="887" spans="1:1">
      <c r="A887" s="32"/>
    </row>
    <row r="888" spans="1:1">
      <c r="A888" s="32"/>
    </row>
    <row r="889" spans="1:1">
      <c r="A889" s="32"/>
    </row>
    <row r="890" spans="1:1">
      <c r="A890" s="32"/>
    </row>
    <row r="891" spans="1:1">
      <c r="A891" s="32"/>
    </row>
    <row r="892" spans="1:1">
      <c r="A892" s="32"/>
    </row>
    <row r="893" spans="1:1">
      <c r="A893" s="32"/>
    </row>
    <row r="894" spans="1:1">
      <c r="A894" s="32"/>
    </row>
    <row r="895" spans="1:1">
      <c r="A895" s="32"/>
    </row>
    <row r="896" spans="1:1">
      <c r="A896" s="32"/>
    </row>
    <row r="897" spans="1:1">
      <c r="A897" s="32"/>
    </row>
    <row r="898" spans="1:1">
      <c r="A898" s="32"/>
    </row>
    <row r="899" spans="1:1">
      <c r="A899" s="32"/>
    </row>
    <row r="900" spans="1:1">
      <c r="A900" s="32"/>
    </row>
    <row r="901" spans="1:1">
      <c r="A901" s="32"/>
    </row>
    <row r="902" spans="1:1">
      <c r="A902" s="32"/>
    </row>
    <row r="903" spans="1:1">
      <c r="A903" s="32"/>
    </row>
    <row r="904" spans="1:1">
      <c r="A904" s="32"/>
    </row>
    <row r="905" spans="1:1">
      <c r="A905" s="32"/>
    </row>
    <row r="906" spans="1:1">
      <c r="A906" s="32"/>
    </row>
    <row r="907" spans="1:1">
      <c r="A907" s="32"/>
    </row>
    <row r="908" spans="1:1">
      <c r="A908" s="32"/>
    </row>
    <row r="909" spans="1:1">
      <c r="A909" s="32"/>
    </row>
    <row r="910" spans="1:1">
      <c r="A910" s="32"/>
    </row>
    <row r="911" spans="1:1">
      <c r="A911" s="32"/>
    </row>
    <row r="912" spans="1:1">
      <c r="A912" s="32"/>
    </row>
    <row r="913" spans="1:1">
      <c r="A913" s="32"/>
    </row>
    <row r="914" spans="1:1">
      <c r="A914" s="32"/>
    </row>
    <row r="915" spans="1:1">
      <c r="A915" s="32"/>
    </row>
    <row r="916" spans="1:1">
      <c r="A916" s="32"/>
    </row>
    <row r="917" spans="1:1">
      <c r="A917" s="32"/>
    </row>
    <row r="918" spans="1:1">
      <c r="A918" s="32"/>
    </row>
    <row r="919" spans="1:1">
      <c r="A919" s="32"/>
    </row>
    <row r="920" spans="1:1">
      <c r="A920" s="32"/>
    </row>
    <row r="921" spans="1:1">
      <c r="A921" s="32"/>
    </row>
    <row r="922" spans="1:1">
      <c r="A922" s="32"/>
    </row>
    <row r="923" spans="1:1">
      <c r="A923" s="32"/>
    </row>
    <row r="924" spans="1:1">
      <c r="A924" s="32"/>
    </row>
    <row r="925" spans="1:1">
      <c r="A925" s="32"/>
    </row>
    <row r="926" spans="1:1">
      <c r="A926" s="32"/>
    </row>
    <row r="927" spans="1:1">
      <c r="A927" s="32"/>
    </row>
    <row r="928" spans="1:1">
      <c r="A928" s="32"/>
    </row>
    <row r="929" spans="1:1">
      <c r="A929" s="32"/>
    </row>
    <row r="930" spans="1:1">
      <c r="A930" s="32"/>
    </row>
    <row r="931" spans="1:1">
      <c r="A931" s="32"/>
    </row>
    <row r="932" spans="1:1">
      <c r="A932" s="32"/>
    </row>
    <row r="933" spans="1:1">
      <c r="A933" s="32"/>
    </row>
    <row r="934" spans="1:1">
      <c r="A934" s="32"/>
    </row>
    <row r="935" spans="1:1">
      <c r="A935" s="32"/>
    </row>
    <row r="936" spans="1:1">
      <c r="A936" s="32"/>
    </row>
    <row r="937" spans="1:1">
      <c r="A937" s="32"/>
    </row>
    <row r="938" spans="1:1">
      <c r="A938" s="32"/>
    </row>
    <row r="939" spans="1:1">
      <c r="A939" s="32"/>
    </row>
    <row r="940" spans="1:1">
      <c r="A940" s="32"/>
    </row>
    <row r="941" spans="1:1">
      <c r="A941" s="32"/>
    </row>
    <row r="942" spans="1:1">
      <c r="A942" s="32"/>
    </row>
    <row r="943" spans="1:1">
      <c r="A943" s="32"/>
    </row>
    <row r="944" spans="1:1">
      <c r="A944" s="32"/>
    </row>
    <row r="945" spans="1:1">
      <c r="A945" s="32"/>
    </row>
    <row r="946" spans="1:1">
      <c r="A946" s="32"/>
    </row>
    <row r="947" spans="1:1">
      <c r="A947" s="32"/>
    </row>
    <row r="948" spans="1:1">
      <c r="A948" s="32"/>
    </row>
    <row r="949" spans="1:1">
      <c r="A949" s="32"/>
    </row>
    <row r="950" spans="1:1">
      <c r="A950" s="32"/>
    </row>
    <row r="951" spans="1:1">
      <c r="A951" s="32"/>
    </row>
    <row r="952" spans="1:1">
      <c r="A952" s="32"/>
    </row>
    <row r="953" spans="1:1">
      <c r="A953" s="32"/>
    </row>
    <row r="954" spans="1:1">
      <c r="A954" s="32"/>
    </row>
    <row r="955" spans="1:1">
      <c r="A955" s="32"/>
    </row>
    <row r="956" spans="1:1">
      <c r="A956" s="32"/>
    </row>
    <row r="957" spans="1:1">
      <c r="A957" s="32"/>
    </row>
    <row r="958" spans="1:1">
      <c r="A958" s="32"/>
    </row>
    <row r="959" spans="1:1">
      <c r="A959" s="32"/>
    </row>
    <row r="960" spans="1:1">
      <c r="A960" s="32"/>
    </row>
    <row r="961" spans="1:1">
      <c r="A961" s="32"/>
    </row>
    <row r="962" spans="1:1">
      <c r="A962" s="32"/>
    </row>
    <row r="963" spans="1:1">
      <c r="A963" s="32"/>
    </row>
    <row r="964" spans="1:1">
      <c r="A964" s="32"/>
    </row>
    <row r="965" spans="1:1">
      <c r="A965" s="32"/>
    </row>
    <row r="966" spans="1:1">
      <c r="A966" s="32"/>
    </row>
    <row r="967" spans="1:1">
      <c r="A967" s="32"/>
    </row>
    <row r="968" spans="1:1">
      <c r="A968" s="32"/>
    </row>
    <row r="969" spans="1:1">
      <c r="A969" s="32"/>
    </row>
    <row r="970" spans="1:1">
      <c r="A970" s="32"/>
    </row>
    <row r="971" spans="1:1">
      <c r="A971" s="32"/>
    </row>
    <row r="972" spans="1:1">
      <c r="A972" s="32"/>
    </row>
    <row r="973" spans="1:1">
      <c r="A973" s="32"/>
    </row>
    <row r="974" spans="1:1">
      <c r="A974" s="32"/>
    </row>
    <row r="975" spans="1:1">
      <c r="A975" s="32"/>
    </row>
    <row r="976" spans="1:1">
      <c r="A976" s="32"/>
    </row>
    <row r="977" spans="1:1">
      <c r="A977" s="32"/>
    </row>
    <row r="978" spans="1:1">
      <c r="A978" s="32"/>
    </row>
    <row r="979" spans="1:1">
      <c r="A979" s="32"/>
    </row>
    <row r="980" spans="1:1">
      <c r="A980" s="32"/>
    </row>
    <row r="981" spans="1:1">
      <c r="A981" s="32"/>
    </row>
    <row r="982" spans="1:1">
      <c r="A982" s="32"/>
    </row>
    <row r="983" spans="1:1">
      <c r="A983" s="32"/>
    </row>
    <row r="984" spans="1:1">
      <c r="A984" s="32"/>
    </row>
    <row r="985" spans="1:1">
      <c r="A985" s="32"/>
    </row>
    <row r="986" spans="1:1">
      <c r="A986" s="32"/>
    </row>
    <row r="987" spans="1:1">
      <c r="A987" s="32"/>
    </row>
    <row r="988" spans="1:1">
      <c r="A988" s="32"/>
    </row>
    <row r="989" spans="1:1">
      <c r="A989" s="32"/>
    </row>
    <row r="990" spans="1:1">
      <c r="A990" s="32"/>
    </row>
    <row r="991" spans="1:1">
      <c r="A991" s="32"/>
    </row>
    <row r="992" spans="1:1">
      <c r="A992" s="32"/>
    </row>
    <row r="993" spans="1:1">
      <c r="A993" s="32"/>
    </row>
    <row r="994" spans="1:1">
      <c r="A994" s="32"/>
    </row>
    <row r="995" spans="1:1">
      <c r="A995" s="32"/>
    </row>
    <row r="996" spans="1:1">
      <c r="A996" s="32"/>
    </row>
    <row r="997" spans="1:1">
      <c r="A997" s="32"/>
    </row>
    <row r="998" spans="1:1">
      <c r="A998" s="32"/>
    </row>
    <row r="999" spans="1:1">
      <c r="A999" s="32"/>
    </row>
    <row r="1000" spans="1:1">
      <c r="A1000" s="32"/>
    </row>
    <row r="1001" spans="1:1">
      <c r="A1001" s="32"/>
    </row>
    <row r="1002" spans="1:1">
      <c r="A1002" s="32"/>
    </row>
    <row r="1003" spans="1:1">
      <c r="A1003" s="32"/>
    </row>
    <row r="1004" spans="1:1">
      <c r="A1004" s="32"/>
    </row>
    <row r="1005" spans="1:1">
      <c r="A1005" s="32"/>
    </row>
    <row r="1006" spans="1:1">
      <c r="A1006" s="32"/>
    </row>
    <row r="1007" spans="1:1">
      <c r="A1007" s="32"/>
    </row>
    <row r="1008" spans="1:1">
      <c r="A1008" s="32"/>
    </row>
    <row r="1009" spans="1:1">
      <c r="A1009" s="32"/>
    </row>
    <row r="1010" spans="1:1">
      <c r="A1010" s="32"/>
    </row>
    <row r="1011" spans="1:1">
      <c r="A1011" s="32"/>
    </row>
    <row r="1012" spans="1:1">
      <c r="A1012" s="32"/>
    </row>
    <row r="1013" spans="1:1">
      <c r="A1013" s="32"/>
    </row>
    <row r="1014" spans="1:1">
      <c r="A1014" s="32"/>
    </row>
    <row r="1015" spans="1:1">
      <c r="A1015" s="32"/>
    </row>
    <row r="1016" spans="1:1">
      <c r="A1016" s="32"/>
    </row>
    <row r="1017" spans="1:1">
      <c r="A1017" s="32"/>
    </row>
    <row r="1018" spans="1:1">
      <c r="A1018" s="32"/>
    </row>
    <row r="1019" spans="1:1">
      <c r="A1019" s="32"/>
    </row>
    <row r="1020" spans="1:1">
      <c r="A1020" s="32"/>
    </row>
    <row r="1021" spans="1:1">
      <c r="A1021" s="32"/>
    </row>
    <row r="1022" spans="1:1">
      <c r="A1022" s="32"/>
    </row>
    <row r="1023" spans="1:1">
      <c r="A1023" s="32"/>
    </row>
    <row r="1024" spans="1:1">
      <c r="A1024" s="32"/>
    </row>
    <row r="1025" spans="1:1">
      <c r="A1025" s="32"/>
    </row>
    <row r="1026" spans="1:1">
      <c r="A1026" s="32"/>
    </row>
    <row r="1027" spans="1:1">
      <c r="A1027" s="32"/>
    </row>
    <row r="1028" spans="1:1">
      <c r="A1028" s="32"/>
    </row>
    <row r="1029" spans="1:1">
      <c r="A1029" s="32"/>
    </row>
    <row r="1030" spans="1:1">
      <c r="A1030" s="32"/>
    </row>
    <row r="1031" spans="1:1">
      <c r="A1031" s="32"/>
    </row>
    <row r="1032" spans="1:1">
      <c r="A1032" s="32"/>
    </row>
    <row r="1033" spans="1:1">
      <c r="A1033" s="32"/>
    </row>
    <row r="1034" spans="1:1">
      <c r="A1034" s="32"/>
    </row>
    <row r="1035" spans="1:1">
      <c r="A1035" s="32"/>
    </row>
    <row r="1036" spans="1:1">
      <c r="A1036" s="32"/>
    </row>
    <row r="1037" spans="1:1">
      <c r="A1037" s="32"/>
    </row>
    <row r="1038" spans="1:1">
      <c r="A1038" s="32"/>
    </row>
    <row r="1039" spans="1:1">
      <c r="A1039" s="32"/>
    </row>
    <row r="1040" spans="1:1">
      <c r="A1040" s="32"/>
    </row>
    <row r="1041" spans="1:1">
      <c r="A1041" s="32"/>
    </row>
    <row r="1042" spans="1:1">
      <c r="A1042" s="32"/>
    </row>
    <row r="1043" spans="1:1">
      <c r="A1043" s="32"/>
    </row>
    <row r="1044" spans="1:1">
      <c r="A1044" s="32"/>
    </row>
    <row r="1045" spans="1:1">
      <c r="A1045" s="32"/>
    </row>
    <row r="1046" spans="1:1">
      <c r="A1046" s="32"/>
    </row>
    <row r="1047" spans="1:1">
      <c r="A1047" s="32"/>
    </row>
    <row r="1048" spans="1:1">
      <c r="A1048" s="32"/>
    </row>
    <row r="1049" spans="1:1">
      <c r="A1049" s="32"/>
    </row>
    <row r="1050" spans="1:1">
      <c r="A1050" s="32"/>
    </row>
    <row r="1051" spans="1:1">
      <c r="A1051" s="32"/>
    </row>
    <row r="1052" spans="1:1">
      <c r="A1052" s="32"/>
    </row>
    <row r="1053" spans="1:1">
      <c r="A1053" s="32"/>
    </row>
    <row r="1054" spans="1:1">
      <c r="A1054" s="32"/>
    </row>
    <row r="1055" spans="1:1">
      <c r="A1055" s="32"/>
    </row>
    <row r="1056" spans="1:1">
      <c r="A1056" s="32"/>
    </row>
    <row r="1057" spans="1:1">
      <c r="A1057" s="32"/>
    </row>
    <row r="1058" spans="1:1">
      <c r="A1058" s="32"/>
    </row>
    <row r="1059" spans="1:1">
      <c r="A1059" s="32"/>
    </row>
    <row r="1060" spans="1:1">
      <c r="A1060" s="32"/>
    </row>
    <row r="1061" spans="1:1">
      <c r="A1061" s="32"/>
    </row>
    <row r="1062" spans="1:1">
      <c r="A1062" s="32"/>
    </row>
    <row r="1063" spans="1:1">
      <c r="A1063" s="32"/>
    </row>
    <row r="1064" spans="1:1">
      <c r="A1064" s="32"/>
    </row>
    <row r="1065" spans="1:1">
      <c r="A1065" s="32"/>
    </row>
    <row r="1066" spans="1:1">
      <c r="A1066" s="32"/>
    </row>
    <row r="1067" spans="1:1">
      <c r="A1067" s="32"/>
    </row>
    <row r="1068" spans="1:1">
      <c r="A1068" s="32"/>
    </row>
    <row r="1069" spans="1:1">
      <c r="A1069" s="32"/>
    </row>
    <row r="1070" spans="1:1">
      <c r="A1070" s="32"/>
    </row>
    <row r="1071" spans="1:1">
      <c r="A1071" s="32"/>
    </row>
    <row r="1072" spans="1:1">
      <c r="A1072" s="32"/>
    </row>
    <row r="1073" spans="1:1">
      <c r="A1073" s="32"/>
    </row>
    <row r="1074" spans="1:1">
      <c r="A1074" s="32"/>
    </row>
    <row r="1075" spans="1:1">
      <c r="A1075" s="32"/>
    </row>
    <row r="1076" spans="1:1">
      <c r="A1076" s="32"/>
    </row>
    <row r="1077" spans="1:1">
      <c r="A1077" s="32"/>
    </row>
    <row r="1078" spans="1:1">
      <c r="A1078" s="32"/>
    </row>
    <row r="1079" spans="1:1">
      <c r="A1079" s="32"/>
    </row>
    <row r="1080" spans="1:1">
      <c r="A1080" s="32"/>
    </row>
    <row r="1081" spans="1:1">
      <c r="A1081" s="32"/>
    </row>
    <row r="1082" spans="1:1">
      <c r="A1082" s="32"/>
    </row>
    <row r="1083" spans="1:1">
      <c r="A1083" s="32"/>
    </row>
    <row r="1084" spans="1:1">
      <c r="A1084" s="32"/>
    </row>
    <row r="1085" spans="1:1">
      <c r="A1085" s="32"/>
    </row>
    <row r="1086" spans="1:1">
      <c r="A1086" s="32"/>
    </row>
    <row r="1087" spans="1:1">
      <c r="A1087" s="32"/>
    </row>
    <row r="1088" spans="1:1">
      <c r="A1088" s="32"/>
    </row>
    <row r="1089" spans="1:1">
      <c r="A1089" s="32"/>
    </row>
    <row r="1090" spans="1:1">
      <c r="A1090" s="32"/>
    </row>
    <row r="1091" spans="1:1">
      <c r="A1091" s="32"/>
    </row>
    <row r="1092" spans="1:1">
      <c r="A1092" s="32"/>
    </row>
    <row r="1093" spans="1:1">
      <c r="A1093" s="32"/>
    </row>
    <row r="1094" spans="1:1">
      <c r="A1094" s="32"/>
    </row>
    <row r="1095" spans="1:1">
      <c r="A1095" s="32"/>
    </row>
    <row r="1096" spans="1:1">
      <c r="A1096" s="32"/>
    </row>
    <row r="1097" spans="1:1">
      <c r="A1097" s="32"/>
    </row>
    <row r="1098" spans="1:1">
      <c r="A1098" s="32"/>
    </row>
    <row r="1099" spans="1:1">
      <c r="A1099" s="32"/>
    </row>
    <row r="1100" spans="1:1">
      <c r="A1100" s="32"/>
    </row>
    <row r="1101" spans="1:1">
      <c r="A1101" s="32"/>
    </row>
    <row r="1102" spans="1:1">
      <c r="A1102" s="32"/>
    </row>
    <row r="1103" spans="1:1">
      <c r="A1103" s="32"/>
    </row>
    <row r="1104" spans="1:1">
      <c r="A1104" s="32"/>
    </row>
    <row r="1105" spans="1:1">
      <c r="A1105" s="32"/>
    </row>
    <row r="1106" spans="1:1">
      <c r="A1106" s="32"/>
    </row>
    <row r="1107" spans="1:1">
      <c r="A1107" s="32"/>
    </row>
    <row r="1108" spans="1:1">
      <c r="A1108" s="32"/>
    </row>
    <row r="1109" spans="1:1">
      <c r="A1109" s="32"/>
    </row>
    <row r="1110" spans="1:1">
      <c r="A1110" s="32"/>
    </row>
    <row r="1111" spans="1:1">
      <c r="A1111" s="32"/>
    </row>
    <row r="1112" spans="1:1">
      <c r="A1112" s="32"/>
    </row>
    <row r="1113" spans="1:1">
      <c r="A1113" s="32"/>
    </row>
    <row r="1114" spans="1:1">
      <c r="A1114" s="32"/>
    </row>
    <row r="1115" spans="1:1">
      <c r="A1115" s="32"/>
    </row>
    <row r="1116" spans="1:1">
      <c r="A1116" s="32"/>
    </row>
    <row r="1117" spans="1:1">
      <c r="A1117" s="32"/>
    </row>
    <row r="1118" spans="1:1">
      <c r="A1118" s="32"/>
    </row>
    <row r="1119" spans="1:1">
      <c r="A1119" s="32"/>
    </row>
    <row r="1120" spans="1:1">
      <c r="A1120" s="32"/>
    </row>
    <row r="1121" spans="1:1">
      <c r="A1121" s="32"/>
    </row>
    <row r="1122" spans="1:1">
      <c r="A1122" s="32"/>
    </row>
    <row r="1123" spans="1:1">
      <c r="A1123" s="32"/>
    </row>
    <row r="1124" spans="1:1">
      <c r="A1124" s="32"/>
    </row>
    <row r="1125" spans="1:1">
      <c r="A1125" s="32"/>
    </row>
    <row r="1126" spans="1:1">
      <c r="A1126" s="32"/>
    </row>
    <row r="1127" spans="1:1">
      <c r="A1127" s="32"/>
    </row>
    <row r="1128" spans="1:1">
      <c r="A1128" s="32"/>
    </row>
    <row r="1129" spans="1:1">
      <c r="A1129" s="32"/>
    </row>
    <row r="1130" spans="1:1">
      <c r="A1130" s="32"/>
    </row>
    <row r="1131" spans="1:1">
      <c r="A1131" s="32"/>
    </row>
    <row r="1132" spans="1:1">
      <c r="A1132" s="32"/>
    </row>
    <row r="1133" spans="1:1">
      <c r="A1133" s="32"/>
    </row>
    <row r="1134" spans="1:1">
      <c r="A1134" s="32"/>
    </row>
    <row r="1135" spans="1:1">
      <c r="A1135" s="32"/>
    </row>
    <row r="1136" spans="1:1">
      <c r="A1136" s="32"/>
    </row>
    <row r="1137" spans="1:1">
      <c r="A1137" s="32"/>
    </row>
    <row r="1138" spans="1:1">
      <c r="A1138" s="32"/>
    </row>
    <row r="1139" spans="1:1">
      <c r="A1139" s="32"/>
    </row>
    <row r="1140" spans="1:1">
      <c r="A1140" s="32"/>
    </row>
    <row r="1141" spans="1:1">
      <c r="A1141" s="32"/>
    </row>
    <row r="1142" spans="1:1">
      <c r="A1142" s="32"/>
    </row>
    <row r="1143" spans="1:1">
      <c r="A1143" s="32"/>
    </row>
    <row r="1144" spans="1:1">
      <c r="A1144" s="32"/>
    </row>
    <row r="1145" spans="1:1">
      <c r="A1145" s="32"/>
    </row>
    <row r="1146" spans="1:1">
      <c r="A1146" s="32"/>
    </row>
    <row r="1147" spans="1:1">
      <c r="A1147" s="32"/>
    </row>
    <row r="1148" spans="1:1">
      <c r="A1148" s="32"/>
    </row>
    <row r="1149" spans="1:1">
      <c r="A1149" s="32"/>
    </row>
    <row r="1150" spans="1:1">
      <c r="A1150" s="32"/>
    </row>
    <row r="1151" spans="1:1">
      <c r="A1151" s="32"/>
    </row>
    <row r="1152" spans="1:1">
      <c r="A1152" s="32"/>
    </row>
    <row r="1153" spans="1:1">
      <c r="A1153" s="32"/>
    </row>
    <row r="1154" spans="1:1">
      <c r="A1154" s="32"/>
    </row>
    <row r="1155" spans="1:1">
      <c r="A1155" s="32"/>
    </row>
    <row r="1156" spans="1:1">
      <c r="A1156" s="32"/>
    </row>
    <row r="1157" spans="1:1">
      <c r="A1157" s="32"/>
    </row>
    <row r="1158" spans="1:1">
      <c r="A1158" s="32"/>
    </row>
    <row r="1159" spans="1:1">
      <c r="A1159" s="32"/>
    </row>
    <row r="1160" spans="1:1">
      <c r="A1160" s="32"/>
    </row>
    <row r="1161" spans="1:1">
      <c r="A1161" s="32"/>
    </row>
    <row r="1162" spans="1:1">
      <c r="A1162" s="32"/>
    </row>
    <row r="1163" spans="1:1">
      <c r="A1163" s="32"/>
    </row>
    <row r="1164" spans="1:1">
      <c r="A1164" s="32"/>
    </row>
    <row r="1165" spans="1:1">
      <c r="A1165" s="32"/>
    </row>
    <row r="1166" spans="1:1">
      <c r="A1166" s="32"/>
    </row>
    <row r="1167" spans="1:1">
      <c r="A1167" s="32"/>
    </row>
    <row r="1168" spans="1:1">
      <c r="A1168" s="32"/>
    </row>
    <row r="1169" spans="1:1">
      <c r="A1169" s="32"/>
    </row>
    <row r="1170" spans="1:1">
      <c r="A1170" s="32"/>
    </row>
    <row r="1171" spans="1:1">
      <c r="A1171" s="32"/>
    </row>
    <row r="1172" spans="1:1">
      <c r="A1172" s="32"/>
    </row>
    <row r="1173" spans="1:1">
      <c r="A1173" s="32"/>
    </row>
    <row r="1174" spans="1:1">
      <c r="A1174" s="32"/>
    </row>
    <row r="1175" spans="1:1">
      <c r="A1175" s="32"/>
    </row>
    <row r="1176" spans="1:1">
      <c r="A1176" s="32"/>
    </row>
    <row r="1177" spans="1:1">
      <c r="A1177" s="32"/>
    </row>
    <row r="1178" spans="1:1">
      <c r="A1178" s="32"/>
    </row>
    <row r="1179" spans="1:1">
      <c r="A1179" s="32"/>
    </row>
    <row r="1180" spans="1:1">
      <c r="A1180" s="32"/>
    </row>
    <row r="1181" spans="1:1">
      <c r="A1181" s="32"/>
    </row>
    <row r="1182" spans="1:1">
      <c r="A1182" s="32"/>
    </row>
    <row r="1183" spans="1:1">
      <c r="A1183" s="32"/>
    </row>
    <row r="1184" spans="1:1">
      <c r="A1184" s="32"/>
    </row>
    <row r="1185" spans="1:1">
      <c r="A1185" s="32"/>
    </row>
    <row r="1186" spans="1:1">
      <c r="A1186" s="32"/>
    </row>
    <row r="1187" spans="1:1">
      <c r="A1187" s="32"/>
    </row>
    <row r="1188" spans="1:1">
      <c r="A1188" s="32"/>
    </row>
    <row r="1189" spans="1:1">
      <c r="A1189" s="32"/>
    </row>
    <row r="1190" spans="1:1">
      <c r="A1190" s="32"/>
    </row>
    <row r="1191" spans="1:1">
      <c r="A1191" s="32"/>
    </row>
    <row r="1192" spans="1:1">
      <c r="A1192" s="32"/>
    </row>
    <row r="1193" spans="1:1">
      <c r="A1193" s="32"/>
    </row>
    <row r="1194" spans="1:1">
      <c r="A1194" s="32"/>
    </row>
    <row r="1195" spans="1:1">
      <c r="A1195" s="32"/>
    </row>
    <row r="1196" spans="1:1">
      <c r="A1196" s="32"/>
    </row>
    <row r="1197" spans="1:1">
      <c r="A1197" s="32"/>
    </row>
    <row r="1198" spans="1:1">
      <c r="A1198" s="32"/>
    </row>
    <row r="1199" spans="1:1">
      <c r="A1199" s="32"/>
    </row>
    <row r="1200" spans="1:1">
      <c r="A1200" s="32"/>
    </row>
    <row r="1201" spans="1:1">
      <c r="A1201" s="32"/>
    </row>
    <row r="1202" spans="1:1">
      <c r="A1202" s="32"/>
    </row>
    <row r="1203" spans="1:1">
      <c r="A1203" s="32"/>
    </row>
    <row r="1204" spans="1:1">
      <c r="A1204" s="32"/>
    </row>
    <row r="1205" spans="1:1">
      <c r="A1205" s="32"/>
    </row>
    <row r="1206" spans="1:1">
      <c r="A1206" s="32"/>
    </row>
    <row r="1207" spans="1:1">
      <c r="A1207" s="32"/>
    </row>
    <row r="1208" spans="1:1">
      <c r="A1208" s="32"/>
    </row>
    <row r="1209" spans="1:1">
      <c r="A1209" s="32"/>
    </row>
    <row r="1210" spans="1:1">
      <c r="A1210" s="32"/>
    </row>
    <row r="1211" spans="1:1">
      <c r="A1211" s="32"/>
    </row>
    <row r="1212" spans="1:1">
      <c r="A1212" s="32"/>
    </row>
    <row r="1213" spans="1:1">
      <c r="A1213" s="32"/>
    </row>
    <row r="1214" spans="1:1">
      <c r="A1214" s="32"/>
    </row>
    <row r="1215" spans="1:1">
      <c r="A1215" s="32"/>
    </row>
    <row r="1216" spans="1:1">
      <c r="A1216" s="32"/>
    </row>
    <row r="1217" spans="1:1">
      <c r="A1217" s="32"/>
    </row>
    <row r="1218" spans="1:1">
      <c r="A1218" s="32"/>
    </row>
    <row r="1219" spans="1:1">
      <c r="A1219" s="32"/>
    </row>
    <row r="1220" spans="1:1">
      <c r="A1220" s="32"/>
    </row>
    <row r="1221" spans="1:1">
      <c r="A1221" s="32"/>
    </row>
    <row r="1222" spans="1:1">
      <c r="A1222" s="32"/>
    </row>
    <row r="1223" spans="1:1">
      <c r="A1223" s="32"/>
    </row>
    <row r="1224" spans="1:1">
      <c r="A1224" s="32"/>
    </row>
    <row r="1225" spans="1:1">
      <c r="A1225" s="32"/>
    </row>
    <row r="1226" spans="1:1">
      <c r="A1226" s="32"/>
    </row>
    <row r="1227" spans="1:1">
      <c r="A1227" s="32"/>
    </row>
    <row r="1228" spans="1:1">
      <c r="A1228" s="32"/>
    </row>
    <row r="1229" spans="1:1">
      <c r="A1229" s="32"/>
    </row>
    <row r="1230" spans="1:1">
      <c r="A1230" s="32"/>
    </row>
    <row r="1231" spans="1:1">
      <c r="A1231" s="32"/>
    </row>
    <row r="1232" spans="1:1">
      <c r="A1232" s="32"/>
    </row>
    <row r="1233" spans="1:1">
      <c r="A1233" s="32"/>
    </row>
    <row r="1234" spans="1:1">
      <c r="A1234" s="32"/>
    </row>
    <row r="1235" spans="1:1">
      <c r="A1235" s="32"/>
    </row>
    <row r="1236" spans="1:1">
      <c r="A1236" s="32"/>
    </row>
    <row r="1237" spans="1:1">
      <c r="A1237" s="32"/>
    </row>
    <row r="1238" spans="1:1">
      <c r="A1238" s="32"/>
    </row>
    <row r="1239" spans="1:1">
      <c r="A1239" s="32"/>
    </row>
    <row r="1240" spans="1:1">
      <c r="A1240" s="32"/>
    </row>
    <row r="1241" spans="1:1">
      <c r="A1241" s="32"/>
    </row>
    <row r="1242" spans="1:1">
      <c r="A1242" s="32"/>
    </row>
    <row r="1243" spans="1:1">
      <c r="A1243" s="32"/>
    </row>
    <row r="1244" spans="1:1">
      <c r="A1244" s="32"/>
    </row>
    <row r="1245" spans="1:1">
      <c r="A1245" s="32"/>
    </row>
    <row r="1246" spans="1:1">
      <c r="A1246" s="32"/>
    </row>
    <row r="1247" spans="1:1">
      <c r="A1247" s="32"/>
    </row>
    <row r="1248" spans="1:1">
      <c r="A1248" s="32"/>
    </row>
    <row r="1249" spans="1:1">
      <c r="A1249" s="32"/>
    </row>
    <row r="1250" spans="1:1">
      <c r="A1250" s="32"/>
    </row>
    <row r="1251" spans="1:1">
      <c r="A1251" s="32"/>
    </row>
    <row r="1252" spans="1:1">
      <c r="A1252" s="32"/>
    </row>
    <row r="1253" spans="1:1">
      <c r="A1253" s="32"/>
    </row>
    <row r="1254" spans="1:1">
      <c r="A1254" s="32"/>
    </row>
    <row r="1255" spans="1:1">
      <c r="A1255" s="32"/>
    </row>
    <row r="1256" spans="1:1">
      <c r="A1256" s="32"/>
    </row>
    <row r="1257" spans="1:1">
      <c r="A1257" s="32"/>
    </row>
    <row r="1258" spans="1:1">
      <c r="A1258" s="32"/>
    </row>
    <row r="1259" spans="1:1">
      <c r="A1259" s="32"/>
    </row>
    <row r="1260" spans="1:1">
      <c r="A1260" s="32"/>
    </row>
    <row r="1261" spans="1:1">
      <c r="A1261" s="32"/>
    </row>
    <row r="1262" spans="1:1">
      <c r="A1262" s="32"/>
    </row>
    <row r="1263" spans="1:1">
      <c r="A1263" s="32"/>
    </row>
    <row r="1264" spans="1:1">
      <c r="A1264" s="32"/>
    </row>
    <row r="1265" spans="1:1">
      <c r="A1265" s="32"/>
    </row>
    <row r="1266" spans="1:1">
      <c r="A1266" s="32"/>
    </row>
    <row r="1267" spans="1:1">
      <c r="A1267" s="32"/>
    </row>
    <row r="1268" spans="1:1">
      <c r="A1268" s="32"/>
    </row>
    <row r="1269" spans="1:1">
      <c r="A1269" s="32"/>
    </row>
    <row r="1270" spans="1:1">
      <c r="A1270" s="32"/>
    </row>
    <row r="1271" spans="1:1">
      <c r="A1271" s="32"/>
    </row>
    <row r="1272" spans="1:1">
      <c r="A1272" s="32"/>
    </row>
    <row r="1273" spans="1:1">
      <c r="A1273" s="32"/>
    </row>
    <row r="1274" spans="1:1">
      <c r="A1274" s="32"/>
    </row>
    <row r="1275" spans="1:1">
      <c r="A1275" s="32"/>
    </row>
    <row r="1276" spans="1:1">
      <c r="A1276" s="32"/>
    </row>
    <row r="1277" spans="1:1">
      <c r="A1277" s="32"/>
    </row>
    <row r="1278" spans="1:1">
      <c r="A1278" s="32"/>
    </row>
    <row r="1279" spans="1:1">
      <c r="A1279" s="32"/>
    </row>
    <row r="1280" spans="1:1">
      <c r="A1280" s="32"/>
    </row>
    <row r="1281" spans="1:1">
      <c r="A1281" s="32"/>
    </row>
    <row r="1282" spans="1:1">
      <c r="A1282" s="32"/>
    </row>
    <row r="1283" spans="1:1">
      <c r="A1283" s="32"/>
    </row>
    <row r="1284" spans="1:1">
      <c r="A1284" s="32"/>
    </row>
    <row r="1285" spans="1:1">
      <c r="A1285" s="32"/>
    </row>
    <row r="1286" spans="1:1">
      <c r="A1286" s="32"/>
    </row>
    <row r="1287" spans="1:1">
      <c r="A1287" s="32"/>
    </row>
    <row r="1288" spans="1:1">
      <c r="A1288" s="32"/>
    </row>
    <row r="1289" spans="1:1">
      <c r="A1289" s="32"/>
    </row>
    <row r="1290" spans="1:1">
      <c r="A1290" s="32"/>
    </row>
    <row r="1291" spans="1:1">
      <c r="A1291" s="32"/>
    </row>
    <row r="1292" spans="1:1">
      <c r="A1292" s="32"/>
    </row>
    <row r="1293" spans="1:1">
      <c r="A1293" s="32"/>
    </row>
    <row r="1294" spans="1:1">
      <c r="A1294" s="32"/>
    </row>
    <row r="1295" spans="1:1">
      <c r="A1295" s="32"/>
    </row>
    <row r="1296" spans="1:1">
      <c r="A1296" s="32"/>
    </row>
    <row r="1297" spans="1:1">
      <c r="A1297" s="32"/>
    </row>
    <row r="1298" spans="1:1">
      <c r="A1298" s="32"/>
    </row>
    <row r="1299" spans="1:1">
      <c r="A1299" s="32"/>
    </row>
    <row r="1300" spans="1:1">
      <c r="A1300" s="32"/>
    </row>
    <row r="1301" spans="1:1">
      <c r="A1301" s="32"/>
    </row>
    <row r="1302" spans="1:1">
      <c r="A1302" s="32"/>
    </row>
    <row r="1303" spans="1:1">
      <c r="A1303" s="32"/>
    </row>
    <row r="1304" spans="1:1">
      <c r="A1304" s="32"/>
    </row>
    <row r="1305" spans="1:1">
      <c r="A1305" s="32"/>
    </row>
    <row r="1306" spans="1:1">
      <c r="A1306" s="32"/>
    </row>
    <row r="1307" spans="1:1">
      <c r="A1307" s="32"/>
    </row>
    <row r="1308" spans="1:1">
      <c r="A1308" s="32"/>
    </row>
    <row r="1309" spans="1:1">
      <c r="A1309" s="32"/>
    </row>
    <row r="1310" spans="1:1">
      <c r="A1310" s="32"/>
    </row>
    <row r="1311" spans="1:1">
      <c r="A1311" s="32"/>
    </row>
    <row r="1312" spans="1:1">
      <c r="A1312" s="32"/>
    </row>
    <row r="1313" spans="1:1">
      <c r="A1313" s="32"/>
    </row>
    <row r="1314" spans="1:1">
      <c r="A1314" s="32"/>
    </row>
    <row r="1315" spans="1:1">
      <c r="A1315" s="32"/>
    </row>
    <row r="1316" spans="1:1">
      <c r="A1316" s="32"/>
    </row>
    <row r="1317" spans="1:1">
      <c r="A1317" s="32"/>
    </row>
    <row r="1318" spans="1:1">
      <c r="A1318" s="32"/>
    </row>
    <row r="1319" spans="1:1">
      <c r="A1319" s="32"/>
    </row>
    <row r="1320" spans="1:1">
      <c r="A1320" s="32"/>
    </row>
    <row r="1321" spans="1:1">
      <c r="A1321" s="32"/>
    </row>
    <row r="1322" spans="1:1">
      <c r="A1322" s="32"/>
    </row>
    <row r="1323" spans="1:1">
      <c r="A1323" s="32"/>
    </row>
    <row r="1324" spans="1:1">
      <c r="A1324" s="32"/>
    </row>
    <row r="1325" spans="1:1">
      <c r="A1325" s="32"/>
    </row>
    <row r="1326" spans="1:1">
      <c r="A1326" s="32"/>
    </row>
    <row r="1327" spans="1:1">
      <c r="A1327" s="32"/>
    </row>
    <row r="1328" spans="1:1">
      <c r="A1328" s="32"/>
    </row>
    <row r="1329" spans="1:1">
      <c r="A1329" s="32"/>
    </row>
    <row r="1330" spans="1:1">
      <c r="A1330" s="32"/>
    </row>
    <row r="1331" spans="1:1">
      <c r="A1331" s="32"/>
    </row>
    <row r="1332" spans="1:1">
      <c r="A1332" s="32"/>
    </row>
    <row r="1333" spans="1:1">
      <c r="A1333" s="32"/>
    </row>
    <row r="1334" spans="1:1">
      <c r="A1334" s="32"/>
    </row>
    <row r="1335" spans="1:1">
      <c r="A1335" s="32"/>
    </row>
    <row r="1336" spans="1:1">
      <c r="A1336" s="32"/>
    </row>
    <row r="1337" spans="1:1">
      <c r="A1337" s="32"/>
    </row>
    <row r="1338" spans="1:1">
      <c r="A1338" s="32"/>
    </row>
    <row r="1339" spans="1:1">
      <c r="A1339" s="32"/>
    </row>
    <row r="1340" spans="1:1">
      <c r="A1340" s="32"/>
    </row>
    <row r="1341" spans="1:1">
      <c r="A1341" s="32"/>
    </row>
    <row r="1342" spans="1:1">
      <c r="A1342" s="32"/>
    </row>
    <row r="1343" spans="1:1">
      <c r="A1343" s="32"/>
    </row>
    <row r="1344" spans="1:1">
      <c r="A1344" s="32"/>
    </row>
    <row r="1345" spans="1:1">
      <c r="A1345" s="32"/>
    </row>
    <row r="1346" spans="1:1">
      <c r="A1346" s="32"/>
    </row>
    <row r="1347" spans="1:1">
      <c r="A1347" s="32"/>
    </row>
    <row r="1348" spans="1:1">
      <c r="A1348" s="32"/>
    </row>
    <row r="1349" spans="1:1">
      <c r="A1349" s="32"/>
    </row>
    <row r="1350" spans="1:1">
      <c r="A1350" s="32"/>
    </row>
    <row r="1351" spans="1:1">
      <c r="A1351" s="32"/>
    </row>
    <row r="1352" spans="1:1">
      <c r="A1352" s="32"/>
    </row>
    <row r="1353" spans="1:1">
      <c r="A1353" s="32"/>
    </row>
    <row r="1354" spans="1:1">
      <c r="A1354" s="32"/>
    </row>
    <row r="1355" spans="1:1">
      <c r="A1355" s="32"/>
    </row>
    <row r="1356" spans="1:1">
      <c r="A1356" s="32"/>
    </row>
    <row r="1357" spans="1:1">
      <c r="A1357" s="32"/>
    </row>
    <row r="1358" spans="1:1">
      <c r="A1358" s="32"/>
    </row>
    <row r="1359" spans="1:1">
      <c r="A1359" s="32"/>
    </row>
    <row r="1360" spans="1:1">
      <c r="A1360" s="32"/>
    </row>
    <row r="1361" spans="1:1">
      <c r="A1361" s="32"/>
    </row>
    <row r="1362" spans="1:1">
      <c r="A1362" s="32"/>
    </row>
    <row r="1363" spans="1:1">
      <c r="A1363" s="32"/>
    </row>
    <row r="1364" spans="1:1">
      <c r="A1364" s="32"/>
    </row>
    <row r="1365" spans="1:1">
      <c r="A1365" s="32"/>
    </row>
    <row r="1366" spans="1:1">
      <c r="A1366" s="32"/>
    </row>
    <row r="1367" spans="1:1">
      <c r="A1367" s="32"/>
    </row>
    <row r="1368" spans="1:1">
      <c r="A1368" s="32"/>
    </row>
    <row r="1369" spans="1:1">
      <c r="A1369" s="32"/>
    </row>
    <row r="1370" spans="1:1">
      <c r="A1370" s="32"/>
    </row>
    <row r="1371" spans="1:1">
      <c r="A1371" s="32"/>
    </row>
    <row r="1372" spans="1:1">
      <c r="A1372" s="32"/>
    </row>
    <row r="1373" spans="1:1">
      <c r="A1373" s="32"/>
    </row>
    <row r="1374" spans="1:1">
      <c r="A1374" s="32"/>
    </row>
    <row r="1375" spans="1:1">
      <c r="A1375" s="32"/>
    </row>
    <row r="1376" spans="1:1">
      <c r="A1376" s="32"/>
    </row>
    <row r="1377" spans="1:1">
      <c r="A1377" s="32"/>
    </row>
    <row r="1378" spans="1:1">
      <c r="A1378" s="32"/>
    </row>
    <row r="1379" spans="1:1">
      <c r="A1379" s="32"/>
    </row>
    <row r="1380" spans="1:1">
      <c r="A1380" s="32"/>
    </row>
    <row r="1381" spans="1:1">
      <c r="A1381" s="32"/>
    </row>
    <row r="1382" spans="1:1">
      <c r="A1382" s="32"/>
    </row>
    <row r="1383" spans="1:1">
      <c r="A1383" s="32"/>
    </row>
    <row r="1384" spans="1:1">
      <c r="A1384" s="32"/>
    </row>
    <row r="1385" spans="1:1">
      <c r="A1385" s="32"/>
    </row>
    <row r="1386" spans="1:1">
      <c r="A1386" s="32"/>
    </row>
    <row r="1387" spans="1:1">
      <c r="A1387" s="32"/>
    </row>
    <row r="1388" spans="1:1">
      <c r="A1388" s="32"/>
    </row>
    <row r="1389" spans="1:1">
      <c r="A1389" s="32"/>
    </row>
    <row r="1390" spans="1:1">
      <c r="A1390" s="32"/>
    </row>
    <row r="1391" spans="1:1">
      <c r="A1391" s="32"/>
    </row>
    <row r="1392" spans="1:1">
      <c r="A1392" s="32"/>
    </row>
    <row r="1393" spans="1:1">
      <c r="A1393" s="32"/>
    </row>
    <row r="1394" spans="1:1">
      <c r="A1394" s="32"/>
    </row>
    <row r="1395" spans="1:1">
      <c r="A1395" s="32"/>
    </row>
    <row r="1396" spans="1:1">
      <c r="A1396" s="32"/>
    </row>
    <row r="1397" spans="1:1">
      <c r="A1397" s="32"/>
    </row>
    <row r="1398" spans="1:1">
      <c r="A1398" s="32"/>
    </row>
    <row r="1399" spans="1:1">
      <c r="A1399" s="32"/>
    </row>
    <row r="1400" spans="1:1">
      <c r="A1400" s="32"/>
    </row>
    <row r="1401" spans="1:1">
      <c r="A1401" s="32"/>
    </row>
    <row r="1402" spans="1:1">
      <c r="A1402" s="32"/>
    </row>
    <row r="1403" spans="1:1">
      <c r="A1403" s="32"/>
    </row>
    <row r="1404" spans="1:1">
      <c r="A1404" s="32"/>
    </row>
    <row r="1405" spans="1:1">
      <c r="A1405" s="32"/>
    </row>
    <row r="1406" spans="1:1">
      <c r="A1406" s="32"/>
    </row>
    <row r="1407" spans="1:1">
      <c r="A1407" s="32"/>
    </row>
    <row r="1408" spans="1:1">
      <c r="A1408" s="32"/>
    </row>
    <row r="1409" spans="1:1">
      <c r="A1409" s="32"/>
    </row>
    <row r="1410" spans="1:1">
      <c r="A1410" s="32"/>
    </row>
    <row r="1411" spans="1:1">
      <c r="A1411" s="32"/>
    </row>
    <row r="1412" spans="1:1">
      <c r="A1412" s="32"/>
    </row>
    <row r="1413" spans="1:1">
      <c r="A1413" s="32"/>
    </row>
    <row r="1414" spans="1:1">
      <c r="A1414" s="32"/>
    </row>
    <row r="1415" spans="1:1">
      <c r="A1415" s="32"/>
    </row>
    <row r="1416" spans="1:1">
      <c r="A1416" s="32"/>
    </row>
    <row r="1417" spans="1:1">
      <c r="A1417" s="32"/>
    </row>
    <row r="1418" spans="1:1">
      <c r="A1418" s="32"/>
    </row>
    <row r="1419" spans="1:1">
      <c r="A1419" s="32"/>
    </row>
    <row r="1420" spans="1:1">
      <c r="A1420" s="32"/>
    </row>
    <row r="1421" spans="1:1">
      <c r="A1421" s="32"/>
    </row>
    <row r="1422" spans="1:1">
      <c r="A1422" s="32"/>
    </row>
    <row r="1423" spans="1:1">
      <c r="A1423" s="32"/>
    </row>
    <row r="1424" spans="1:1">
      <c r="A1424" s="32"/>
    </row>
    <row r="1425" spans="1:1">
      <c r="A1425" s="32"/>
    </row>
    <row r="1426" spans="1:1">
      <c r="A1426" s="32"/>
    </row>
    <row r="1427" spans="1:1">
      <c r="A1427" s="32"/>
    </row>
    <row r="1428" spans="1:1">
      <c r="A1428" s="32"/>
    </row>
    <row r="1429" spans="1:1">
      <c r="A1429" s="32"/>
    </row>
    <row r="1430" spans="1:1">
      <c r="A1430" s="32"/>
    </row>
    <row r="1431" spans="1:1">
      <c r="A1431" s="32"/>
    </row>
    <row r="1432" spans="1:1">
      <c r="A1432" s="32"/>
    </row>
    <row r="1433" spans="1:1">
      <c r="A1433" s="32"/>
    </row>
    <row r="1434" spans="1:1">
      <c r="A1434" s="32"/>
    </row>
    <row r="1435" spans="1:1">
      <c r="A1435" s="32"/>
    </row>
    <row r="1436" spans="1:1">
      <c r="A1436" s="32"/>
    </row>
    <row r="1437" spans="1:1">
      <c r="A1437" s="32"/>
    </row>
    <row r="1438" spans="1:1">
      <c r="A1438" s="32"/>
    </row>
    <row r="1439" spans="1:1">
      <c r="A1439" s="32"/>
    </row>
    <row r="1440" spans="1:1">
      <c r="A1440" s="32"/>
    </row>
    <row r="1441" spans="1:1">
      <c r="A1441" s="32"/>
    </row>
    <row r="1442" spans="1:1">
      <c r="A1442" s="32"/>
    </row>
    <row r="1443" spans="1:1">
      <c r="A1443" s="32"/>
    </row>
    <row r="1444" spans="1:1">
      <c r="A1444" s="32"/>
    </row>
    <row r="1445" spans="1:1">
      <c r="A1445" s="32"/>
    </row>
    <row r="1446" spans="1:1">
      <c r="A1446" s="32"/>
    </row>
    <row r="1447" spans="1:1">
      <c r="A1447" s="32"/>
    </row>
    <row r="1448" spans="1:1">
      <c r="A1448" s="32"/>
    </row>
    <row r="1449" spans="1:1">
      <c r="A1449" s="32"/>
    </row>
    <row r="1450" spans="1:1">
      <c r="A1450" s="32"/>
    </row>
    <row r="1451" spans="1:1">
      <c r="A1451" s="32"/>
    </row>
    <row r="1452" spans="1:1">
      <c r="A1452" s="32"/>
    </row>
    <row r="1453" spans="1:1">
      <c r="A1453" s="32"/>
    </row>
    <row r="1454" spans="1:1">
      <c r="A1454" s="32"/>
    </row>
    <row r="1455" spans="1:1">
      <c r="A1455" s="32"/>
    </row>
    <row r="1456" spans="1:1">
      <c r="A1456" s="32"/>
    </row>
    <row r="1457" spans="1:1">
      <c r="A1457" s="32"/>
    </row>
    <row r="1458" spans="1:1">
      <c r="A1458" s="32"/>
    </row>
    <row r="1459" spans="1:1">
      <c r="A1459" s="32"/>
    </row>
    <row r="1460" spans="1:1">
      <c r="A1460" s="32"/>
    </row>
    <row r="1461" spans="1:1">
      <c r="A1461" s="32"/>
    </row>
    <row r="1462" spans="1:1">
      <c r="A1462" s="32"/>
    </row>
    <row r="1463" spans="1:1">
      <c r="A1463" s="32"/>
    </row>
    <row r="1464" spans="1:1">
      <c r="A1464" s="32"/>
    </row>
    <row r="1465" spans="1:1">
      <c r="A1465" s="32"/>
    </row>
    <row r="1466" spans="1:1">
      <c r="A1466" s="32"/>
    </row>
    <row r="1467" spans="1:1">
      <c r="A1467" s="32"/>
    </row>
    <row r="1468" spans="1:1">
      <c r="A1468" s="32"/>
    </row>
    <row r="1469" spans="1:1">
      <c r="A1469" s="32"/>
    </row>
    <row r="1470" spans="1:1">
      <c r="A1470" s="32"/>
    </row>
    <row r="1471" spans="1:1">
      <c r="A1471" s="32"/>
    </row>
    <row r="1472" spans="1:1">
      <c r="A1472" s="32"/>
    </row>
    <row r="1473" spans="1:1">
      <c r="A1473" s="32"/>
    </row>
    <row r="1474" spans="1:1">
      <c r="A1474" s="32"/>
    </row>
    <row r="1475" spans="1:1">
      <c r="A1475" s="32"/>
    </row>
    <row r="1476" spans="1:1">
      <c r="A1476" s="32"/>
    </row>
    <row r="1477" spans="1:1">
      <c r="A1477" s="32"/>
    </row>
    <row r="1478" spans="1:1">
      <c r="A1478" s="32"/>
    </row>
    <row r="1479" spans="1:1">
      <c r="A1479" s="32"/>
    </row>
    <row r="1480" spans="1:1">
      <c r="A1480" s="32"/>
    </row>
    <row r="1481" spans="1:1">
      <c r="A1481" s="32"/>
    </row>
    <row r="1482" spans="1:1">
      <c r="A1482" s="32"/>
    </row>
    <row r="1483" spans="1:1">
      <c r="A1483" s="32"/>
    </row>
    <row r="1484" spans="1:1">
      <c r="A1484" s="32"/>
    </row>
    <row r="1485" spans="1:1">
      <c r="A1485" s="32"/>
    </row>
    <row r="1486" spans="1:1">
      <c r="A1486" s="32"/>
    </row>
    <row r="1487" spans="1:1">
      <c r="A1487" s="32"/>
    </row>
    <row r="1488" spans="1:1">
      <c r="A1488" s="32"/>
    </row>
    <row r="1489" spans="1:1">
      <c r="A1489" s="32"/>
    </row>
    <row r="1490" spans="1:1">
      <c r="A1490" s="32"/>
    </row>
    <row r="1491" spans="1:1">
      <c r="A1491" s="32"/>
    </row>
    <row r="1492" spans="1:1">
      <c r="A1492" s="32"/>
    </row>
    <row r="1493" spans="1:1">
      <c r="A1493" s="32"/>
    </row>
    <row r="1494" spans="1:1">
      <c r="A1494" s="32"/>
    </row>
    <row r="1495" spans="1:1">
      <c r="A1495" s="32"/>
    </row>
    <row r="1496" spans="1:1">
      <c r="A1496" s="32"/>
    </row>
    <row r="1497" spans="1:1">
      <c r="A1497" s="32"/>
    </row>
    <row r="1498" spans="1:1">
      <c r="A1498" s="32"/>
    </row>
    <row r="1499" spans="1:1">
      <c r="A1499" s="32"/>
    </row>
    <row r="1500" spans="1:1">
      <c r="A1500" s="32"/>
    </row>
    <row r="1501" spans="1:1">
      <c r="A1501" s="32"/>
    </row>
    <row r="1502" spans="1:1">
      <c r="A1502" s="32"/>
    </row>
    <row r="1503" spans="1:1">
      <c r="A1503" s="32"/>
    </row>
    <row r="1504" spans="1:1">
      <c r="A1504" s="32"/>
    </row>
    <row r="1505" spans="1:1">
      <c r="A1505" s="32"/>
    </row>
    <row r="1506" spans="1:1">
      <c r="A1506" s="32"/>
    </row>
    <row r="1507" spans="1:1">
      <c r="A1507" s="32"/>
    </row>
    <row r="1508" spans="1:1">
      <c r="A1508" s="32"/>
    </row>
    <row r="1509" spans="1:1">
      <c r="A1509" s="32"/>
    </row>
    <row r="1510" spans="1:1">
      <c r="A1510" s="32"/>
    </row>
    <row r="1511" spans="1:1">
      <c r="A1511" s="32"/>
    </row>
    <row r="1512" spans="1:1">
      <c r="A1512" s="32"/>
    </row>
    <row r="1513" spans="1:1">
      <c r="A1513" s="32"/>
    </row>
    <row r="1514" spans="1:1">
      <c r="A1514" s="32"/>
    </row>
    <row r="1515" spans="1:1">
      <c r="A1515" s="32"/>
    </row>
    <row r="1516" spans="1:1">
      <c r="A1516" s="32"/>
    </row>
    <row r="1517" spans="1:1">
      <c r="A1517" s="32"/>
    </row>
    <row r="1518" spans="1:1">
      <c r="A1518" s="32"/>
    </row>
    <row r="1519" spans="1:1">
      <c r="A1519" s="32"/>
    </row>
    <row r="1520" spans="1:1">
      <c r="A1520" s="32"/>
    </row>
    <row r="1521" spans="1:1">
      <c r="A1521" s="32"/>
    </row>
    <row r="1522" spans="1:1">
      <c r="A1522" s="32"/>
    </row>
    <row r="1523" spans="1:1">
      <c r="A1523" s="32"/>
    </row>
    <row r="1524" spans="1:1">
      <c r="A1524" s="32"/>
    </row>
    <row r="1525" spans="1:1">
      <c r="A1525" s="32"/>
    </row>
    <row r="1526" spans="1:1">
      <c r="A1526" s="32"/>
    </row>
    <row r="1527" spans="1:1">
      <c r="A1527" s="32"/>
    </row>
    <row r="1528" spans="1:1">
      <c r="A1528" s="32"/>
    </row>
    <row r="1529" spans="1:1">
      <c r="A1529" s="32"/>
    </row>
    <row r="1530" spans="1:1">
      <c r="A1530" s="32"/>
    </row>
    <row r="1531" spans="1:1">
      <c r="A1531" s="32"/>
    </row>
    <row r="1532" spans="1:1">
      <c r="A1532" s="32"/>
    </row>
    <row r="1533" spans="1:1">
      <c r="A1533" s="32"/>
    </row>
    <row r="1534" spans="1:1">
      <c r="A1534" s="32"/>
    </row>
    <row r="1535" spans="1:1">
      <c r="A1535" s="32"/>
    </row>
    <row r="1536" spans="1:1">
      <c r="A1536" s="32"/>
    </row>
    <row r="1537" spans="1:1">
      <c r="A1537" s="32"/>
    </row>
    <row r="1538" spans="1:1">
      <c r="A1538" s="32"/>
    </row>
    <row r="1539" spans="1:1">
      <c r="A1539" s="32"/>
    </row>
    <row r="1540" spans="1:1">
      <c r="A1540" s="32"/>
    </row>
    <row r="1541" spans="1:1">
      <c r="A1541" s="32"/>
    </row>
    <row r="1542" spans="1:1">
      <c r="A1542" s="32"/>
    </row>
    <row r="1543" spans="1:1">
      <c r="A1543" s="32"/>
    </row>
    <row r="1544" spans="1:1">
      <c r="A1544" s="32"/>
    </row>
    <row r="1545" spans="1:1">
      <c r="A1545" s="32"/>
    </row>
    <row r="1546" spans="1:1">
      <c r="A1546" s="32"/>
    </row>
    <row r="1547" spans="1:1">
      <c r="A1547" s="32"/>
    </row>
    <row r="1548" spans="1:1">
      <c r="A1548" s="32"/>
    </row>
    <row r="1549" spans="1:1">
      <c r="A1549" s="32"/>
    </row>
    <row r="1550" spans="1:1">
      <c r="A1550" s="32"/>
    </row>
    <row r="1551" spans="1:1">
      <c r="A1551" s="32"/>
    </row>
    <row r="1552" spans="1:1">
      <c r="A1552" s="32"/>
    </row>
    <row r="1553" spans="1:1">
      <c r="A1553" s="32"/>
    </row>
    <row r="1554" spans="1:1">
      <c r="A1554" s="32"/>
    </row>
    <row r="1555" spans="1:1">
      <c r="A1555" s="32"/>
    </row>
    <row r="1556" spans="1:1">
      <c r="A1556" s="32"/>
    </row>
    <row r="1557" spans="1:1">
      <c r="A1557" s="32"/>
    </row>
    <row r="1558" spans="1:1">
      <c r="A1558" s="32"/>
    </row>
    <row r="1559" spans="1:1">
      <c r="A1559" s="32"/>
    </row>
    <row r="1560" spans="1:1">
      <c r="A1560" s="32"/>
    </row>
    <row r="1561" spans="1:1">
      <c r="A1561" s="32"/>
    </row>
    <row r="1562" spans="1:1">
      <c r="A1562" s="32"/>
    </row>
    <row r="1563" spans="1:1">
      <c r="A1563" s="32"/>
    </row>
    <row r="1564" spans="1:1">
      <c r="A1564" s="32"/>
    </row>
    <row r="1565" spans="1:1">
      <c r="A1565" s="32"/>
    </row>
    <row r="1566" spans="1:1">
      <c r="A1566" s="32"/>
    </row>
    <row r="1567" spans="1:1">
      <c r="A1567" s="32"/>
    </row>
    <row r="1568" spans="1:1">
      <c r="A1568" s="32"/>
    </row>
    <row r="1569" spans="1:1">
      <c r="A1569" s="32"/>
    </row>
    <row r="1570" spans="1:1">
      <c r="A1570" s="32"/>
    </row>
    <row r="1571" spans="1:1">
      <c r="A1571" s="32"/>
    </row>
    <row r="1572" spans="1:1">
      <c r="A1572" s="32"/>
    </row>
    <row r="1573" spans="1:1">
      <c r="A1573" s="32"/>
    </row>
    <row r="1574" spans="1:1">
      <c r="A1574" s="32"/>
    </row>
    <row r="1575" spans="1:1">
      <c r="A1575" s="32"/>
    </row>
    <row r="1576" spans="1:1">
      <c r="A1576" s="32"/>
    </row>
    <row r="1577" spans="1:1">
      <c r="A1577" s="32"/>
    </row>
    <row r="1578" spans="1:1">
      <c r="A1578" s="32"/>
    </row>
    <row r="1579" spans="1:1">
      <c r="A1579" s="32"/>
    </row>
    <row r="1580" spans="1:1">
      <c r="A1580" s="32"/>
    </row>
    <row r="1581" spans="1:1">
      <c r="A1581" s="32"/>
    </row>
    <row r="1582" spans="1:1">
      <c r="A1582" s="32"/>
    </row>
    <row r="1583" spans="1:1">
      <c r="A1583" s="32"/>
    </row>
    <row r="1584" spans="1:1">
      <c r="A1584" s="32"/>
    </row>
    <row r="1585" spans="1:1">
      <c r="A1585" s="32"/>
    </row>
    <row r="1586" spans="1:1">
      <c r="A1586" s="32"/>
    </row>
    <row r="1587" spans="1:1">
      <c r="A1587" s="32"/>
    </row>
    <row r="1588" spans="1:1">
      <c r="A1588" s="32"/>
    </row>
    <row r="1589" spans="1:1">
      <c r="A1589" s="32"/>
    </row>
    <row r="1590" spans="1:1">
      <c r="A1590" s="32"/>
    </row>
    <row r="1591" spans="1:1">
      <c r="A1591" s="32"/>
    </row>
    <row r="1592" spans="1:1">
      <c r="A1592" s="32"/>
    </row>
    <row r="1593" spans="1:1">
      <c r="A1593" s="32"/>
    </row>
    <row r="1594" spans="1:1">
      <c r="A1594" s="32"/>
    </row>
    <row r="1595" spans="1:1">
      <c r="A1595" s="32"/>
    </row>
    <row r="1596" spans="1:1">
      <c r="A1596" s="32"/>
    </row>
    <row r="1597" spans="1:1">
      <c r="A1597" s="32"/>
    </row>
    <row r="1598" spans="1:1">
      <c r="A1598" s="32"/>
    </row>
    <row r="1599" spans="1:1">
      <c r="A1599" s="32"/>
    </row>
    <row r="1600" spans="1:1">
      <c r="A1600" s="32"/>
    </row>
    <row r="1601" spans="1:1">
      <c r="A1601" s="32"/>
    </row>
    <row r="1602" spans="1:1">
      <c r="A1602" s="32"/>
    </row>
    <row r="1603" spans="1:1">
      <c r="A1603" s="32"/>
    </row>
    <row r="1604" spans="1:1">
      <c r="A1604" s="32"/>
    </row>
    <row r="1605" spans="1:1">
      <c r="A1605" s="32"/>
    </row>
    <row r="1606" spans="1:1">
      <c r="A1606" s="32"/>
    </row>
    <row r="1607" spans="1:1">
      <c r="A1607" s="32"/>
    </row>
    <row r="1608" spans="1:1">
      <c r="A1608" s="32"/>
    </row>
    <row r="1609" spans="1:1">
      <c r="A1609" s="32"/>
    </row>
    <row r="1610" spans="1:1">
      <c r="A1610" s="32"/>
    </row>
    <row r="1611" spans="1:1">
      <c r="A1611" s="32"/>
    </row>
    <row r="1612" spans="1:1">
      <c r="A1612" s="32"/>
    </row>
    <row r="1613" spans="1:1">
      <c r="A1613" s="32"/>
    </row>
    <row r="1614" spans="1:1">
      <c r="A1614" s="32"/>
    </row>
    <row r="1615" spans="1:1">
      <c r="A1615" s="32"/>
    </row>
    <row r="1616" spans="1:1">
      <c r="A1616" s="32"/>
    </row>
    <row r="1617" spans="1:1">
      <c r="A1617" s="32"/>
    </row>
    <row r="1618" spans="1:1">
      <c r="A1618" s="32"/>
    </row>
    <row r="1619" spans="1:1">
      <c r="A1619" s="32"/>
    </row>
    <row r="1620" spans="1:1">
      <c r="A1620" s="32"/>
    </row>
    <row r="1621" spans="1:1">
      <c r="A1621" s="32"/>
    </row>
    <row r="1622" spans="1:1">
      <c r="A1622" s="32"/>
    </row>
    <row r="1623" spans="1:1">
      <c r="A1623" s="32"/>
    </row>
    <row r="1624" spans="1:1">
      <c r="A1624" s="32"/>
    </row>
    <row r="1625" spans="1:1">
      <c r="A1625" s="32"/>
    </row>
    <row r="1626" spans="1:1">
      <c r="A1626" s="32"/>
    </row>
    <row r="1627" spans="1:1">
      <c r="A1627" s="32"/>
    </row>
    <row r="1628" spans="1:1">
      <c r="A1628" s="32"/>
    </row>
    <row r="1629" spans="1:1">
      <c r="A1629" s="32"/>
    </row>
    <row r="1630" spans="1:1">
      <c r="A1630" s="32"/>
    </row>
    <row r="1631" spans="1:1">
      <c r="A1631" s="32"/>
    </row>
    <row r="1632" spans="1:1">
      <c r="A1632" s="32"/>
    </row>
    <row r="1633" spans="1:1">
      <c r="A1633" s="32"/>
    </row>
    <row r="1634" spans="1:1">
      <c r="A1634" s="32"/>
    </row>
    <row r="1635" spans="1:1">
      <c r="A1635" s="32"/>
    </row>
    <row r="1636" spans="1:1">
      <c r="A1636" s="32"/>
    </row>
    <row r="1637" spans="1:1">
      <c r="A1637" s="32"/>
    </row>
    <row r="1638" spans="1:1">
      <c r="A1638" s="32"/>
    </row>
    <row r="1639" spans="1:1">
      <c r="A1639" s="32"/>
    </row>
    <row r="1640" spans="1:1">
      <c r="A1640" s="32"/>
    </row>
    <row r="1641" spans="1:1">
      <c r="A1641" s="32"/>
    </row>
    <row r="1642" spans="1:1">
      <c r="A1642" s="32"/>
    </row>
    <row r="1643" spans="1:1">
      <c r="A1643" s="32"/>
    </row>
    <row r="1644" spans="1:1">
      <c r="A1644" s="32"/>
    </row>
    <row r="1645" spans="1:1">
      <c r="A1645" s="32"/>
    </row>
    <row r="1646" spans="1:1">
      <c r="A1646" s="32"/>
    </row>
    <row r="1647" spans="1:1">
      <c r="A1647" s="32"/>
    </row>
    <row r="1648" spans="1:1">
      <c r="A1648" s="32"/>
    </row>
    <row r="1649" spans="1:1">
      <c r="A1649" s="32"/>
    </row>
    <row r="1650" spans="1:1">
      <c r="A1650" s="32"/>
    </row>
    <row r="1651" spans="1:1">
      <c r="A1651" s="32"/>
    </row>
    <row r="1652" spans="1:1">
      <c r="A1652" s="32"/>
    </row>
    <row r="1653" spans="1:1">
      <c r="A1653" s="32"/>
    </row>
    <row r="1654" spans="1:1">
      <c r="A1654" s="32"/>
    </row>
    <row r="1655" spans="1:1">
      <c r="A1655" s="32"/>
    </row>
    <row r="1656" spans="1:1">
      <c r="A1656" s="32"/>
    </row>
    <row r="1657" spans="1:1">
      <c r="A1657" s="32"/>
    </row>
    <row r="1658" spans="1:1">
      <c r="A1658" s="32"/>
    </row>
    <row r="1659" spans="1:1">
      <c r="A1659" s="32"/>
    </row>
    <row r="1660" spans="1:1">
      <c r="A1660" s="32"/>
    </row>
    <row r="1661" spans="1:1">
      <c r="A1661" s="32"/>
    </row>
    <row r="1662" spans="1:1">
      <c r="A1662" s="32"/>
    </row>
    <row r="1663" spans="1:1">
      <c r="A1663" s="32"/>
    </row>
    <row r="1664" spans="1:1">
      <c r="A1664" s="32"/>
    </row>
    <row r="1665" spans="1:1">
      <c r="A1665" s="32"/>
    </row>
    <row r="1666" spans="1:1">
      <c r="A1666" s="32"/>
    </row>
    <row r="1667" spans="1:1">
      <c r="A1667" s="32"/>
    </row>
    <row r="1668" spans="1:1">
      <c r="A1668" s="32"/>
    </row>
    <row r="1669" spans="1:1">
      <c r="A1669" s="32"/>
    </row>
    <row r="1670" spans="1:1">
      <c r="A1670" s="32"/>
    </row>
    <row r="1671" spans="1:1">
      <c r="A1671" s="32"/>
    </row>
    <row r="1672" spans="1:1">
      <c r="A1672" s="32"/>
    </row>
    <row r="1673" spans="1:1">
      <c r="A1673" s="32"/>
    </row>
    <row r="1674" spans="1:1">
      <c r="A1674" s="32"/>
    </row>
    <row r="1675" spans="1:1">
      <c r="A1675" s="32"/>
    </row>
    <row r="1676" spans="1:1">
      <c r="A1676" s="32"/>
    </row>
    <row r="1677" spans="1:1">
      <c r="A1677" s="32"/>
    </row>
    <row r="1678" spans="1:1">
      <c r="A1678" s="32"/>
    </row>
    <row r="1679" spans="1:1">
      <c r="A1679" s="32"/>
    </row>
    <row r="1680" spans="1:1">
      <c r="A1680" s="32"/>
    </row>
    <row r="1681" spans="1:1">
      <c r="A1681" s="32"/>
    </row>
    <row r="1682" spans="1:1">
      <c r="A1682" s="32"/>
    </row>
    <row r="1683" spans="1:1">
      <c r="A1683" s="32"/>
    </row>
    <row r="1684" spans="1:1">
      <c r="A1684" s="32"/>
    </row>
    <row r="1685" spans="1:1">
      <c r="A1685" s="32"/>
    </row>
    <row r="1686" spans="1:1">
      <c r="A1686" s="32"/>
    </row>
    <row r="1687" spans="1:1">
      <c r="A1687" s="32"/>
    </row>
    <row r="1688" spans="1:1">
      <c r="A1688" s="32"/>
    </row>
    <row r="1689" spans="1:1">
      <c r="A1689" s="32"/>
    </row>
    <row r="1690" spans="1:1">
      <c r="A1690" s="32"/>
    </row>
    <row r="1691" spans="1:1">
      <c r="A1691" s="32"/>
    </row>
    <row r="1692" spans="1:1">
      <c r="A1692" s="32"/>
    </row>
    <row r="1693" spans="1:1">
      <c r="A1693" s="32"/>
    </row>
    <row r="1694" spans="1:1">
      <c r="A1694" s="32"/>
    </row>
    <row r="1695" spans="1:1">
      <c r="A1695" s="32"/>
    </row>
    <row r="1696" spans="1:1">
      <c r="A1696" s="32"/>
    </row>
    <row r="1697" spans="1:1">
      <c r="A1697" s="32"/>
    </row>
    <row r="1698" spans="1:1">
      <c r="A1698" s="32"/>
    </row>
    <row r="1699" spans="1:1">
      <c r="A1699" s="32"/>
    </row>
    <row r="1700" spans="1:1">
      <c r="A1700" s="32"/>
    </row>
    <row r="1701" spans="1:1">
      <c r="A1701" s="32"/>
    </row>
    <row r="1702" spans="1:1">
      <c r="A1702" s="32"/>
    </row>
    <row r="1703" spans="1:1">
      <c r="A1703" s="32"/>
    </row>
    <row r="1704" spans="1:1">
      <c r="A1704" s="32"/>
    </row>
    <row r="1705" spans="1:1">
      <c r="A1705" s="32"/>
    </row>
    <row r="1706" spans="1:1">
      <c r="A1706" s="32"/>
    </row>
    <row r="1707" spans="1:1">
      <c r="A1707" s="32"/>
    </row>
    <row r="1708" spans="1:1">
      <c r="A1708" s="32"/>
    </row>
    <row r="1709" spans="1:1">
      <c r="A1709" s="32"/>
    </row>
    <row r="1710" spans="1:1">
      <c r="A1710" s="32"/>
    </row>
    <row r="1711" spans="1:1">
      <c r="A1711" s="32"/>
    </row>
    <row r="1712" spans="1:1">
      <c r="A1712" s="32"/>
    </row>
    <row r="1713" spans="1:1">
      <c r="A1713" s="32"/>
    </row>
    <row r="1714" spans="1:1">
      <c r="A1714" s="32"/>
    </row>
    <row r="1715" spans="1:1">
      <c r="A1715" s="32"/>
    </row>
    <row r="1716" spans="1:1">
      <c r="A1716" s="32"/>
    </row>
    <row r="1717" spans="1:1">
      <c r="A1717" s="32"/>
    </row>
    <row r="1718" spans="1:1">
      <c r="A1718" s="32"/>
    </row>
    <row r="1719" spans="1:1">
      <c r="A1719" s="32"/>
    </row>
    <row r="1720" spans="1:1">
      <c r="A1720" s="32"/>
    </row>
    <row r="1721" spans="1:1">
      <c r="A1721" s="32"/>
    </row>
    <row r="1722" spans="1:1">
      <c r="A1722" s="32"/>
    </row>
    <row r="1723" spans="1:1">
      <c r="A1723" s="32"/>
    </row>
    <row r="1724" spans="1:1">
      <c r="A1724" s="32"/>
    </row>
    <row r="1725" spans="1:1">
      <c r="A1725" s="32"/>
    </row>
    <row r="1726" spans="1:1">
      <c r="A1726" s="32"/>
    </row>
    <row r="1727" spans="1:1">
      <c r="A1727" s="32"/>
    </row>
    <row r="1728" spans="1:1">
      <c r="A1728" s="32"/>
    </row>
    <row r="1729" spans="1:1">
      <c r="A1729" s="32"/>
    </row>
    <row r="1730" spans="1:1">
      <c r="A1730" s="32"/>
    </row>
    <row r="1731" spans="1:1">
      <c r="A1731" s="32"/>
    </row>
    <row r="1732" spans="1:1">
      <c r="A1732" s="32"/>
    </row>
    <row r="1733" spans="1:1">
      <c r="A1733" s="32"/>
    </row>
    <row r="1734" spans="1:1">
      <c r="A1734" s="32"/>
    </row>
    <row r="1735" spans="1:1">
      <c r="A1735" s="32"/>
    </row>
    <row r="1736" spans="1:1">
      <c r="A1736" s="32"/>
    </row>
    <row r="1737" spans="1:1">
      <c r="A1737" s="32"/>
    </row>
    <row r="1738" spans="1:1">
      <c r="A1738" s="32"/>
    </row>
    <row r="1739" spans="1:1">
      <c r="A1739" s="32"/>
    </row>
    <row r="1740" spans="1:1">
      <c r="A1740" s="32"/>
    </row>
    <row r="1741" spans="1:1">
      <c r="A1741" s="32"/>
    </row>
    <row r="1742" spans="1:1">
      <c r="A1742" s="32"/>
    </row>
    <row r="1743" spans="1:1">
      <c r="A1743" s="32"/>
    </row>
    <row r="1744" spans="1:1">
      <c r="A1744" s="32"/>
    </row>
    <row r="1745" spans="1:1">
      <c r="A1745" s="32"/>
    </row>
    <row r="1746" spans="1:1">
      <c r="A1746" s="32"/>
    </row>
    <row r="1747" spans="1:1">
      <c r="A1747" s="32"/>
    </row>
    <row r="1748" spans="1:1">
      <c r="A1748" s="32"/>
    </row>
    <row r="1749" spans="1:1">
      <c r="A1749" s="32"/>
    </row>
    <row r="1750" spans="1:1">
      <c r="A1750" s="32"/>
    </row>
    <row r="1751" spans="1:1">
      <c r="A1751" s="32"/>
    </row>
    <row r="1752" spans="1:1">
      <c r="A1752" s="32"/>
    </row>
    <row r="1753" spans="1:1">
      <c r="A1753" s="32"/>
    </row>
    <row r="1754" spans="1:1">
      <c r="A1754" s="32"/>
    </row>
    <row r="1755" spans="1:1">
      <c r="A1755" s="32"/>
    </row>
    <row r="1756" spans="1:1">
      <c r="A1756" s="32"/>
    </row>
    <row r="1757" spans="1:1">
      <c r="A1757" s="32"/>
    </row>
    <row r="1758" spans="1:1">
      <c r="A1758" s="32"/>
    </row>
    <row r="1759" spans="1:1">
      <c r="A1759" s="32"/>
    </row>
    <row r="1760" spans="1:1">
      <c r="A1760" s="32"/>
    </row>
    <row r="1761" spans="1:1">
      <c r="A1761" s="32"/>
    </row>
    <row r="1762" spans="1:1">
      <c r="A1762" s="32"/>
    </row>
    <row r="1763" spans="1:1">
      <c r="A1763" s="32"/>
    </row>
    <row r="1764" spans="1:1">
      <c r="A1764" s="32"/>
    </row>
    <row r="1765" spans="1:1">
      <c r="A1765" s="32"/>
    </row>
    <row r="1766" spans="1:1">
      <c r="A1766" s="32"/>
    </row>
    <row r="1767" spans="1:1">
      <c r="A1767" s="32"/>
    </row>
    <row r="1768" spans="1:1">
      <c r="A1768" s="32"/>
    </row>
    <row r="1769" spans="1:1">
      <c r="A1769" s="32"/>
    </row>
    <row r="1770" spans="1:1">
      <c r="A1770" s="32"/>
    </row>
    <row r="1771" spans="1:1">
      <c r="A1771" s="32"/>
    </row>
    <row r="1772" spans="1:1">
      <c r="A1772" s="32"/>
    </row>
    <row r="1773" spans="1:1">
      <c r="A1773" s="32"/>
    </row>
    <row r="1774" spans="1:1">
      <c r="A1774" s="32"/>
    </row>
    <row r="1775" spans="1:1">
      <c r="A1775" s="32"/>
    </row>
    <row r="1776" spans="1:1">
      <c r="A1776" s="32"/>
    </row>
    <row r="1777" spans="1:1">
      <c r="A1777" s="32"/>
    </row>
    <row r="1778" spans="1:1">
      <c r="A1778" s="32"/>
    </row>
    <row r="1779" spans="1:1">
      <c r="A1779" s="32"/>
    </row>
    <row r="1780" spans="1:1">
      <c r="A1780" s="32"/>
    </row>
    <row r="1781" spans="1:1">
      <c r="A1781" s="32"/>
    </row>
    <row r="1782" spans="1:1">
      <c r="A1782" s="32"/>
    </row>
    <row r="1783" spans="1:1">
      <c r="A1783" s="32"/>
    </row>
    <row r="1784" spans="1:1">
      <c r="A1784" s="32"/>
    </row>
    <row r="1785" spans="1:1">
      <c r="A1785" s="32"/>
    </row>
    <row r="1786" spans="1:1">
      <c r="A1786" s="32"/>
    </row>
    <row r="1787" spans="1:1">
      <c r="A1787" s="32"/>
    </row>
    <row r="1788" spans="1:1">
      <c r="A1788" s="32"/>
    </row>
    <row r="1789" spans="1:1">
      <c r="A1789" s="32"/>
    </row>
    <row r="1790" spans="1:1">
      <c r="A1790" s="32"/>
    </row>
    <row r="1791" spans="1:1">
      <c r="A1791" s="32"/>
    </row>
    <row r="1792" spans="1:1">
      <c r="A1792" s="32"/>
    </row>
    <row r="1793" spans="1:1">
      <c r="A1793" s="32"/>
    </row>
    <row r="1794" spans="1:1">
      <c r="A1794" s="32"/>
    </row>
    <row r="1795" spans="1:1">
      <c r="A1795" s="32"/>
    </row>
    <row r="1796" spans="1:1">
      <c r="A1796" s="32"/>
    </row>
    <row r="1797" spans="1:1">
      <c r="A1797" s="32"/>
    </row>
    <row r="1798" spans="1:1">
      <c r="A1798" s="32"/>
    </row>
    <row r="1799" spans="1:1">
      <c r="A1799" s="32"/>
    </row>
    <row r="1800" spans="1:1">
      <c r="A1800" s="32"/>
    </row>
    <row r="1801" spans="1:1">
      <c r="A1801" s="32"/>
    </row>
    <row r="1802" spans="1:1">
      <c r="A1802" s="32"/>
    </row>
    <row r="1803" spans="1:1">
      <c r="A1803" s="32"/>
    </row>
    <row r="1804" spans="1:1">
      <c r="A1804" s="32"/>
    </row>
    <row r="1805" spans="1:1">
      <c r="A1805" s="32"/>
    </row>
    <row r="1806" spans="1:1">
      <c r="A1806" s="32"/>
    </row>
    <row r="1807" spans="1:1">
      <c r="A1807" s="32"/>
    </row>
    <row r="1808" spans="1:1">
      <c r="A1808" s="32"/>
    </row>
    <row r="1809" spans="1:1">
      <c r="A1809" s="32"/>
    </row>
    <row r="1810" spans="1:1">
      <c r="A1810" s="32"/>
    </row>
    <row r="1811" spans="1:1">
      <c r="A1811" s="32"/>
    </row>
    <row r="1812" spans="1:1">
      <c r="A1812" s="32"/>
    </row>
    <row r="1813" spans="1:1">
      <c r="A1813" s="32"/>
    </row>
    <row r="1814" spans="1:1">
      <c r="A1814" s="32"/>
    </row>
    <row r="1815" spans="1:1">
      <c r="A1815" s="32"/>
    </row>
    <row r="1816" spans="1:1">
      <c r="A1816" s="32"/>
    </row>
    <row r="1817" spans="1:1">
      <c r="A1817" s="32"/>
    </row>
    <row r="1818" spans="1:1">
      <c r="A1818" s="32"/>
    </row>
    <row r="1819" spans="1:1">
      <c r="A1819" s="32"/>
    </row>
    <row r="1820" spans="1:1">
      <c r="A1820" s="32"/>
    </row>
    <row r="1821" spans="1:1">
      <c r="A1821" s="32"/>
    </row>
    <row r="1822" spans="1:1">
      <c r="A1822" s="32"/>
    </row>
    <row r="1823" spans="1:1">
      <c r="A1823" s="32"/>
    </row>
    <row r="1824" spans="1:1">
      <c r="A1824" s="32"/>
    </row>
    <row r="1825" spans="1:1">
      <c r="A1825" s="32"/>
    </row>
    <row r="1826" spans="1:1">
      <c r="A1826" s="32"/>
    </row>
    <row r="1827" spans="1:1">
      <c r="A1827" s="32"/>
    </row>
    <row r="1828" spans="1:1">
      <c r="A1828" s="32"/>
    </row>
    <row r="1829" spans="1:1">
      <c r="A1829" s="32"/>
    </row>
    <row r="1830" spans="1:1">
      <c r="A1830" s="32"/>
    </row>
    <row r="1831" spans="1:1">
      <c r="A1831" s="32"/>
    </row>
    <row r="1832" spans="1:1">
      <c r="A1832" s="32"/>
    </row>
    <row r="1833" spans="1:1">
      <c r="A1833" s="32"/>
    </row>
    <row r="1834" spans="1:1">
      <c r="A1834" s="32"/>
    </row>
    <row r="1835" spans="1:1">
      <c r="A1835" s="32"/>
    </row>
    <row r="1836" spans="1:1">
      <c r="A1836" s="32"/>
    </row>
    <row r="1837" spans="1:1">
      <c r="A1837" s="32"/>
    </row>
    <row r="1838" spans="1:1">
      <c r="A1838" s="32"/>
    </row>
    <row r="1839" spans="1:1">
      <c r="A1839" s="32"/>
    </row>
    <row r="1840" spans="1:1">
      <c r="A1840" s="32"/>
    </row>
    <row r="1841" spans="1:1">
      <c r="A1841" s="32"/>
    </row>
    <row r="1842" spans="1:1">
      <c r="A1842" s="32"/>
    </row>
    <row r="1843" spans="1:1">
      <c r="A1843" s="32"/>
    </row>
    <row r="1844" spans="1:1">
      <c r="A1844" s="32"/>
    </row>
    <row r="1845" spans="1:1">
      <c r="A1845" s="32"/>
    </row>
    <row r="1846" spans="1:1">
      <c r="A1846" s="32"/>
    </row>
    <row r="1847" spans="1:1">
      <c r="A1847" s="32"/>
    </row>
    <row r="1848" spans="1:1">
      <c r="A1848" s="32"/>
    </row>
    <row r="1849" spans="1:1">
      <c r="A1849" s="32"/>
    </row>
    <row r="1850" spans="1:1">
      <c r="A1850" s="32"/>
    </row>
    <row r="1851" spans="1:1">
      <c r="A1851" s="32"/>
    </row>
    <row r="1852" spans="1:1">
      <c r="A1852" s="32"/>
    </row>
    <row r="1853" spans="1:1">
      <c r="A1853" s="32"/>
    </row>
    <row r="1854" spans="1:1">
      <c r="A1854" s="32"/>
    </row>
    <row r="1855" spans="1:1">
      <c r="A1855" s="32"/>
    </row>
    <row r="1856" spans="1:1">
      <c r="A1856" s="32"/>
    </row>
    <row r="1857" spans="1:1">
      <c r="A1857" s="32"/>
    </row>
    <row r="1858" spans="1:1">
      <c r="A1858" s="32"/>
    </row>
    <row r="1859" spans="1:1">
      <c r="A1859" s="32"/>
    </row>
    <row r="1860" spans="1:1">
      <c r="A1860" s="32"/>
    </row>
    <row r="1861" spans="1:1">
      <c r="A1861" s="32"/>
    </row>
    <row r="1862" spans="1:1">
      <c r="A1862" s="32"/>
    </row>
    <row r="1863" spans="1:1">
      <c r="A1863" s="32"/>
    </row>
    <row r="1864" spans="1:1">
      <c r="A1864" s="32"/>
    </row>
    <row r="1865" spans="1:1">
      <c r="A1865" s="32"/>
    </row>
    <row r="1866" spans="1:1">
      <c r="A1866" s="32"/>
    </row>
    <row r="1867" spans="1:1">
      <c r="A1867" s="32"/>
    </row>
    <row r="1868" spans="1:1">
      <c r="A1868" s="32"/>
    </row>
    <row r="1869" spans="1:1">
      <c r="A1869" s="32"/>
    </row>
    <row r="1870" spans="1:1">
      <c r="A1870" s="32"/>
    </row>
    <row r="1871" spans="1:1">
      <c r="A1871" s="32"/>
    </row>
    <row r="1872" spans="1:1">
      <c r="A1872" s="32"/>
    </row>
    <row r="1873" spans="1:1">
      <c r="A1873" s="32"/>
    </row>
    <row r="1874" spans="1:1">
      <c r="A1874" s="32"/>
    </row>
    <row r="1875" spans="1:1">
      <c r="A1875" s="32"/>
    </row>
    <row r="1876" spans="1:1">
      <c r="A1876" s="32"/>
    </row>
    <row r="1877" spans="1:1">
      <c r="A1877" s="32"/>
    </row>
    <row r="1878" spans="1:1">
      <c r="A1878" s="32"/>
    </row>
    <row r="1879" spans="1:1">
      <c r="A1879" s="32"/>
    </row>
    <row r="1880" spans="1:1">
      <c r="A1880" s="32"/>
    </row>
    <row r="1881" spans="1:1">
      <c r="A1881" s="32"/>
    </row>
    <row r="1882" spans="1:1">
      <c r="A1882" s="32"/>
    </row>
    <row r="1883" spans="1:1">
      <c r="A1883" s="32"/>
    </row>
    <row r="1884" spans="1:1">
      <c r="A1884" s="32"/>
    </row>
    <row r="1885" spans="1:1">
      <c r="A1885" s="32"/>
    </row>
    <row r="1886" spans="1:1">
      <c r="A1886" s="32"/>
    </row>
    <row r="1887" spans="1:1">
      <c r="A1887" s="32"/>
    </row>
    <row r="1888" spans="1:1">
      <c r="A1888" s="32"/>
    </row>
    <row r="1889" spans="1:1">
      <c r="A1889" s="32"/>
    </row>
    <row r="1890" spans="1:1">
      <c r="A1890" s="32"/>
    </row>
    <row r="1891" spans="1:1">
      <c r="A1891" s="32"/>
    </row>
    <row r="1892" spans="1:1">
      <c r="A1892" s="32"/>
    </row>
    <row r="1893" spans="1:1">
      <c r="A1893" s="32"/>
    </row>
    <row r="1894" spans="1:1">
      <c r="A1894" s="32"/>
    </row>
    <row r="1895" spans="1:1">
      <c r="A1895" s="32"/>
    </row>
    <row r="1896" spans="1:1">
      <c r="A1896" s="32"/>
    </row>
    <row r="1897" spans="1:1">
      <c r="A1897" s="32"/>
    </row>
    <row r="1898" spans="1:1">
      <c r="A1898" s="32"/>
    </row>
    <row r="1899" spans="1:1">
      <c r="A1899" s="32"/>
    </row>
    <row r="1900" spans="1:1">
      <c r="A1900" s="32"/>
    </row>
    <row r="1901" spans="1:1">
      <c r="A1901" s="32"/>
    </row>
    <row r="1902" spans="1:1">
      <c r="A1902" s="32"/>
    </row>
    <row r="1903" spans="1:1">
      <c r="A1903" s="32"/>
    </row>
    <row r="1904" spans="1:1">
      <c r="A1904" s="32"/>
    </row>
    <row r="1905" spans="1:1">
      <c r="A1905" s="32"/>
    </row>
    <row r="1906" spans="1:1">
      <c r="A1906" s="32"/>
    </row>
    <row r="1907" spans="1:1">
      <c r="A1907" s="32"/>
    </row>
    <row r="1908" spans="1:1">
      <c r="A1908" s="32"/>
    </row>
    <row r="1909" spans="1:1">
      <c r="A1909" s="32"/>
    </row>
    <row r="1910" spans="1:1">
      <c r="A1910" s="32"/>
    </row>
    <row r="1911" spans="1:1">
      <c r="A1911" s="32"/>
    </row>
    <row r="1912" spans="1:1">
      <c r="A1912" s="32"/>
    </row>
    <row r="1913" spans="1:1">
      <c r="A1913" s="32"/>
    </row>
    <row r="1914" spans="1:1">
      <c r="A1914" s="32"/>
    </row>
    <row r="1915" spans="1:1">
      <c r="A1915" s="32"/>
    </row>
    <row r="1916" spans="1:1">
      <c r="A1916" s="32"/>
    </row>
    <row r="1917" spans="1:1">
      <c r="A1917" s="32"/>
    </row>
    <row r="1918" spans="1:1">
      <c r="A1918" s="32"/>
    </row>
    <row r="1919" spans="1:1">
      <c r="A1919" s="32"/>
    </row>
    <row r="1920" spans="1:1">
      <c r="A1920" s="32"/>
    </row>
    <row r="1921" spans="1:1">
      <c r="A1921" s="32"/>
    </row>
    <row r="1922" spans="1:1">
      <c r="A1922" s="32"/>
    </row>
    <row r="1923" spans="1:1">
      <c r="A1923" s="32"/>
    </row>
    <row r="1924" spans="1:1">
      <c r="A1924" s="32"/>
    </row>
    <row r="1925" spans="1:1">
      <c r="A1925" s="32"/>
    </row>
    <row r="1926" spans="1:1">
      <c r="A1926" s="32"/>
    </row>
    <row r="1927" spans="1:1">
      <c r="A1927" s="32"/>
    </row>
    <row r="1928" spans="1:1">
      <c r="A1928" s="32"/>
    </row>
    <row r="1929" spans="1:1">
      <c r="A1929" s="32"/>
    </row>
    <row r="1930" spans="1:1">
      <c r="A1930" s="32"/>
    </row>
    <row r="1931" spans="1:1">
      <c r="A1931" s="32"/>
    </row>
    <row r="1932" spans="1:1">
      <c r="A1932" s="32"/>
    </row>
    <row r="1933" spans="1:1">
      <c r="A1933" s="32"/>
    </row>
    <row r="1934" spans="1:1">
      <c r="A1934" s="32"/>
    </row>
    <row r="1935" spans="1:1">
      <c r="A1935" s="32"/>
    </row>
    <row r="1936" spans="1:1">
      <c r="A1936" s="32"/>
    </row>
    <row r="1937" spans="1:1">
      <c r="A1937" s="32"/>
    </row>
    <row r="1938" spans="1:1">
      <c r="A1938" s="32"/>
    </row>
    <row r="1939" spans="1:1">
      <c r="A1939" s="32"/>
    </row>
    <row r="1940" spans="1:1">
      <c r="A1940" s="32"/>
    </row>
    <row r="1941" spans="1:1">
      <c r="A1941" s="32"/>
    </row>
    <row r="1942" spans="1:1">
      <c r="A1942" s="32"/>
    </row>
    <row r="1943" spans="1:1">
      <c r="A1943" s="32"/>
    </row>
    <row r="1944" spans="1:1">
      <c r="A1944" s="32"/>
    </row>
    <row r="1945" spans="1:1">
      <c r="A1945" s="32"/>
    </row>
    <row r="1946" spans="1:1">
      <c r="A1946" s="32"/>
    </row>
    <row r="1947" spans="1:1">
      <c r="A1947" s="32"/>
    </row>
    <row r="1948" spans="1:1">
      <c r="A1948" s="32"/>
    </row>
    <row r="1949" spans="1:1">
      <c r="A1949" s="32"/>
    </row>
    <row r="1950" spans="1:1">
      <c r="A1950" s="32"/>
    </row>
    <row r="1951" spans="1:1">
      <c r="A1951" s="32"/>
    </row>
    <row r="1952" spans="1:1">
      <c r="A1952" s="32"/>
    </row>
    <row r="1953" spans="1:1">
      <c r="A1953" s="32"/>
    </row>
    <row r="1954" spans="1:1">
      <c r="A1954" s="32"/>
    </row>
    <row r="1955" spans="1:1">
      <c r="A1955" s="32"/>
    </row>
    <row r="1956" spans="1:1">
      <c r="A1956" s="32"/>
    </row>
    <row r="1957" spans="1:1">
      <c r="A1957" s="32"/>
    </row>
    <row r="1958" spans="1:1">
      <c r="A1958" s="32"/>
    </row>
    <row r="1959" spans="1:1">
      <c r="A1959" s="32"/>
    </row>
    <row r="1960" spans="1:1">
      <c r="A1960" s="32"/>
    </row>
    <row r="1961" spans="1:1">
      <c r="A1961" s="32"/>
    </row>
    <row r="1962" spans="1:1">
      <c r="A1962" s="32"/>
    </row>
    <row r="1963" spans="1:1">
      <c r="A1963" s="32"/>
    </row>
    <row r="1964" spans="1:1">
      <c r="A1964" s="32"/>
    </row>
    <row r="1965" spans="1:1">
      <c r="A1965" s="32"/>
    </row>
    <row r="1966" spans="1:1">
      <c r="A1966" s="32"/>
    </row>
    <row r="1967" spans="1:1">
      <c r="A1967" s="32"/>
    </row>
    <row r="1968" spans="1:1">
      <c r="A1968" s="32"/>
    </row>
    <row r="1969" spans="1:1">
      <c r="A1969" s="32"/>
    </row>
    <row r="1970" spans="1:1">
      <c r="A1970" s="32"/>
    </row>
    <row r="1971" spans="1:1">
      <c r="A1971" s="32"/>
    </row>
    <row r="1972" spans="1:1">
      <c r="A1972" s="32"/>
    </row>
    <row r="1973" spans="1:1">
      <c r="A1973" s="32"/>
    </row>
    <row r="1974" spans="1:1">
      <c r="A1974" s="32"/>
    </row>
    <row r="1975" spans="1:1">
      <c r="A1975" s="32"/>
    </row>
    <row r="1976" spans="1:1">
      <c r="A1976" s="32"/>
    </row>
    <row r="1977" spans="1:1">
      <c r="A1977" s="32"/>
    </row>
    <row r="1978" spans="1:1">
      <c r="A1978" s="32"/>
    </row>
    <row r="1979" spans="1:1">
      <c r="A1979" s="32"/>
    </row>
    <row r="1980" spans="1:1">
      <c r="A1980" s="32"/>
    </row>
    <row r="1981" spans="1:1">
      <c r="A1981" s="32"/>
    </row>
    <row r="1982" spans="1:1">
      <c r="A1982" s="32"/>
    </row>
    <row r="1983" spans="1:1">
      <c r="A1983" s="32"/>
    </row>
    <row r="1984" spans="1:1">
      <c r="A1984" s="32"/>
    </row>
    <row r="1985" spans="1:1">
      <c r="A1985" s="32"/>
    </row>
    <row r="1986" spans="1:1">
      <c r="A1986" s="32"/>
    </row>
    <row r="1987" spans="1:1">
      <c r="A1987" s="32"/>
    </row>
    <row r="1988" spans="1:1">
      <c r="A1988" s="32"/>
    </row>
    <row r="1989" spans="1:1">
      <c r="A1989" s="32"/>
    </row>
    <row r="1990" spans="1:1">
      <c r="A1990" s="32"/>
    </row>
    <row r="1991" spans="1:1">
      <c r="A1991" s="32"/>
    </row>
    <row r="1992" spans="1:1">
      <c r="A1992" s="32"/>
    </row>
    <row r="1993" spans="1:1">
      <c r="A1993" s="32"/>
    </row>
    <row r="1994" spans="1:1">
      <c r="A1994" s="32"/>
    </row>
    <row r="1995" spans="1:1">
      <c r="A1995" s="32"/>
    </row>
    <row r="1996" spans="1:1">
      <c r="A1996" s="32"/>
    </row>
    <row r="1997" spans="1:1">
      <c r="A1997" s="32"/>
    </row>
    <row r="1998" spans="1:1">
      <c r="A1998" s="32"/>
    </row>
    <row r="1999" spans="1:1">
      <c r="A1999" s="32"/>
    </row>
    <row r="2000" spans="1:1">
      <c r="A2000" s="32"/>
    </row>
    <row r="2001" spans="1:1">
      <c r="A2001" s="32"/>
    </row>
    <row r="2002" spans="1:1">
      <c r="A2002" s="32"/>
    </row>
    <row r="2003" spans="1:1">
      <c r="A2003" s="32"/>
    </row>
    <row r="2004" spans="1:1">
      <c r="A2004" s="32"/>
    </row>
    <row r="2005" spans="1:1">
      <c r="A2005" s="32"/>
    </row>
    <row r="2006" spans="1:1">
      <c r="A2006" s="32"/>
    </row>
    <row r="2007" spans="1:1">
      <c r="A2007" s="32"/>
    </row>
    <row r="2008" spans="1:1">
      <c r="A2008" s="32"/>
    </row>
    <row r="2009" spans="1:1">
      <c r="A2009" s="32"/>
    </row>
    <row r="2010" spans="1:1">
      <c r="A2010" s="32"/>
    </row>
    <row r="2011" spans="1:1">
      <c r="A2011" s="32"/>
    </row>
    <row r="2012" spans="1:1">
      <c r="A2012" s="32"/>
    </row>
    <row r="2013" spans="1:1">
      <c r="A2013" s="32"/>
    </row>
    <row r="2014" spans="1:1">
      <c r="A2014" s="32"/>
    </row>
    <row r="2015" spans="1:1">
      <c r="A2015" s="32"/>
    </row>
    <row r="2016" spans="1:1">
      <c r="A2016" s="32"/>
    </row>
    <row r="2017" spans="1:1">
      <c r="A2017" s="32"/>
    </row>
    <row r="2018" spans="1:1">
      <c r="A2018" s="32"/>
    </row>
    <row r="2019" spans="1:1">
      <c r="A2019" s="32"/>
    </row>
    <row r="2020" spans="1:1">
      <c r="A2020" s="32"/>
    </row>
    <row r="2021" spans="1:1">
      <c r="A2021" s="32"/>
    </row>
    <row r="2022" spans="1:1">
      <c r="A2022" s="32"/>
    </row>
    <row r="2023" spans="1:1">
      <c r="A2023" s="32"/>
    </row>
    <row r="2024" spans="1:1">
      <c r="A2024" s="32"/>
    </row>
    <row r="2025" spans="1:1">
      <c r="A2025" s="32"/>
    </row>
    <row r="2026" spans="1:1">
      <c r="A2026" s="32"/>
    </row>
    <row r="2027" spans="1:1">
      <c r="A2027" s="32"/>
    </row>
    <row r="2028" spans="1:1">
      <c r="A2028" s="32"/>
    </row>
    <row r="2029" spans="1:1">
      <c r="A2029" s="32"/>
    </row>
    <row r="2030" spans="1:1">
      <c r="A2030" s="32"/>
    </row>
    <row r="2031" spans="1:1">
      <c r="A2031" s="32"/>
    </row>
    <row r="2032" spans="1:1">
      <c r="A2032" s="32"/>
    </row>
    <row r="2033" spans="1:1">
      <c r="A2033" s="32"/>
    </row>
    <row r="2034" spans="1:1">
      <c r="A2034" s="32"/>
    </row>
    <row r="2035" spans="1:1">
      <c r="A2035" s="32"/>
    </row>
    <row r="2036" spans="1:1">
      <c r="A2036" s="32"/>
    </row>
    <row r="2037" spans="1:1">
      <c r="A2037" s="32"/>
    </row>
    <row r="2038" spans="1:1">
      <c r="A2038" s="32"/>
    </row>
    <row r="2039" spans="1:1">
      <c r="A2039" s="32"/>
    </row>
    <row r="2040" spans="1:1">
      <c r="A2040" s="32"/>
    </row>
    <row r="2041" spans="1:1">
      <c r="A2041" s="32"/>
    </row>
    <row r="2042" spans="1:1">
      <c r="A2042" s="32"/>
    </row>
    <row r="2043" spans="1:1">
      <c r="A2043" s="32"/>
    </row>
    <row r="2044" spans="1:1">
      <c r="A2044" s="32"/>
    </row>
    <row r="2045" spans="1:1">
      <c r="A2045" s="32"/>
    </row>
    <row r="2046" spans="1:1">
      <c r="A2046" s="32"/>
    </row>
    <row r="2047" spans="1:1">
      <c r="A2047" s="32"/>
    </row>
    <row r="2048" spans="1:1">
      <c r="A2048" s="32"/>
    </row>
    <row r="2049" spans="1:1">
      <c r="A2049" s="32"/>
    </row>
    <row r="2050" spans="1:1">
      <c r="A2050" s="32"/>
    </row>
    <row r="2051" spans="1:1">
      <c r="A2051" s="32"/>
    </row>
    <row r="2052" spans="1:1">
      <c r="A2052" s="32"/>
    </row>
    <row r="2053" spans="1:1">
      <c r="A2053" s="32"/>
    </row>
    <row r="2054" spans="1:1">
      <c r="A2054" s="32"/>
    </row>
    <row r="2055" spans="1:1">
      <c r="A2055" s="32"/>
    </row>
    <row r="2056" spans="1:1">
      <c r="A2056" s="32"/>
    </row>
    <row r="2057" spans="1:1">
      <c r="A2057" s="32"/>
    </row>
    <row r="2058" spans="1:1">
      <c r="A2058" s="32"/>
    </row>
    <row r="2059" spans="1:1">
      <c r="A2059" s="32"/>
    </row>
    <row r="2060" spans="1:1">
      <c r="A2060" s="32"/>
    </row>
    <row r="2061" spans="1:1">
      <c r="A2061" s="32"/>
    </row>
    <row r="2062" spans="1:1">
      <c r="A2062" s="32"/>
    </row>
    <row r="2063" spans="1:1">
      <c r="A2063" s="32"/>
    </row>
    <row r="2064" spans="1:1">
      <c r="A2064" s="32"/>
    </row>
    <row r="2065" spans="1:1">
      <c r="A2065" s="32"/>
    </row>
    <row r="2066" spans="1:1">
      <c r="A2066" s="32"/>
    </row>
    <row r="2067" spans="1:1">
      <c r="A2067" s="32"/>
    </row>
    <row r="2068" spans="1:1">
      <c r="A2068" s="32"/>
    </row>
    <row r="2069" spans="1:1">
      <c r="A2069" s="32"/>
    </row>
    <row r="2070" spans="1:1">
      <c r="A2070" s="32"/>
    </row>
    <row r="2071" spans="1:1">
      <c r="A2071" s="32"/>
    </row>
    <row r="2072" spans="1:1">
      <c r="A2072" s="32"/>
    </row>
    <row r="2073" spans="1:1">
      <c r="A2073" s="32"/>
    </row>
    <row r="2074" spans="1:1">
      <c r="A2074" s="32"/>
    </row>
    <row r="2075" spans="1:1">
      <c r="A2075" s="32"/>
    </row>
    <row r="2076" spans="1:1">
      <c r="A2076" s="32"/>
    </row>
    <row r="2077" spans="1:1">
      <c r="A2077" s="32"/>
    </row>
    <row r="2078" spans="1:1">
      <c r="A2078" s="32"/>
    </row>
    <row r="2079" spans="1:1">
      <c r="A2079" s="32"/>
    </row>
    <row r="2080" spans="1:1">
      <c r="A2080" s="32"/>
    </row>
    <row r="2081" spans="1:1">
      <c r="A2081" s="32"/>
    </row>
    <row r="2082" spans="1:1">
      <c r="A2082" s="32"/>
    </row>
    <row r="2083" spans="1:1">
      <c r="A2083" s="32"/>
    </row>
    <row r="2084" spans="1:1">
      <c r="A2084" s="32"/>
    </row>
    <row r="2085" spans="1:1">
      <c r="A2085" s="32"/>
    </row>
    <row r="2086" spans="1:1">
      <c r="A2086" s="32"/>
    </row>
    <row r="2087" spans="1:1">
      <c r="A2087" s="32"/>
    </row>
    <row r="2088" spans="1:1">
      <c r="A2088" s="32"/>
    </row>
    <row r="2089" spans="1:1">
      <c r="A2089" s="32"/>
    </row>
    <row r="2090" spans="1:1">
      <c r="A2090" s="32"/>
    </row>
    <row r="2091" spans="1:1">
      <c r="A2091" s="32"/>
    </row>
    <row r="2092" spans="1:1">
      <c r="A2092" s="32"/>
    </row>
    <row r="2093" spans="1:1">
      <c r="A2093" s="32"/>
    </row>
    <row r="2094" spans="1:1">
      <c r="A2094" s="32"/>
    </row>
    <row r="2095" spans="1:1">
      <c r="A2095" s="32"/>
    </row>
    <row r="2096" spans="1:1">
      <c r="A2096" s="32"/>
    </row>
    <row r="2097" spans="1:1">
      <c r="A2097" s="32"/>
    </row>
    <row r="2098" spans="1:1">
      <c r="A2098" s="32"/>
    </row>
    <row r="2099" spans="1:1">
      <c r="A2099" s="32"/>
    </row>
    <row r="2100" spans="1:1">
      <c r="A2100" s="32"/>
    </row>
    <row r="2101" spans="1:1">
      <c r="A2101" s="32"/>
    </row>
    <row r="2102" spans="1:1">
      <c r="A2102" s="32"/>
    </row>
    <row r="2103" spans="1:1">
      <c r="A2103" s="32"/>
    </row>
    <row r="2104" spans="1:1">
      <c r="A2104" s="32"/>
    </row>
    <row r="2105" spans="1:1">
      <c r="A2105" s="32"/>
    </row>
    <row r="2106" spans="1:1">
      <c r="A2106" s="32"/>
    </row>
    <row r="2107" spans="1:1">
      <c r="A2107" s="32"/>
    </row>
    <row r="2108" spans="1:1">
      <c r="A2108" s="32"/>
    </row>
    <row r="2109" spans="1:1">
      <c r="A2109" s="32"/>
    </row>
    <row r="2110" spans="1:1">
      <c r="A2110" s="32"/>
    </row>
    <row r="2111" spans="1:1">
      <c r="A2111" s="32"/>
    </row>
    <row r="2112" spans="1:1">
      <c r="A2112" s="32"/>
    </row>
    <row r="2113" spans="1:1">
      <c r="A2113" s="32"/>
    </row>
    <row r="2114" spans="1:1">
      <c r="A2114" s="32"/>
    </row>
    <row r="2115" spans="1:1">
      <c r="A2115" s="32"/>
    </row>
    <row r="2116" spans="1:1">
      <c r="A2116" s="32"/>
    </row>
    <row r="2117" spans="1:1">
      <c r="A2117" s="32"/>
    </row>
    <row r="2118" spans="1:1">
      <c r="A2118" s="32"/>
    </row>
    <row r="2119" spans="1:1">
      <c r="A2119" s="32"/>
    </row>
    <row r="2120" spans="1:1">
      <c r="A2120" s="32"/>
    </row>
    <row r="2121" spans="1:1">
      <c r="A2121" s="32"/>
    </row>
    <row r="2122" spans="1:1">
      <c r="A2122" s="32"/>
    </row>
    <row r="2123" spans="1:1">
      <c r="A2123" s="32"/>
    </row>
    <row r="2124" spans="1:1">
      <c r="A2124" s="32"/>
    </row>
    <row r="2125" spans="1:1">
      <c r="A2125" s="32"/>
    </row>
    <row r="2126" spans="1:1">
      <c r="A2126" s="32"/>
    </row>
    <row r="2127" spans="1:1">
      <c r="A2127" s="32"/>
    </row>
    <row r="2128" spans="1:1">
      <c r="A2128" s="32"/>
    </row>
    <row r="2129" spans="1:1">
      <c r="A2129" s="32"/>
    </row>
    <row r="2130" spans="1:1">
      <c r="A2130" s="32"/>
    </row>
    <row r="2131" spans="1:1">
      <c r="A2131" s="32"/>
    </row>
    <row r="2132" spans="1:1">
      <c r="A2132" s="32"/>
    </row>
    <row r="2133" spans="1:1">
      <c r="A2133" s="32"/>
    </row>
    <row r="2134" spans="1:1">
      <c r="A2134" s="32"/>
    </row>
    <row r="2135" spans="1:1">
      <c r="A2135" s="32"/>
    </row>
    <row r="2136" spans="1:1">
      <c r="A2136" s="32"/>
    </row>
    <row r="2137" spans="1:1">
      <c r="A2137" s="32"/>
    </row>
    <row r="2138" spans="1:1">
      <c r="A2138" s="32"/>
    </row>
    <row r="2139" spans="1:1">
      <c r="A2139" s="32"/>
    </row>
    <row r="2140" spans="1:1">
      <c r="A2140" s="32"/>
    </row>
    <row r="2141" spans="1:1">
      <c r="A2141" s="32"/>
    </row>
    <row r="2142" spans="1:1">
      <c r="A2142" s="32"/>
    </row>
    <row r="2143" spans="1:1">
      <c r="A2143" s="32"/>
    </row>
    <row r="2144" spans="1:1">
      <c r="A2144" s="32"/>
    </row>
    <row r="2145" spans="1:1">
      <c r="A2145" s="32"/>
    </row>
    <row r="2146" spans="1:1">
      <c r="A2146" s="32"/>
    </row>
    <row r="2147" spans="1:1">
      <c r="A2147" s="32"/>
    </row>
    <row r="2148" spans="1:1">
      <c r="A2148" s="32"/>
    </row>
    <row r="2149" spans="1:1">
      <c r="A2149" s="32"/>
    </row>
    <row r="2150" spans="1:1">
      <c r="A2150" s="32"/>
    </row>
    <row r="2151" spans="1:1">
      <c r="A2151" s="32"/>
    </row>
    <row r="2152" spans="1:1">
      <c r="A2152" s="32"/>
    </row>
    <row r="2153" spans="1:1">
      <c r="A2153" s="32"/>
    </row>
    <row r="2154" spans="1:1">
      <c r="A2154" s="32"/>
    </row>
    <row r="2155" spans="1:1">
      <c r="A2155" s="32"/>
    </row>
    <row r="2156" spans="1:1">
      <c r="A2156" s="32"/>
    </row>
    <row r="2157" spans="1:1">
      <c r="A2157" s="32"/>
    </row>
    <row r="2158" spans="1:1">
      <c r="A2158" s="32"/>
    </row>
    <row r="2159" spans="1:1">
      <c r="A2159" s="32"/>
    </row>
    <row r="2160" spans="1:1">
      <c r="A2160" s="32"/>
    </row>
    <row r="2161" spans="1:1">
      <c r="A2161" s="32"/>
    </row>
    <row r="2162" spans="1:1">
      <c r="A2162" s="32"/>
    </row>
    <row r="2163" spans="1:1">
      <c r="A2163" s="32"/>
    </row>
    <row r="2164" spans="1:1">
      <c r="A2164" s="32"/>
    </row>
    <row r="2165" spans="1:1">
      <c r="A2165" s="32"/>
    </row>
    <row r="2166" spans="1:1">
      <c r="A2166" s="32"/>
    </row>
    <row r="2167" spans="1:1">
      <c r="A2167" s="32"/>
    </row>
    <row r="2168" spans="1:1">
      <c r="A2168" s="32"/>
    </row>
    <row r="2169" spans="1:1">
      <c r="A2169" s="32"/>
    </row>
    <row r="2170" spans="1:1">
      <c r="A2170" s="32"/>
    </row>
    <row r="2171" spans="1:1">
      <c r="A2171" s="32"/>
    </row>
    <row r="2172" spans="1:1">
      <c r="A2172" s="32"/>
    </row>
    <row r="2173" spans="1:1">
      <c r="A2173" s="32"/>
    </row>
    <row r="2174" spans="1:1">
      <c r="A2174" s="32"/>
    </row>
    <row r="2175" spans="1:1">
      <c r="A2175" s="32"/>
    </row>
    <row r="2176" spans="1:1">
      <c r="A2176" s="32"/>
    </row>
    <row r="2177" spans="1:1">
      <c r="A2177" s="32"/>
    </row>
    <row r="2178" spans="1:1">
      <c r="A2178" s="32"/>
    </row>
    <row r="2179" spans="1:1">
      <c r="A2179" s="32"/>
    </row>
    <row r="2180" spans="1:1">
      <c r="A2180" s="32"/>
    </row>
    <row r="2181" spans="1:1">
      <c r="A2181" s="32"/>
    </row>
    <row r="2182" spans="1:1">
      <c r="A2182" s="32"/>
    </row>
    <row r="2183" spans="1:1">
      <c r="A2183" s="32"/>
    </row>
    <row r="2184" spans="1:1">
      <c r="A2184" s="32"/>
    </row>
    <row r="2185" spans="1:1">
      <c r="A2185" s="32"/>
    </row>
    <row r="2186" spans="1:1">
      <c r="A2186" s="32"/>
    </row>
    <row r="2187" spans="1:1">
      <c r="A2187" s="32"/>
    </row>
    <row r="2188" spans="1:1">
      <c r="A2188" s="32"/>
    </row>
    <row r="2189" spans="1:1">
      <c r="A2189" s="32"/>
    </row>
    <row r="2190" spans="1:1">
      <c r="A2190" s="32"/>
    </row>
    <row r="2191" spans="1:1">
      <c r="A2191" s="32"/>
    </row>
    <row r="2192" spans="1:1">
      <c r="A2192" s="32"/>
    </row>
    <row r="2193" spans="1:1">
      <c r="A2193" s="32"/>
    </row>
    <row r="2194" spans="1:1">
      <c r="A2194" s="32"/>
    </row>
    <row r="2195" spans="1:1">
      <c r="A2195" s="32"/>
    </row>
    <row r="2196" spans="1:1">
      <c r="A2196" s="32"/>
    </row>
    <row r="2197" spans="1:1">
      <c r="A2197" s="32"/>
    </row>
    <row r="2198" spans="1:1">
      <c r="A2198" s="32"/>
    </row>
    <row r="2199" spans="1:1">
      <c r="A2199" s="32"/>
    </row>
    <row r="2200" spans="1:1">
      <c r="A2200" s="32"/>
    </row>
    <row r="2201" spans="1:1">
      <c r="A2201" s="32"/>
    </row>
    <row r="2202" spans="1:1">
      <c r="A2202" s="32"/>
    </row>
    <row r="2203" spans="1:1">
      <c r="A2203" s="32"/>
    </row>
    <row r="2204" spans="1:1">
      <c r="A2204" s="32"/>
    </row>
    <row r="2205" spans="1:1">
      <c r="A2205" s="32"/>
    </row>
    <row r="2206" spans="1:1">
      <c r="A2206" s="32"/>
    </row>
    <row r="2207" spans="1:1">
      <c r="A2207" s="32"/>
    </row>
    <row r="2208" spans="1:1">
      <c r="A2208" s="32"/>
    </row>
    <row r="2209" spans="1:1">
      <c r="A2209" s="32"/>
    </row>
    <row r="2210" spans="1:1">
      <c r="A2210" s="32"/>
    </row>
    <row r="2211" spans="1:1">
      <c r="A2211" s="32"/>
    </row>
    <row r="2212" spans="1:1">
      <c r="A2212" s="32"/>
    </row>
    <row r="2213" spans="1:1">
      <c r="A2213" s="32"/>
    </row>
    <row r="2214" spans="1:1">
      <c r="A2214" s="32"/>
    </row>
    <row r="2215" spans="1:1">
      <c r="A2215" s="32"/>
    </row>
    <row r="2216" spans="1:1">
      <c r="A2216" s="32"/>
    </row>
    <row r="2217" spans="1:1">
      <c r="A2217" s="32"/>
    </row>
    <row r="2218" spans="1:1">
      <c r="A2218" s="32"/>
    </row>
    <row r="2219" spans="1:1">
      <c r="A2219" s="32"/>
    </row>
    <row r="2220" spans="1:1">
      <c r="A2220" s="32"/>
    </row>
    <row r="2221" spans="1:1">
      <c r="A2221" s="32"/>
    </row>
    <row r="2222" spans="1:1">
      <c r="A2222" s="32"/>
    </row>
    <row r="2223" spans="1:1">
      <c r="A2223" s="32"/>
    </row>
    <row r="2224" spans="1:1">
      <c r="A2224" s="32"/>
    </row>
    <row r="2225" spans="1:1">
      <c r="A2225" s="32"/>
    </row>
    <row r="2226" spans="1:1">
      <c r="A2226" s="32"/>
    </row>
    <row r="2227" spans="1:1">
      <c r="A2227" s="32"/>
    </row>
    <row r="2228" spans="1:1">
      <c r="A2228" s="32"/>
    </row>
    <row r="2229" spans="1:1">
      <c r="A2229" s="32"/>
    </row>
    <row r="2230" spans="1:1">
      <c r="A2230" s="32"/>
    </row>
    <row r="2231" spans="1:1">
      <c r="A2231" s="32"/>
    </row>
    <row r="2232" spans="1:1">
      <c r="A2232" s="32"/>
    </row>
    <row r="2233" spans="1:1">
      <c r="A2233" s="32"/>
    </row>
    <row r="2234" spans="1:1">
      <c r="A2234" s="32"/>
    </row>
    <row r="2235" spans="1:1">
      <c r="A2235" s="32"/>
    </row>
    <row r="2236" spans="1:1">
      <c r="A2236" s="32"/>
    </row>
    <row r="2237" spans="1:1">
      <c r="A2237" s="32"/>
    </row>
    <row r="2238" spans="1:1">
      <c r="A2238" s="32"/>
    </row>
    <row r="2239" spans="1:1">
      <c r="A2239" s="32"/>
    </row>
    <row r="2240" spans="1:1">
      <c r="A2240" s="32"/>
    </row>
    <row r="2241" spans="1:1">
      <c r="A2241" s="32"/>
    </row>
    <row r="2242" spans="1:1">
      <c r="A2242" s="32"/>
    </row>
    <row r="2243" spans="1:1">
      <c r="A2243" s="32"/>
    </row>
    <row r="2244" spans="1:1">
      <c r="A2244" s="32"/>
    </row>
    <row r="2245" spans="1:1">
      <c r="A2245" s="32"/>
    </row>
    <row r="2246" spans="1:1">
      <c r="A2246" s="32"/>
    </row>
    <row r="2247" spans="1:1">
      <c r="A2247" s="32"/>
    </row>
    <row r="2248" spans="1:1">
      <c r="A2248" s="32"/>
    </row>
    <row r="2249" spans="1:1">
      <c r="A2249" s="32"/>
    </row>
    <row r="2250" spans="1:1">
      <c r="A2250" s="32"/>
    </row>
    <row r="2251" spans="1:1">
      <c r="A2251" s="32"/>
    </row>
    <row r="2252" spans="1:1">
      <c r="A2252" s="32"/>
    </row>
    <row r="2253" spans="1:1">
      <c r="A2253" s="32"/>
    </row>
    <row r="2254" spans="1:1">
      <c r="A2254" s="32"/>
    </row>
    <row r="2255" spans="1:1">
      <c r="A2255" s="32"/>
    </row>
    <row r="2256" spans="1:1">
      <c r="A2256" s="32"/>
    </row>
    <row r="2257" spans="1:1">
      <c r="A2257" s="32"/>
    </row>
    <row r="2258" spans="1:1">
      <c r="A2258" s="32"/>
    </row>
    <row r="2259" spans="1:1">
      <c r="A2259" s="32"/>
    </row>
    <row r="2260" spans="1:1">
      <c r="A2260" s="32"/>
    </row>
    <row r="2261" spans="1:1">
      <c r="A2261" s="32"/>
    </row>
    <row r="2262" spans="1:1">
      <c r="A2262" s="32"/>
    </row>
    <row r="2263" spans="1:1">
      <c r="A2263" s="32"/>
    </row>
    <row r="2264" spans="1:1">
      <c r="A2264" s="32"/>
    </row>
    <row r="2265" spans="1:1">
      <c r="A2265" s="32"/>
    </row>
    <row r="2266" spans="1:1">
      <c r="A2266" s="32"/>
    </row>
    <row r="2267" spans="1:1">
      <c r="A2267" s="32"/>
    </row>
    <row r="2268" spans="1:1">
      <c r="A2268" s="32"/>
    </row>
    <row r="2269" spans="1:1">
      <c r="A2269" s="32"/>
    </row>
    <row r="2270" spans="1:1">
      <c r="A2270" s="32"/>
    </row>
    <row r="2271" spans="1:1">
      <c r="A2271" s="32"/>
    </row>
    <row r="2272" spans="1:1">
      <c r="A2272" s="32"/>
    </row>
    <row r="2273" spans="1:1">
      <c r="A2273" s="32"/>
    </row>
    <row r="2274" spans="1:1">
      <c r="A2274" s="32"/>
    </row>
    <row r="2275" spans="1:1">
      <c r="A2275" s="32"/>
    </row>
    <row r="2276" spans="1:1">
      <c r="A2276" s="32"/>
    </row>
    <row r="2277" spans="1:1">
      <c r="A2277" s="32"/>
    </row>
    <row r="2278" spans="1:1">
      <c r="A2278" s="32"/>
    </row>
    <row r="2279" spans="1:1">
      <c r="A2279" s="32"/>
    </row>
    <row r="2280" spans="1:1">
      <c r="A2280" s="32"/>
    </row>
    <row r="2281" spans="1:1">
      <c r="A2281" s="32"/>
    </row>
    <row r="2282" spans="1:1">
      <c r="A2282" s="32"/>
    </row>
    <row r="2283" spans="1:1">
      <c r="A2283" s="32"/>
    </row>
    <row r="2284" spans="1:1">
      <c r="A2284" s="32"/>
    </row>
    <row r="2285" spans="1:1">
      <c r="A2285" s="32"/>
    </row>
    <row r="2286" spans="1:1">
      <c r="A2286" s="32"/>
    </row>
    <row r="2287" spans="1:1">
      <c r="A2287" s="32"/>
    </row>
    <row r="2288" spans="1:1">
      <c r="A2288" s="32"/>
    </row>
    <row r="2289" spans="1:1">
      <c r="A2289" s="32"/>
    </row>
    <row r="2290" spans="1:1">
      <c r="A2290" s="32"/>
    </row>
    <row r="2291" spans="1:1">
      <c r="A2291" s="32"/>
    </row>
    <row r="2292" spans="1:1">
      <c r="A2292" s="32"/>
    </row>
    <row r="2293" spans="1:1">
      <c r="A2293" s="32"/>
    </row>
    <row r="2294" spans="1:1">
      <c r="A2294" s="32"/>
    </row>
    <row r="2295" spans="1:1">
      <c r="A2295" s="32"/>
    </row>
    <row r="2296" spans="1:1">
      <c r="A2296" s="32"/>
    </row>
    <row r="2297" spans="1:1">
      <c r="A2297" s="32"/>
    </row>
    <row r="2298" spans="1:1">
      <c r="A2298" s="32"/>
    </row>
    <row r="2299" spans="1:1">
      <c r="A2299" s="32"/>
    </row>
    <row r="2300" spans="1:1">
      <c r="A2300" s="32"/>
    </row>
    <row r="2301" spans="1:1">
      <c r="A2301" s="32"/>
    </row>
    <row r="2302" spans="1:1">
      <c r="A2302" s="32"/>
    </row>
    <row r="2303" spans="1:1">
      <c r="A2303" s="32"/>
    </row>
    <row r="2304" spans="1:1">
      <c r="A2304" s="32"/>
    </row>
    <row r="2305" spans="1:1">
      <c r="A2305" s="32"/>
    </row>
    <row r="2306" spans="1:1">
      <c r="A2306" s="32"/>
    </row>
    <row r="2307" spans="1:1">
      <c r="A2307" s="32"/>
    </row>
    <row r="2308" spans="1:1">
      <c r="A2308" s="32"/>
    </row>
    <row r="2309" spans="1:1">
      <c r="A2309" s="32"/>
    </row>
    <row r="2310" spans="1:1">
      <c r="A2310" s="32"/>
    </row>
    <row r="2311" spans="1:1">
      <c r="A2311" s="32"/>
    </row>
    <row r="2312" spans="1:1">
      <c r="A2312" s="32"/>
    </row>
    <row r="2313" spans="1:1">
      <c r="A2313" s="32"/>
    </row>
    <row r="2314" spans="1:1">
      <c r="A2314" s="32"/>
    </row>
    <row r="2315" spans="1:1">
      <c r="A2315" s="32"/>
    </row>
    <row r="2316" spans="1:1">
      <c r="A2316" s="32"/>
    </row>
    <row r="2317" spans="1:1">
      <c r="A2317" s="32"/>
    </row>
    <row r="2318" spans="1:1">
      <c r="A2318" s="32"/>
    </row>
    <row r="2319" spans="1:1">
      <c r="A2319" s="32"/>
    </row>
    <row r="2320" spans="1:1">
      <c r="A2320" s="32"/>
    </row>
    <row r="2321" spans="1:1">
      <c r="A2321" s="32"/>
    </row>
    <row r="2322" spans="1:1">
      <c r="A2322" s="32"/>
    </row>
    <row r="2323" spans="1:1">
      <c r="A2323" s="32"/>
    </row>
    <row r="2324" spans="1:1">
      <c r="A2324" s="32"/>
    </row>
    <row r="2325" spans="1:1">
      <c r="A2325" s="32"/>
    </row>
    <row r="2326" spans="1:1">
      <c r="A2326" s="32"/>
    </row>
    <row r="2327" spans="1:1">
      <c r="A2327" s="32"/>
    </row>
    <row r="2328" spans="1:1">
      <c r="A2328" s="32"/>
    </row>
    <row r="2329" spans="1:1">
      <c r="A2329" s="32"/>
    </row>
    <row r="2330" spans="1:1">
      <c r="A2330" s="32"/>
    </row>
    <row r="2331" spans="1:1">
      <c r="A2331" s="32"/>
    </row>
    <row r="2332" spans="1:1">
      <c r="A2332" s="32"/>
    </row>
    <row r="2333" spans="1:1">
      <c r="A2333" s="32"/>
    </row>
    <row r="2334" spans="1:1">
      <c r="A2334" s="32"/>
    </row>
    <row r="2335" spans="1:1">
      <c r="A2335" s="32"/>
    </row>
    <row r="2336" spans="1:1">
      <c r="A2336" s="32"/>
    </row>
    <row r="2337" spans="1:1">
      <c r="A2337" s="32"/>
    </row>
    <row r="2338" spans="1:1">
      <c r="A2338" s="32"/>
    </row>
    <row r="2339" spans="1:1">
      <c r="A2339" s="32"/>
    </row>
    <row r="2340" spans="1:1">
      <c r="A2340" s="32"/>
    </row>
    <row r="2341" spans="1:1">
      <c r="A2341" s="32"/>
    </row>
    <row r="2342" spans="1:1">
      <c r="A2342" s="32"/>
    </row>
    <row r="2343" spans="1:1">
      <c r="A2343" s="32"/>
    </row>
    <row r="2344" spans="1:1">
      <c r="A2344" s="32"/>
    </row>
    <row r="2345" spans="1:1">
      <c r="A2345" s="32"/>
    </row>
    <row r="2346" spans="1:1">
      <c r="A2346" s="32"/>
    </row>
    <row r="2347" spans="1:1">
      <c r="A2347" s="32"/>
    </row>
    <row r="2348" spans="1:1">
      <c r="A2348" s="32"/>
    </row>
    <row r="2349" spans="1:1">
      <c r="A2349" s="32"/>
    </row>
    <row r="2350" spans="1:1">
      <c r="A2350" s="32"/>
    </row>
    <row r="2351" spans="1:1">
      <c r="A2351" s="32"/>
    </row>
    <row r="2352" spans="1:1">
      <c r="A2352" s="32"/>
    </row>
    <row r="2353" spans="1:1">
      <c r="A2353" s="32"/>
    </row>
    <row r="2354" spans="1:1">
      <c r="A2354" s="32"/>
    </row>
    <row r="2355" spans="1:1">
      <c r="A2355" s="32"/>
    </row>
    <row r="2356" spans="1:1">
      <c r="A2356" s="32"/>
    </row>
    <row r="2357" spans="1:1">
      <c r="A2357" s="32"/>
    </row>
    <row r="2358" spans="1:1">
      <c r="A2358" s="32"/>
    </row>
    <row r="2359" spans="1:1">
      <c r="A2359" s="32"/>
    </row>
    <row r="2360" spans="1:1">
      <c r="A2360" s="32"/>
    </row>
    <row r="2361" spans="1:1">
      <c r="A2361" s="32"/>
    </row>
    <row r="2362" spans="1:1">
      <c r="A2362" s="32"/>
    </row>
    <row r="2363" spans="1:1">
      <c r="A2363" s="32"/>
    </row>
    <row r="2364" spans="1:1">
      <c r="A2364" s="32"/>
    </row>
    <row r="2365" spans="1:1">
      <c r="A2365" s="32"/>
    </row>
    <row r="2366" spans="1:1">
      <c r="A2366" s="32"/>
    </row>
    <row r="2367" spans="1:1">
      <c r="A2367" s="32"/>
    </row>
    <row r="2368" spans="1:1">
      <c r="A2368" s="32"/>
    </row>
    <row r="2369" spans="1:1">
      <c r="A2369" s="32"/>
    </row>
    <row r="2370" spans="1:1">
      <c r="A2370" s="32"/>
    </row>
    <row r="2371" spans="1:1">
      <c r="A2371" s="32"/>
    </row>
    <row r="2372" spans="1:1">
      <c r="A2372" s="32"/>
    </row>
    <row r="2373" spans="1:1">
      <c r="A2373" s="32"/>
    </row>
    <row r="2374" spans="1:1">
      <c r="A2374" s="32"/>
    </row>
    <row r="2375" spans="1:1">
      <c r="A2375" s="32"/>
    </row>
    <row r="2376" spans="1:1">
      <c r="A2376" s="32"/>
    </row>
    <row r="2377" spans="1:1">
      <c r="A2377" s="32"/>
    </row>
    <row r="2378" spans="1:1">
      <c r="A2378" s="32"/>
    </row>
    <row r="2379" spans="1:1">
      <c r="A2379" s="32"/>
    </row>
    <row r="2380" spans="1:1">
      <c r="A2380" s="32"/>
    </row>
    <row r="2381" spans="1:1">
      <c r="A2381" s="32"/>
    </row>
    <row r="2382" spans="1:1">
      <c r="A2382" s="32"/>
    </row>
    <row r="2383" spans="1:1">
      <c r="A2383" s="32"/>
    </row>
    <row r="2384" spans="1:1">
      <c r="A2384" s="32"/>
    </row>
    <row r="2385" spans="1:1">
      <c r="A2385" s="32"/>
    </row>
    <row r="2386" spans="1:1">
      <c r="A2386" s="32"/>
    </row>
    <row r="2387" spans="1:1">
      <c r="A2387" s="32"/>
    </row>
    <row r="2388" spans="1:1">
      <c r="A2388" s="32"/>
    </row>
    <row r="2389" spans="1:1">
      <c r="A2389" s="32"/>
    </row>
    <row r="2390" spans="1:1">
      <c r="A2390" s="32"/>
    </row>
    <row r="2391" spans="1:1">
      <c r="A2391" s="32"/>
    </row>
    <row r="2392" spans="1:1">
      <c r="A2392" s="32"/>
    </row>
    <row r="2393" spans="1:1">
      <c r="A2393" s="32"/>
    </row>
    <row r="2394" spans="1:1">
      <c r="A2394" s="32"/>
    </row>
    <row r="2395" spans="1:1">
      <c r="A2395" s="32"/>
    </row>
    <row r="2396" spans="1:1">
      <c r="A2396" s="32"/>
    </row>
    <row r="2397" spans="1:1">
      <c r="A2397" s="32"/>
    </row>
    <row r="2398" spans="1:1">
      <c r="A2398" s="32"/>
    </row>
    <row r="2399" spans="1:1">
      <c r="A2399" s="32"/>
    </row>
    <row r="2400" spans="1:1">
      <c r="A2400" s="32"/>
    </row>
    <row r="2401" spans="1:1">
      <c r="A2401" s="32"/>
    </row>
    <row r="2402" spans="1:1">
      <c r="A2402" s="32"/>
    </row>
    <row r="2403" spans="1:1">
      <c r="A2403" s="32"/>
    </row>
    <row r="2404" spans="1:1">
      <c r="A2404" s="32"/>
    </row>
    <row r="2405" spans="1:1">
      <c r="A2405" s="32"/>
    </row>
    <row r="2406" spans="1:1">
      <c r="A2406" s="32"/>
    </row>
    <row r="2407" spans="1:1">
      <c r="A2407" s="32"/>
    </row>
    <row r="2408" spans="1:1">
      <c r="A2408" s="32"/>
    </row>
    <row r="2409" spans="1:1">
      <c r="A2409" s="32"/>
    </row>
    <row r="2410" spans="1:1">
      <c r="A2410" s="32"/>
    </row>
    <row r="2411" spans="1:1">
      <c r="A2411" s="32"/>
    </row>
    <row r="2412" spans="1:1">
      <c r="A2412" s="32"/>
    </row>
    <row r="2413" spans="1:1">
      <c r="A2413" s="32"/>
    </row>
    <row r="2414" spans="1:1">
      <c r="A2414" s="32"/>
    </row>
    <row r="2415" spans="1:1">
      <c r="A2415" s="32"/>
    </row>
    <row r="2416" spans="1:1">
      <c r="A2416" s="32"/>
    </row>
    <row r="2417" spans="1:1">
      <c r="A2417" s="32"/>
    </row>
    <row r="2418" spans="1:1">
      <c r="A2418" s="32"/>
    </row>
    <row r="2419" spans="1:1">
      <c r="A2419" s="32"/>
    </row>
    <row r="2420" spans="1:1">
      <c r="A2420" s="32"/>
    </row>
    <row r="2421" spans="1:1">
      <c r="A2421" s="32"/>
    </row>
    <row r="2422" spans="1:1">
      <c r="A2422" s="32"/>
    </row>
    <row r="2423" spans="1:1">
      <c r="A2423" s="32"/>
    </row>
    <row r="2424" spans="1:1">
      <c r="A2424" s="32"/>
    </row>
    <row r="2425" spans="1:1">
      <c r="A2425" s="32"/>
    </row>
    <row r="2426" spans="1:1">
      <c r="A2426" s="32"/>
    </row>
    <row r="2427" spans="1:1">
      <c r="A2427" s="32"/>
    </row>
    <row r="2428" spans="1:1">
      <c r="A2428" s="32"/>
    </row>
    <row r="2429" spans="1:1">
      <c r="A2429" s="32"/>
    </row>
    <row r="2430" spans="1:1">
      <c r="A2430" s="32"/>
    </row>
    <row r="2431" spans="1:1">
      <c r="A2431" s="32"/>
    </row>
    <row r="2432" spans="1:1">
      <c r="A2432" s="32"/>
    </row>
    <row r="2433" spans="1:1">
      <c r="A2433" s="32"/>
    </row>
    <row r="2434" spans="1:1">
      <c r="A2434" s="32"/>
    </row>
    <row r="2435" spans="1:1">
      <c r="A2435" s="32"/>
    </row>
    <row r="2436" spans="1:1">
      <c r="A2436" s="32"/>
    </row>
    <row r="2437" spans="1:1">
      <c r="A2437" s="32"/>
    </row>
    <row r="2438" spans="1:1">
      <c r="A2438" s="32"/>
    </row>
    <row r="2439" spans="1:1">
      <c r="A2439" s="32"/>
    </row>
    <row r="2440" spans="1:1">
      <c r="A2440" s="32"/>
    </row>
    <row r="2441" spans="1:1">
      <c r="A2441" s="32"/>
    </row>
    <row r="2442" spans="1:1">
      <c r="A2442" s="32"/>
    </row>
    <row r="2443" spans="1:1">
      <c r="A2443" s="32"/>
    </row>
    <row r="2444" spans="1:1">
      <c r="A2444" s="32"/>
    </row>
    <row r="2445" spans="1:1">
      <c r="A2445" s="32"/>
    </row>
    <row r="2446" spans="1:1">
      <c r="A2446" s="32"/>
    </row>
    <row r="2447" spans="1:1">
      <c r="A2447" s="32"/>
    </row>
    <row r="2448" spans="1:1">
      <c r="A2448" s="32"/>
    </row>
    <row r="2449" spans="1:1">
      <c r="A2449" s="32"/>
    </row>
    <row r="2450" spans="1:1">
      <c r="A2450" s="32"/>
    </row>
    <row r="2451" spans="1:1">
      <c r="A2451" s="32"/>
    </row>
    <row r="2452" spans="1:1">
      <c r="A2452" s="32"/>
    </row>
    <row r="2453" spans="1:1">
      <c r="A2453" s="32"/>
    </row>
    <row r="2454" spans="1:1">
      <c r="A2454" s="32"/>
    </row>
    <row r="2455" spans="1:1">
      <c r="A2455" s="32"/>
    </row>
    <row r="2456" spans="1:1">
      <c r="A2456" s="32"/>
    </row>
    <row r="2457" spans="1:1">
      <c r="A2457" s="32"/>
    </row>
    <row r="2458" spans="1:1">
      <c r="A2458" s="32"/>
    </row>
    <row r="2459" spans="1:1">
      <c r="A2459" s="32"/>
    </row>
    <row r="2460" spans="1:1">
      <c r="A2460" s="32"/>
    </row>
    <row r="2461" spans="1:1">
      <c r="A2461" s="32"/>
    </row>
    <row r="2462" spans="1:1">
      <c r="A2462" s="32"/>
    </row>
    <row r="2463" spans="1:1">
      <c r="A2463" s="32"/>
    </row>
    <row r="2464" spans="1:1">
      <c r="A2464" s="32"/>
    </row>
    <row r="2465" spans="1:1">
      <c r="A2465" s="32"/>
    </row>
    <row r="2466" spans="1:1">
      <c r="A2466" s="32"/>
    </row>
    <row r="2467" spans="1:1">
      <c r="A2467" s="32"/>
    </row>
    <row r="2468" spans="1:1">
      <c r="A2468" s="32"/>
    </row>
    <row r="2469" spans="1:1">
      <c r="A2469" s="32"/>
    </row>
    <row r="2470" spans="1:1">
      <c r="A2470" s="32"/>
    </row>
    <row r="2471" spans="1:1">
      <c r="A2471" s="32"/>
    </row>
    <row r="2472" spans="1:1">
      <c r="A2472" s="32"/>
    </row>
    <row r="2473" spans="1:1">
      <c r="A2473" s="32"/>
    </row>
    <row r="2474" spans="1:1">
      <c r="A2474" s="32"/>
    </row>
    <row r="2475" spans="1:1">
      <c r="A2475" s="32"/>
    </row>
    <row r="2476" spans="1:1">
      <c r="A2476" s="32"/>
    </row>
    <row r="2477" spans="1:1">
      <c r="A2477" s="32"/>
    </row>
    <row r="2478" spans="1:1">
      <c r="A2478" s="32"/>
    </row>
    <row r="2479" spans="1:1">
      <c r="A2479" s="32"/>
    </row>
    <row r="2480" spans="1:1">
      <c r="A2480" s="32"/>
    </row>
    <row r="2481" spans="1:1">
      <c r="A2481" s="32"/>
    </row>
    <row r="2482" spans="1:1">
      <c r="A2482" s="32"/>
    </row>
    <row r="2483" spans="1:1">
      <c r="A2483" s="32"/>
    </row>
    <row r="2484" spans="1:1">
      <c r="A2484" s="32"/>
    </row>
    <row r="2485" spans="1:1">
      <c r="A2485" s="32"/>
    </row>
    <row r="2486" spans="1:1">
      <c r="A2486" s="32"/>
    </row>
    <row r="2487" spans="1:1">
      <c r="A2487" s="32"/>
    </row>
    <row r="2488" spans="1:1">
      <c r="A2488" s="32"/>
    </row>
    <row r="2489" spans="1:1">
      <c r="A2489" s="32"/>
    </row>
    <row r="2490" spans="1:1">
      <c r="A2490" s="32"/>
    </row>
    <row r="2491" spans="1:1">
      <c r="A2491" s="32"/>
    </row>
    <row r="2492" spans="1:1">
      <c r="A2492" s="32"/>
    </row>
    <row r="2493" spans="1:1">
      <c r="A2493" s="32"/>
    </row>
    <row r="2494" spans="1:1">
      <c r="A2494" s="32"/>
    </row>
    <row r="2495" spans="1:1">
      <c r="A2495" s="32"/>
    </row>
    <row r="2496" spans="1:1">
      <c r="A2496" s="32"/>
    </row>
    <row r="2497" spans="1:1">
      <c r="A2497" s="32"/>
    </row>
    <row r="2498" spans="1:1">
      <c r="A2498" s="32"/>
    </row>
    <row r="2499" spans="1:1">
      <c r="A2499" s="32"/>
    </row>
    <row r="2500" spans="1:1">
      <c r="A2500" s="32"/>
    </row>
    <row r="2501" spans="1:1">
      <c r="A2501" s="32"/>
    </row>
    <row r="2502" spans="1:1">
      <c r="A2502" s="32"/>
    </row>
    <row r="2503" spans="1:1">
      <c r="A2503" s="32"/>
    </row>
    <row r="2504" spans="1:1">
      <c r="A2504" s="32"/>
    </row>
    <row r="2505" spans="1:1">
      <c r="A2505" s="32"/>
    </row>
    <row r="2506" spans="1:1">
      <c r="A2506" s="32"/>
    </row>
    <row r="2507" spans="1:1">
      <c r="A2507" s="32"/>
    </row>
    <row r="2508" spans="1:1">
      <c r="A2508" s="32"/>
    </row>
    <row r="2509" spans="1:1">
      <c r="A2509" s="32"/>
    </row>
    <row r="2510" spans="1:1">
      <c r="A2510" s="32"/>
    </row>
    <row r="2511" spans="1:1">
      <c r="A2511" s="32"/>
    </row>
    <row r="2512" spans="1:1">
      <c r="A2512" s="32"/>
    </row>
    <row r="2513" spans="1:1">
      <c r="A2513" s="32"/>
    </row>
    <row r="2514" spans="1:1">
      <c r="A2514" s="32"/>
    </row>
    <row r="2515" spans="1:1">
      <c r="A2515" s="32"/>
    </row>
    <row r="2516" spans="1:1">
      <c r="A2516" s="32"/>
    </row>
    <row r="2517" spans="1:1">
      <c r="A2517" s="32"/>
    </row>
    <row r="2518" spans="1:1">
      <c r="A2518" s="32"/>
    </row>
    <row r="2519" spans="1:1">
      <c r="A2519" s="32"/>
    </row>
    <row r="2520" spans="1:1">
      <c r="A2520" s="32"/>
    </row>
    <row r="2521" spans="1:1">
      <c r="A2521" s="32"/>
    </row>
    <row r="2522" spans="1:1">
      <c r="A2522" s="32"/>
    </row>
    <row r="2523" spans="1:1">
      <c r="A2523" s="32"/>
    </row>
    <row r="2524" spans="1:1">
      <c r="A2524" s="32"/>
    </row>
    <row r="2525" spans="1:1">
      <c r="A2525" s="32"/>
    </row>
    <row r="2526" spans="1:1">
      <c r="A2526" s="32"/>
    </row>
    <row r="2527" spans="1:1">
      <c r="A2527" s="32"/>
    </row>
    <row r="2528" spans="1:1">
      <c r="A2528" s="32"/>
    </row>
    <row r="2529" spans="1:1">
      <c r="A2529" s="32"/>
    </row>
    <row r="2530" spans="1:1">
      <c r="A2530" s="32"/>
    </row>
    <row r="2531" spans="1:1">
      <c r="A2531" s="32"/>
    </row>
    <row r="2532" spans="1:1">
      <c r="A2532" s="32"/>
    </row>
    <row r="2533" spans="1:1">
      <c r="A2533" s="32"/>
    </row>
    <row r="2534" spans="1:1">
      <c r="A2534" s="32"/>
    </row>
    <row r="2535" spans="1:1">
      <c r="A2535" s="32"/>
    </row>
    <row r="2536" spans="1:1">
      <c r="A2536" s="32"/>
    </row>
    <row r="2537" spans="1:1">
      <c r="A2537" s="32"/>
    </row>
    <row r="2538" spans="1:1">
      <c r="A2538" s="32"/>
    </row>
    <row r="2539" spans="1:1">
      <c r="A2539" s="32"/>
    </row>
    <row r="2540" spans="1:1">
      <c r="A2540" s="32"/>
    </row>
    <row r="2541" spans="1:1">
      <c r="A2541" s="32"/>
    </row>
    <row r="2542" spans="1:1">
      <c r="A2542" s="32"/>
    </row>
    <row r="2543" spans="1:1">
      <c r="A2543" s="32"/>
    </row>
    <row r="2544" spans="1:1">
      <c r="A2544" s="32"/>
    </row>
    <row r="2545" spans="1:1">
      <c r="A2545" s="32"/>
    </row>
    <row r="2546" spans="1:1">
      <c r="A2546" s="32"/>
    </row>
    <row r="2547" spans="1:1">
      <c r="A2547" s="32"/>
    </row>
    <row r="2548" spans="1:1">
      <c r="A2548" s="32"/>
    </row>
    <row r="2549" spans="1:1">
      <c r="A2549" s="32"/>
    </row>
    <row r="2550" spans="1:1">
      <c r="A2550" s="32"/>
    </row>
    <row r="2551" spans="1:1">
      <c r="A2551" s="32"/>
    </row>
    <row r="2552" spans="1:1">
      <c r="A2552" s="32"/>
    </row>
    <row r="2553" spans="1:1">
      <c r="A2553" s="32"/>
    </row>
    <row r="2554" spans="1:1">
      <c r="A2554" s="32"/>
    </row>
    <row r="2555" spans="1:1">
      <c r="A2555" s="32"/>
    </row>
    <row r="2556" spans="1:1">
      <c r="A2556" s="32"/>
    </row>
    <row r="2557" spans="1:1">
      <c r="A2557" s="32"/>
    </row>
    <row r="2558" spans="1:1">
      <c r="A2558" s="32"/>
    </row>
    <row r="2559" spans="1:1">
      <c r="A2559" s="32"/>
    </row>
    <row r="2560" spans="1:1">
      <c r="A2560" s="32"/>
    </row>
    <row r="2561" spans="1:1">
      <c r="A2561" s="32"/>
    </row>
    <row r="2562" spans="1:1">
      <c r="A2562" s="32"/>
    </row>
    <row r="2563" spans="1:1">
      <c r="A2563" s="32"/>
    </row>
    <row r="2564" spans="1:1">
      <c r="A2564" s="32"/>
    </row>
    <row r="2565" spans="1:1">
      <c r="A2565" s="32"/>
    </row>
    <row r="2566" spans="1:1">
      <c r="A2566" s="32"/>
    </row>
    <row r="2567" spans="1:1">
      <c r="A2567" s="32"/>
    </row>
    <row r="2568" spans="1:1">
      <c r="A2568" s="32"/>
    </row>
    <row r="2569" spans="1:1">
      <c r="A2569" s="32"/>
    </row>
    <row r="2570" spans="1:1">
      <c r="A2570" s="32"/>
    </row>
    <row r="2571" spans="1:1">
      <c r="A2571" s="32"/>
    </row>
    <row r="2572" spans="1:1">
      <c r="A2572" s="32"/>
    </row>
    <row r="2573" spans="1:1">
      <c r="A2573" s="32"/>
    </row>
    <row r="2574" spans="1:1">
      <c r="A2574" s="32"/>
    </row>
    <row r="2575" spans="1:1">
      <c r="A2575" s="32"/>
    </row>
    <row r="2576" spans="1:1">
      <c r="A2576" s="32"/>
    </row>
    <row r="2577" spans="1:1">
      <c r="A2577" s="32"/>
    </row>
    <row r="2578" spans="1:1">
      <c r="A2578" s="32"/>
    </row>
    <row r="2579" spans="1:1">
      <c r="A2579" s="32"/>
    </row>
    <row r="2580" spans="1:1">
      <c r="A2580" s="32"/>
    </row>
    <row r="2581" spans="1:1">
      <c r="A2581" s="32"/>
    </row>
    <row r="2582" spans="1:1">
      <c r="A2582" s="32"/>
    </row>
    <row r="2583" spans="1:1">
      <c r="A2583" s="32"/>
    </row>
    <row r="2584" spans="1:1">
      <c r="A2584" s="32"/>
    </row>
    <row r="2585" spans="1:1">
      <c r="A2585" s="32"/>
    </row>
    <row r="2586" spans="1:1">
      <c r="A2586" s="32"/>
    </row>
    <row r="2587" spans="1:1">
      <c r="A2587" s="32"/>
    </row>
    <row r="2588" spans="1:1">
      <c r="A2588" s="32"/>
    </row>
    <row r="2589" spans="1:1">
      <c r="A2589" s="32"/>
    </row>
    <row r="2590" spans="1:1">
      <c r="A2590" s="32"/>
    </row>
    <row r="2591" spans="1:1">
      <c r="A2591" s="32"/>
    </row>
    <row r="2592" spans="1:1">
      <c r="A2592" s="32"/>
    </row>
    <row r="2593" spans="1:1">
      <c r="A2593" s="32"/>
    </row>
    <row r="2594" spans="1:1">
      <c r="A2594" s="32"/>
    </row>
    <row r="2595" spans="1:1">
      <c r="A2595" s="32"/>
    </row>
    <row r="2596" spans="1:1">
      <c r="A2596" s="32"/>
    </row>
    <row r="2597" spans="1:1">
      <c r="A2597" s="32"/>
    </row>
    <row r="2598" spans="1:1">
      <c r="A2598" s="32"/>
    </row>
    <row r="2599" spans="1:1">
      <c r="A2599" s="32"/>
    </row>
    <row r="2600" spans="1:1">
      <c r="A2600" s="32"/>
    </row>
    <row r="2601" spans="1:1">
      <c r="A2601" s="32"/>
    </row>
    <row r="2602" spans="1:1">
      <c r="A2602" s="32"/>
    </row>
    <row r="2603" spans="1:1">
      <c r="A2603" s="32"/>
    </row>
    <row r="2604" spans="1:1">
      <c r="A2604" s="32"/>
    </row>
    <row r="2605" spans="1:1">
      <c r="A2605" s="32"/>
    </row>
    <row r="2606" spans="1:1">
      <c r="A2606" s="32"/>
    </row>
    <row r="2607" spans="1:1">
      <c r="A2607" s="32"/>
    </row>
    <row r="2608" spans="1:1">
      <c r="A2608" s="32"/>
    </row>
    <row r="2609" spans="1:1">
      <c r="A2609" s="32"/>
    </row>
    <row r="2610" spans="1:1">
      <c r="A2610" s="32"/>
    </row>
    <row r="2611" spans="1:1">
      <c r="A2611" s="32"/>
    </row>
    <row r="2612" spans="1:1">
      <c r="A2612" s="32"/>
    </row>
    <row r="2613" spans="1:1">
      <c r="A2613" s="32"/>
    </row>
    <row r="2614" spans="1:1">
      <c r="A2614" s="32"/>
    </row>
    <row r="2615" spans="1:1">
      <c r="A2615" s="32"/>
    </row>
    <row r="2616" spans="1:1">
      <c r="A2616" s="32"/>
    </row>
    <row r="2617" spans="1:1">
      <c r="A2617" s="32"/>
    </row>
    <row r="2618" spans="1:1">
      <c r="A2618" s="32"/>
    </row>
    <row r="2619" spans="1:1">
      <c r="A2619" s="32"/>
    </row>
    <row r="2620" spans="1:1">
      <c r="A2620" s="32"/>
    </row>
    <row r="2621" spans="1:1">
      <c r="A2621" s="32"/>
    </row>
    <row r="2622" spans="1:1">
      <c r="A2622" s="32"/>
    </row>
    <row r="2623" spans="1:1">
      <c r="A2623" s="32"/>
    </row>
    <row r="2624" spans="1:1">
      <c r="A2624" s="32"/>
    </row>
    <row r="2625" spans="1:1">
      <c r="A2625" s="32"/>
    </row>
    <row r="2626" spans="1:1">
      <c r="A2626" s="32"/>
    </row>
    <row r="2627" spans="1:1">
      <c r="A2627" s="32"/>
    </row>
    <row r="2628" spans="1:1">
      <c r="A2628" s="32"/>
    </row>
    <row r="2629" spans="1:1">
      <c r="A2629" s="32"/>
    </row>
    <row r="2630" spans="1:1">
      <c r="A2630" s="32"/>
    </row>
    <row r="2631" spans="1:1">
      <c r="A2631" s="32"/>
    </row>
    <row r="2632" spans="1:1">
      <c r="A2632" s="32"/>
    </row>
    <row r="2633" spans="1:1">
      <c r="A2633" s="32"/>
    </row>
    <row r="2634" spans="1:1">
      <c r="A2634" s="32"/>
    </row>
    <row r="2635" spans="1:1">
      <c r="A2635" s="32"/>
    </row>
    <row r="2636" spans="1:1">
      <c r="A2636" s="32"/>
    </row>
    <row r="2637" spans="1:1">
      <c r="A2637" s="32"/>
    </row>
    <row r="2638" spans="1:1">
      <c r="A2638" s="32"/>
    </row>
    <row r="2639" spans="1:1">
      <c r="A2639" s="32"/>
    </row>
    <row r="2640" spans="1:1">
      <c r="A2640" s="32"/>
    </row>
    <row r="2641" spans="1:1">
      <c r="A2641" s="32"/>
    </row>
    <row r="2642" spans="1:1">
      <c r="A2642" s="32"/>
    </row>
    <row r="2643" spans="1:1">
      <c r="A2643" s="32"/>
    </row>
    <row r="2644" spans="1:1">
      <c r="A2644" s="32"/>
    </row>
    <row r="2645" spans="1:1">
      <c r="A2645" s="32"/>
    </row>
    <row r="2646" spans="1:1">
      <c r="A2646" s="32"/>
    </row>
    <row r="2647" spans="1:1">
      <c r="A2647" s="32"/>
    </row>
    <row r="2648" spans="1:1">
      <c r="A2648" s="32"/>
    </row>
    <row r="2649" spans="1:1">
      <c r="A2649" s="32"/>
    </row>
    <row r="2650" spans="1:1">
      <c r="A2650" s="32"/>
    </row>
    <row r="2651" spans="1:1">
      <c r="A2651" s="32"/>
    </row>
    <row r="2652" spans="1:1">
      <c r="A2652" s="32"/>
    </row>
    <row r="2653" spans="1:1">
      <c r="A2653" s="32"/>
    </row>
    <row r="2654" spans="1:1">
      <c r="A2654" s="32"/>
    </row>
    <row r="2655" spans="1:1">
      <c r="A2655" s="32"/>
    </row>
    <row r="2656" spans="1:1">
      <c r="A2656" s="32"/>
    </row>
    <row r="2657" spans="1:1">
      <c r="A2657" s="32"/>
    </row>
    <row r="2658" spans="1:1">
      <c r="A2658" s="32"/>
    </row>
    <row r="2659" spans="1:1">
      <c r="A2659" s="32"/>
    </row>
    <row r="2660" spans="1:1">
      <c r="A2660" s="32"/>
    </row>
    <row r="2661" spans="1:1">
      <c r="A2661" s="32"/>
    </row>
    <row r="2662" spans="1:1">
      <c r="A2662" s="32"/>
    </row>
    <row r="2663" spans="1:1">
      <c r="A2663" s="32"/>
    </row>
    <row r="2664" spans="1:1">
      <c r="A2664" s="32"/>
    </row>
    <row r="2665" spans="1:1">
      <c r="A2665" s="32"/>
    </row>
    <row r="2666" spans="1:1">
      <c r="A2666" s="32"/>
    </row>
    <row r="2667" spans="1:1">
      <c r="A2667" s="32"/>
    </row>
    <row r="2668" spans="1:1">
      <c r="A2668" s="32"/>
    </row>
    <row r="2669" spans="1:1">
      <c r="A2669" s="32"/>
    </row>
    <row r="2670" spans="1:1">
      <c r="A2670" s="32"/>
    </row>
    <row r="2671" spans="1:1">
      <c r="A2671" s="32"/>
    </row>
    <row r="2672" spans="1:1">
      <c r="A2672" s="32"/>
    </row>
    <row r="2673" spans="1:1">
      <c r="A2673" s="32"/>
    </row>
    <row r="2674" spans="1:1">
      <c r="A2674" s="32"/>
    </row>
    <row r="2675" spans="1:1">
      <c r="A2675" s="32"/>
    </row>
    <row r="2676" spans="1:1">
      <c r="A2676" s="32"/>
    </row>
    <row r="2677" spans="1:1">
      <c r="A2677" s="32"/>
    </row>
    <row r="2678" spans="1:1">
      <c r="A2678" s="32"/>
    </row>
    <row r="2679" spans="1:1">
      <c r="A2679" s="32"/>
    </row>
    <row r="2680" spans="1:1">
      <c r="A2680" s="32"/>
    </row>
    <row r="2681" spans="1:1">
      <c r="A2681" s="32"/>
    </row>
    <row r="2682" spans="1:1">
      <c r="A2682" s="32"/>
    </row>
    <row r="2683" spans="1:1">
      <c r="A2683" s="32"/>
    </row>
    <row r="2684" spans="1:1">
      <c r="A2684" s="32"/>
    </row>
    <row r="2685" spans="1:1">
      <c r="A2685" s="32"/>
    </row>
    <row r="2686" spans="1:1">
      <c r="A2686" s="32"/>
    </row>
    <row r="2687" spans="1:1">
      <c r="A2687" s="32"/>
    </row>
    <row r="2688" spans="1:1">
      <c r="A2688" s="32"/>
    </row>
    <row r="2689" spans="1:1">
      <c r="A2689" s="32"/>
    </row>
    <row r="2690" spans="1:1">
      <c r="A2690" s="32"/>
    </row>
    <row r="2691" spans="1:1">
      <c r="A2691" s="32"/>
    </row>
    <row r="2692" spans="1:1">
      <c r="A2692" s="32"/>
    </row>
    <row r="2693" spans="1:1">
      <c r="A2693" s="32"/>
    </row>
    <row r="2694" spans="1:1">
      <c r="A2694" s="32"/>
    </row>
    <row r="2695" spans="1:1">
      <c r="A2695" s="32"/>
    </row>
    <row r="2696" spans="1:1">
      <c r="A2696" s="32"/>
    </row>
    <row r="2697" spans="1:1">
      <c r="A2697" s="32"/>
    </row>
    <row r="2698" spans="1:1">
      <c r="A2698" s="32"/>
    </row>
    <row r="2699" spans="1:1">
      <c r="A2699" s="32"/>
    </row>
    <row r="2700" spans="1:1">
      <c r="A2700" s="32"/>
    </row>
    <row r="2701" spans="1:1">
      <c r="A2701" s="32"/>
    </row>
    <row r="2702" spans="1:1">
      <c r="A2702" s="32"/>
    </row>
    <row r="2703" spans="1:1">
      <c r="A2703" s="32"/>
    </row>
    <row r="2704" spans="1:1">
      <c r="A2704" s="32"/>
    </row>
    <row r="2705" spans="1:1">
      <c r="A2705" s="32"/>
    </row>
    <row r="2706" spans="1:1">
      <c r="A2706" s="32"/>
    </row>
    <row r="2707" spans="1:1">
      <c r="A2707" s="32"/>
    </row>
    <row r="2708" spans="1:1">
      <c r="A2708" s="32"/>
    </row>
    <row r="2709" spans="1:1">
      <c r="A2709" s="32"/>
    </row>
    <row r="2710" spans="1:1">
      <c r="A2710" s="32"/>
    </row>
    <row r="2711" spans="1:1">
      <c r="A2711" s="32"/>
    </row>
    <row r="2712" spans="1:1">
      <c r="A2712" s="32"/>
    </row>
    <row r="2713" spans="1:1">
      <c r="A2713" s="32"/>
    </row>
    <row r="2714" spans="1:1">
      <c r="A2714" s="32"/>
    </row>
    <row r="2715" spans="1:1">
      <c r="A2715" s="32"/>
    </row>
    <row r="2716" spans="1:1">
      <c r="A2716" s="32"/>
    </row>
    <row r="2717" spans="1:1">
      <c r="A2717" s="32"/>
    </row>
    <row r="2718" spans="1:1">
      <c r="A2718" s="32"/>
    </row>
    <row r="2719" spans="1:1">
      <c r="A2719" s="32"/>
    </row>
    <row r="2720" spans="1:1">
      <c r="A2720" s="32"/>
    </row>
    <row r="2721" spans="1:1">
      <c r="A2721" s="32"/>
    </row>
    <row r="2722" spans="1:1">
      <c r="A2722" s="32"/>
    </row>
    <row r="2723" spans="1:1">
      <c r="A2723" s="32"/>
    </row>
    <row r="2724" spans="1:1">
      <c r="A2724" s="32"/>
    </row>
    <row r="2725" spans="1:1">
      <c r="A2725" s="32"/>
    </row>
    <row r="2726" spans="1:1">
      <c r="A2726" s="32"/>
    </row>
    <row r="2727" spans="1:1">
      <c r="A2727" s="32"/>
    </row>
    <row r="2728" spans="1:1">
      <c r="A2728" s="32"/>
    </row>
    <row r="2729" spans="1:1">
      <c r="A2729" s="32"/>
    </row>
    <row r="2730" spans="1:1">
      <c r="A2730" s="32"/>
    </row>
    <row r="2731" spans="1:1">
      <c r="A2731" s="32"/>
    </row>
    <row r="2732" spans="1:1">
      <c r="A2732" s="32"/>
    </row>
    <row r="2733" spans="1:1">
      <c r="A2733" s="32"/>
    </row>
    <row r="2734" spans="1:1">
      <c r="A2734" s="32"/>
    </row>
    <row r="2735" spans="1:1">
      <c r="A2735" s="32"/>
    </row>
    <row r="2736" spans="1:1">
      <c r="A2736" s="32"/>
    </row>
    <row r="2737" spans="1:1">
      <c r="A2737" s="32"/>
    </row>
    <row r="2738" spans="1:1">
      <c r="A2738" s="32"/>
    </row>
    <row r="2739" spans="1:1">
      <c r="A2739" s="32"/>
    </row>
    <row r="2740" spans="1:1">
      <c r="A2740" s="32"/>
    </row>
    <row r="2741" spans="1:1">
      <c r="A2741" s="32"/>
    </row>
    <row r="2742" spans="1:1">
      <c r="A2742" s="32"/>
    </row>
    <row r="2743" spans="1:1">
      <c r="A2743" s="32"/>
    </row>
    <row r="2744" spans="1:1">
      <c r="A2744" s="32"/>
    </row>
    <row r="2745" spans="1:1">
      <c r="A2745" s="32"/>
    </row>
    <row r="2746" spans="1:1">
      <c r="A2746" s="32"/>
    </row>
    <row r="2747" spans="1:1">
      <c r="A2747" s="32"/>
    </row>
    <row r="2748" spans="1:1">
      <c r="A2748" s="32"/>
    </row>
    <row r="2749" spans="1:1">
      <c r="A2749" s="32"/>
    </row>
    <row r="2750" spans="1:1">
      <c r="A2750" s="32"/>
    </row>
    <row r="2751" spans="1:1">
      <c r="A2751" s="32"/>
    </row>
    <row r="2752" spans="1:1">
      <c r="A2752" s="32"/>
    </row>
    <row r="2753" spans="1:1">
      <c r="A2753" s="32"/>
    </row>
    <row r="2754" spans="1:1">
      <c r="A2754" s="32"/>
    </row>
    <row r="2755" spans="1:1">
      <c r="A2755" s="32"/>
    </row>
    <row r="2756" spans="1:1">
      <c r="A2756" s="32"/>
    </row>
    <row r="2757" spans="1:1">
      <c r="A2757" s="32"/>
    </row>
    <row r="2758" spans="1:1">
      <c r="A2758" s="32"/>
    </row>
    <row r="2759" spans="1:1">
      <c r="A2759" s="32"/>
    </row>
    <row r="2760" spans="1:1">
      <c r="A2760" s="32"/>
    </row>
    <row r="2761" spans="1:1">
      <c r="A2761" s="32"/>
    </row>
    <row r="2762" spans="1:1">
      <c r="A2762" s="32"/>
    </row>
    <row r="2763" spans="1:1">
      <c r="A2763" s="32"/>
    </row>
    <row r="2764" spans="1:1">
      <c r="A2764" s="32"/>
    </row>
    <row r="2765" spans="1:1">
      <c r="A2765" s="32"/>
    </row>
    <row r="2766" spans="1:1">
      <c r="A2766" s="32"/>
    </row>
    <row r="2767" spans="1:1">
      <c r="A2767" s="32"/>
    </row>
    <row r="2768" spans="1:1">
      <c r="A2768" s="32"/>
    </row>
    <row r="2769" spans="1:1">
      <c r="A2769" s="32"/>
    </row>
    <row r="2770" spans="1:1">
      <c r="A2770" s="32"/>
    </row>
    <row r="2771" spans="1:1">
      <c r="A2771" s="32"/>
    </row>
    <row r="2772" spans="1:1">
      <c r="A2772" s="32"/>
    </row>
    <row r="2773" spans="1:1">
      <c r="A2773" s="32"/>
    </row>
    <row r="2774" spans="1:1">
      <c r="A2774" s="32"/>
    </row>
    <row r="2775" spans="1:1">
      <c r="A2775" s="32"/>
    </row>
    <row r="2776" spans="1:1">
      <c r="A2776" s="32"/>
    </row>
    <row r="2777" spans="1:1">
      <c r="A2777" s="32"/>
    </row>
    <row r="2778" spans="1:1">
      <c r="A2778" s="32"/>
    </row>
    <row r="2779" spans="1:1">
      <c r="A2779" s="32"/>
    </row>
    <row r="2780" spans="1:1">
      <c r="A2780" s="32"/>
    </row>
    <row r="2781" spans="1:1">
      <c r="A2781" s="32"/>
    </row>
    <row r="2782" spans="1:1">
      <c r="A2782" s="32"/>
    </row>
    <row r="2783" spans="1:1">
      <c r="A2783" s="32"/>
    </row>
    <row r="2784" spans="1:1">
      <c r="A2784" s="32"/>
    </row>
    <row r="2785" spans="1:1">
      <c r="A2785" s="32"/>
    </row>
    <row r="2786" spans="1:1">
      <c r="A2786" s="32"/>
    </row>
    <row r="2787" spans="1:1">
      <c r="A2787" s="32"/>
    </row>
    <row r="2788" spans="1:1">
      <c r="A2788" s="32"/>
    </row>
    <row r="2789" spans="1:1">
      <c r="A2789" s="32"/>
    </row>
    <row r="2790" spans="1:1">
      <c r="A2790" s="32"/>
    </row>
    <row r="2791" spans="1:1">
      <c r="A2791" s="32"/>
    </row>
    <row r="2792" spans="1:1">
      <c r="A2792" s="32"/>
    </row>
    <row r="2793" spans="1:1">
      <c r="A2793" s="32"/>
    </row>
    <row r="2794" spans="1:1">
      <c r="A2794" s="32"/>
    </row>
    <row r="2795" spans="1:1">
      <c r="A2795" s="32"/>
    </row>
    <row r="2796" spans="1:1">
      <c r="A2796" s="32"/>
    </row>
    <row r="2797" spans="1:1">
      <c r="A2797" s="32"/>
    </row>
    <row r="2798" spans="1:1">
      <c r="A2798" s="32"/>
    </row>
    <row r="2799" spans="1:1">
      <c r="A2799" s="32"/>
    </row>
    <row r="2800" spans="1:1">
      <c r="A2800" s="32"/>
    </row>
    <row r="2801" spans="1:1">
      <c r="A2801" s="32"/>
    </row>
    <row r="2802" spans="1:1">
      <c r="A2802" s="32"/>
    </row>
    <row r="2803" spans="1:1">
      <c r="A2803" s="32"/>
    </row>
    <row r="2804" spans="1:1">
      <c r="A2804" s="32"/>
    </row>
    <row r="2805" spans="1:1">
      <c r="A2805" s="32"/>
    </row>
    <row r="2806" spans="1:1">
      <c r="A2806" s="32"/>
    </row>
    <row r="2807" spans="1:1">
      <c r="A2807" s="32"/>
    </row>
    <row r="2808" spans="1:1">
      <c r="A2808" s="32"/>
    </row>
    <row r="2809" spans="1:1">
      <c r="A2809" s="32"/>
    </row>
    <row r="2810" spans="1:1">
      <c r="A2810" s="32"/>
    </row>
    <row r="2811" spans="1:1">
      <c r="A2811" s="32"/>
    </row>
    <row r="2812" spans="1:1">
      <c r="A2812" s="32"/>
    </row>
    <row r="2813" spans="1:1">
      <c r="A2813" s="32"/>
    </row>
    <row r="2814" spans="1:1">
      <c r="A2814" s="32"/>
    </row>
    <row r="2815" spans="1:1">
      <c r="A2815" s="32"/>
    </row>
    <row r="2816" spans="1:1">
      <c r="A2816" s="32"/>
    </row>
    <row r="2817" spans="1:1">
      <c r="A2817" s="32"/>
    </row>
    <row r="2818" spans="1:1">
      <c r="A2818" s="32"/>
    </row>
    <row r="2819" spans="1:1">
      <c r="A2819" s="32"/>
    </row>
    <row r="2820" spans="1:1">
      <c r="A2820" s="32"/>
    </row>
    <row r="2821" spans="1:1">
      <c r="A2821" s="32"/>
    </row>
    <row r="2822" spans="1:1">
      <c r="A2822" s="32"/>
    </row>
    <row r="2823" spans="1:1">
      <c r="A2823" s="32"/>
    </row>
    <row r="2824" spans="1:1">
      <c r="A2824" s="32"/>
    </row>
    <row r="2825" spans="1:1">
      <c r="A2825" s="32"/>
    </row>
    <row r="2826" spans="1:1">
      <c r="A2826" s="32"/>
    </row>
    <row r="2827" spans="1:1">
      <c r="A2827" s="32"/>
    </row>
    <row r="2828" spans="1:1">
      <c r="A2828" s="32"/>
    </row>
    <row r="2829" spans="1:1">
      <c r="A2829" s="32"/>
    </row>
    <row r="2830" spans="1:1">
      <c r="A2830" s="32"/>
    </row>
    <row r="2831" spans="1:1">
      <c r="A2831" s="32"/>
    </row>
    <row r="2832" spans="1:1">
      <c r="A2832" s="32"/>
    </row>
    <row r="2833" spans="1:1">
      <c r="A2833" s="32"/>
    </row>
    <row r="2834" spans="1:1">
      <c r="A2834" s="32"/>
    </row>
    <row r="2835" spans="1:1">
      <c r="A2835" s="32"/>
    </row>
    <row r="2836" spans="1:1">
      <c r="A2836" s="32"/>
    </row>
    <row r="2837" spans="1:1">
      <c r="A2837" s="32"/>
    </row>
    <row r="2838" spans="1:1">
      <c r="A2838" s="32"/>
    </row>
    <row r="2839" spans="1:1">
      <c r="A2839" s="32"/>
    </row>
    <row r="2840" spans="1:1">
      <c r="A2840" s="32"/>
    </row>
    <row r="2841" spans="1:1">
      <c r="A2841" s="32"/>
    </row>
    <row r="2842" spans="1:1">
      <c r="A2842" s="32"/>
    </row>
    <row r="2843" spans="1:1">
      <c r="A2843" s="32"/>
    </row>
    <row r="2844" spans="1:1">
      <c r="A2844" s="32"/>
    </row>
    <row r="2845" spans="1:1">
      <c r="A2845" s="32"/>
    </row>
    <row r="2846" spans="1:1">
      <c r="A2846" s="32"/>
    </row>
    <row r="2847" spans="1:1">
      <c r="A2847" s="32"/>
    </row>
    <row r="2848" spans="1:1">
      <c r="A2848" s="32"/>
    </row>
    <row r="2849" spans="1:1">
      <c r="A2849" s="32"/>
    </row>
    <row r="2850" spans="1:1">
      <c r="A2850" s="32"/>
    </row>
    <row r="2851" spans="1:1">
      <c r="A2851" s="32"/>
    </row>
    <row r="2852" spans="1:1">
      <c r="A2852" s="32"/>
    </row>
    <row r="2853" spans="1:1">
      <c r="A2853" s="32"/>
    </row>
    <row r="2854" spans="1:1">
      <c r="A2854" s="32"/>
    </row>
    <row r="2855" spans="1:1">
      <c r="A2855" s="32"/>
    </row>
    <row r="2856" spans="1:1">
      <c r="A2856" s="32"/>
    </row>
    <row r="2857" spans="1:1">
      <c r="A2857" s="32"/>
    </row>
    <row r="2858" spans="1:1">
      <c r="A2858" s="32"/>
    </row>
    <row r="2859" spans="1:1">
      <c r="A2859" s="32"/>
    </row>
    <row r="2860" spans="1:1">
      <c r="A2860" s="32"/>
    </row>
    <row r="2861" spans="1:1">
      <c r="A2861" s="32"/>
    </row>
    <row r="2862" spans="1:1">
      <c r="A2862" s="32"/>
    </row>
    <row r="2863" spans="1:1">
      <c r="A2863" s="32"/>
    </row>
    <row r="2864" spans="1:1">
      <c r="A2864" s="32"/>
    </row>
    <row r="2865" spans="1:1">
      <c r="A2865" s="32"/>
    </row>
    <row r="2866" spans="1:1">
      <c r="A2866" s="32"/>
    </row>
    <row r="2867" spans="1:1">
      <c r="A2867" s="32"/>
    </row>
    <row r="2868" spans="1:1">
      <c r="A2868" s="32"/>
    </row>
    <row r="2869" spans="1:1">
      <c r="A2869" s="32"/>
    </row>
    <row r="2870" spans="1:1">
      <c r="A2870" s="32"/>
    </row>
    <row r="2871" spans="1:1">
      <c r="A2871" s="32"/>
    </row>
    <row r="2872" spans="1:1">
      <c r="A2872" s="32"/>
    </row>
    <row r="2873" spans="1:1">
      <c r="A2873" s="32"/>
    </row>
    <row r="2874" spans="1:1">
      <c r="A2874" s="32"/>
    </row>
    <row r="2875" spans="1:1">
      <c r="A2875" s="32"/>
    </row>
    <row r="2876" spans="1:1">
      <c r="A2876" s="32"/>
    </row>
    <row r="2877" spans="1:1">
      <c r="A2877" s="32"/>
    </row>
    <row r="2878" spans="1:1">
      <c r="A2878" s="32"/>
    </row>
    <row r="2879" spans="1:1">
      <c r="A2879" s="32"/>
    </row>
    <row r="2880" spans="1:1">
      <c r="A2880" s="32"/>
    </row>
    <row r="2881" spans="1:1">
      <c r="A2881" s="32"/>
    </row>
    <row r="2882" spans="1:1">
      <c r="A2882" s="32"/>
    </row>
    <row r="2883" spans="1:1">
      <c r="A2883" s="32"/>
    </row>
    <row r="2884" spans="1:1">
      <c r="A2884" s="32"/>
    </row>
    <row r="2885" spans="1:1">
      <c r="A2885" s="32"/>
    </row>
    <row r="2886" spans="1:1">
      <c r="A2886" s="32"/>
    </row>
    <row r="2887" spans="1:1">
      <c r="A2887" s="32"/>
    </row>
    <row r="2888" spans="1:1">
      <c r="A2888" s="32"/>
    </row>
    <row r="2889" spans="1:1">
      <c r="A2889" s="32"/>
    </row>
    <row r="2890" spans="1:1">
      <c r="A2890" s="32"/>
    </row>
    <row r="2891" spans="1:1">
      <c r="A2891" s="32"/>
    </row>
    <row r="2892" spans="1:1">
      <c r="A2892" s="32"/>
    </row>
    <row r="2893" spans="1:1">
      <c r="A2893" s="32"/>
    </row>
    <row r="2894" spans="1:1">
      <c r="A2894" s="32"/>
    </row>
    <row r="2895" spans="1:1">
      <c r="A2895" s="32"/>
    </row>
    <row r="2896" spans="1:1">
      <c r="A2896" s="32"/>
    </row>
    <row r="2897" spans="1:1">
      <c r="A2897" s="32"/>
    </row>
    <row r="2898" spans="1:1">
      <c r="A2898" s="32"/>
    </row>
    <row r="2899" spans="1:1">
      <c r="A2899" s="32"/>
    </row>
    <row r="2900" spans="1:1">
      <c r="A2900" s="32"/>
    </row>
    <row r="2901" spans="1:1">
      <c r="A2901" s="32"/>
    </row>
    <row r="2902" spans="1:1">
      <c r="A2902" s="32"/>
    </row>
    <row r="2903" spans="1:1">
      <c r="A2903" s="32"/>
    </row>
    <row r="2904" spans="1:1">
      <c r="A2904" s="32"/>
    </row>
    <row r="2905" spans="1:1">
      <c r="A2905" s="32"/>
    </row>
    <row r="2906" spans="1:1">
      <c r="A2906" s="32"/>
    </row>
    <row r="2907" spans="1:1">
      <c r="A2907" s="32"/>
    </row>
    <row r="2908" spans="1:1">
      <c r="A2908" s="32"/>
    </row>
    <row r="2909" spans="1:1">
      <c r="A2909" s="32"/>
    </row>
    <row r="2910" spans="1:1">
      <c r="A2910" s="32"/>
    </row>
    <row r="2911" spans="1:1">
      <c r="A2911" s="32"/>
    </row>
    <row r="2912" spans="1:1">
      <c r="A2912" s="32"/>
    </row>
    <row r="2913" spans="1:1">
      <c r="A2913" s="32"/>
    </row>
    <row r="2914" spans="1:1">
      <c r="A2914" s="32"/>
    </row>
    <row r="2915" spans="1:1">
      <c r="A2915" s="32"/>
    </row>
    <row r="2916" spans="1:1">
      <c r="A2916" s="32"/>
    </row>
    <row r="2917" spans="1:1">
      <c r="A2917" s="32"/>
    </row>
    <row r="2918" spans="1:1">
      <c r="A2918" s="32"/>
    </row>
    <row r="2919" spans="1:1">
      <c r="A2919" s="32"/>
    </row>
    <row r="2920" spans="1:1">
      <c r="A2920" s="32"/>
    </row>
    <row r="2921" spans="1:1">
      <c r="A2921" s="32"/>
    </row>
    <row r="2922" spans="1:1">
      <c r="A2922" s="32"/>
    </row>
    <row r="2923" spans="1:1">
      <c r="A2923" s="32"/>
    </row>
    <row r="2924" spans="1:1">
      <c r="A2924" s="32"/>
    </row>
    <row r="2925" spans="1:1">
      <c r="A2925" s="32"/>
    </row>
    <row r="2926" spans="1:1">
      <c r="A2926" s="32"/>
    </row>
    <row r="2927" spans="1:1">
      <c r="A2927" s="32"/>
    </row>
    <row r="2928" spans="1:1">
      <c r="A2928" s="32"/>
    </row>
    <row r="2929" spans="1:1">
      <c r="A2929" s="32"/>
    </row>
    <row r="2930" spans="1:1">
      <c r="A2930" s="32"/>
    </row>
    <row r="2931" spans="1:1">
      <c r="A2931" s="32"/>
    </row>
    <row r="2932" spans="1:1">
      <c r="A2932" s="32"/>
    </row>
    <row r="2933" spans="1:1">
      <c r="A2933" s="32"/>
    </row>
    <row r="2934" spans="1:1">
      <c r="A2934" s="32"/>
    </row>
    <row r="2935" spans="1:1">
      <c r="A2935" s="32"/>
    </row>
    <row r="2936" spans="1:1">
      <c r="A2936" s="32"/>
    </row>
    <row r="2937" spans="1:1">
      <c r="A2937" s="32"/>
    </row>
    <row r="2938" spans="1:1">
      <c r="A2938" s="32"/>
    </row>
    <row r="2939" spans="1:1">
      <c r="A2939" s="32"/>
    </row>
    <row r="2940" spans="1:1">
      <c r="A2940" s="32"/>
    </row>
    <row r="2941" spans="1:1">
      <c r="A2941" s="32"/>
    </row>
    <row r="2942" spans="1:1">
      <c r="A2942" s="32"/>
    </row>
    <row r="2943" spans="1:1">
      <c r="A2943" s="32"/>
    </row>
    <row r="2944" spans="1:1">
      <c r="A2944" s="32"/>
    </row>
    <row r="2945" spans="1:1">
      <c r="A2945" s="32"/>
    </row>
    <row r="2946" spans="1:1">
      <c r="A2946" s="32"/>
    </row>
    <row r="2947" spans="1:1">
      <c r="A2947" s="32"/>
    </row>
    <row r="2948" spans="1:1">
      <c r="A2948" s="32"/>
    </row>
    <row r="2949" spans="1:1">
      <c r="A2949" s="32"/>
    </row>
    <row r="2950" spans="1:1">
      <c r="A2950" s="32"/>
    </row>
    <row r="2951" spans="1:1">
      <c r="A2951" s="32"/>
    </row>
    <row r="2952" spans="1:1">
      <c r="A2952" s="32"/>
    </row>
    <row r="2953" spans="1:1">
      <c r="A2953" s="32"/>
    </row>
    <row r="2954" spans="1:1">
      <c r="A2954" s="32"/>
    </row>
    <row r="2955" spans="1:1">
      <c r="A2955" s="32"/>
    </row>
    <row r="2956" spans="1:1">
      <c r="A2956" s="32"/>
    </row>
    <row r="2957" spans="1:1">
      <c r="A2957" s="32"/>
    </row>
    <row r="2958" spans="1:1">
      <c r="A2958" s="32"/>
    </row>
    <row r="2959" spans="1:1">
      <c r="A2959" s="32"/>
    </row>
    <row r="2960" spans="1:1">
      <c r="A2960" s="32"/>
    </row>
    <row r="2961" spans="1:1">
      <c r="A2961" s="32"/>
    </row>
    <row r="2962" spans="1:1">
      <c r="A2962" s="32"/>
    </row>
    <row r="2963" spans="1:1">
      <c r="A2963" s="32"/>
    </row>
    <row r="2964" spans="1:1">
      <c r="A2964" s="32"/>
    </row>
    <row r="2965" spans="1:1">
      <c r="A2965" s="32"/>
    </row>
    <row r="2966" spans="1:1">
      <c r="A2966" s="32"/>
    </row>
    <row r="2967" spans="1:1">
      <c r="A2967" s="32"/>
    </row>
    <row r="2968" spans="1:1">
      <c r="A2968" s="32"/>
    </row>
    <row r="2969" spans="1:1">
      <c r="A2969" s="32"/>
    </row>
    <row r="2970" spans="1:1">
      <c r="A2970" s="32"/>
    </row>
    <row r="2971" spans="1:1">
      <c r="A2971" s="32"/>
    </row>
    <row r="2972" spans="1:1">
      <c r="A2972" s="32"/>
    </row>
    <row r="2973" spans="1:1">
      <c r="A2973" s="32"/>
    </row>
    <row r="2974" spans="1:1">
      <c r="A2974" s="32"/>
    </row>
    <row r="2975" spans="1:1">
      <c r="A2975" s="32"/>
    </row>
    <row r="2976" spans="1:1">
      <c r="A2976" s="32"/>
    </row>
    <row r="2977" spans="1:1">
      <c r="A2977" s="32"/>
    </row>
    <row r="2978" spans="1:1">
      <c r="A2978" s="32"/>
    </row>
    <row r="2979" spans="1:1">
      <c r="A2979" s="32"/>
    </row>
    <row r="2980" spans="1:1">
      <c r="A2980" s="32"/>
    </row>
    <row r="2981" spans="1:1">
      <c r="A2981" s="32"/>
    </row>
    <row r="2982" spans="1:1">
      <c r="A2982" s="32"/>
    </row>
    <row r="2983" spans="1:1">
      <c r="A2983" s="32"/>
    </row>
    <row r="2984" spans="1:1">
      <c r="A2984" s="32"/>
    </row>
    <row r="2985" spans="1:1">
      <c r="A2985" s="32"/>
    </row>
    <row r="2986" spans="1:1">
      <c r="A2986" s="32"/>
    </row>
    <row r="2987" spans="1:1">
      <c r="A2987" s="32"/>
    </row>
    <row r="2988" spans="1:1">
      <c r="A2988" s="32"/>
    </row>
    <row r="2989" spans="1:1">
      <c r="A2989" s="32"/>
    </row>
    <row r="2990" spans="1:1">
      <c r="A2990" s="32"/>
    </row>
    <row r="2991" spans="1:1">
      <c r="A2991" s="32"/>
    </row>
    <row r="2992" spans="1:1">
      <c r="A2992" s="32"/>
    </row>
    <row r="2993" spans="1:1">
      <c r="A2993" s="32"/>
    </row>
    <row r="2994" spans="1:1">
      <c r="A2994" s="32"/>
    </row>
    <row r="2995" spans="1:1">
      <c r="A2995" s="32"/>
    </row>
    <row r="2996" spans="1:1">
      <c r="A2996" s="32"/>
    </row>
    <row r="2997" spans="1:1">
      <c r="A2997" s="32"/>
    </row>
    <row r="2998" spans="1:1">
      <c r="A2998" s="32"/>
    </row>
    <row r="2999" spans="1:1">
      <c r="A2999" s="32"/>
    </row>
    <row r="3000" spans="1:1">
      <c r="A3000" s="32"/>
    </row>
    <row r="3001" spans="1:1">
      <c r="A3001" s="32"/>
    </row>
    <row r="3002" spans="1:1">
      <c r="A3002" s="32"/>
    </row>
    <row r="3003" spans="1:1">
      <c r="A3003" s="32"/>
    </row>
    <row r="3004" spans="1:1">
      <c r="A3004" s="32"/>
    </row>
    <row r="3005" spans="1:1">
      <c r="A3005" s="32"/>
    </row>
    <row r="3006" spans="1:1">
      <c r="A3006" s="32"/>
    </row>
    <row r="3007" spans="1:1">
      <c r="A3007" s="32"/>
    </row>
    <row r="3008" spans="1:1">
      <c r="A3008" s="32"/>
    </row>
    <row r="3009" spans="1:1">
      <c r="A3009" s="32"/>
    </row>
    <row r="3010" spans="1:1">
      <c r="A3010" s="32"/>
    </row>
    <row r="3011" spans="1:1">
      <c r="A3011" s="32"/>
    </row>
    <row r="3012" spans="1:1">
      <c r="A3012" s="32"/>
    </row>
    <row r="3013" spans="1:1">
      <c r="A3013" s="32"/>
    </row>
    <row r="3014" spans="1:1">
      <c r="A3014" s="32"/>
    </row>
    <row r="3015" spans="1:1">
      <c r="A3015" s="32"/>
    </row>
    <row r="3016" spans="1:1">
      <c r="A3016" s="32"/>
    </row>
    <row r="3017" spans="1:1">
      <c r="A3017" s="32"/>
    </row>
    <row r="3018" spans="1:1">
      <c r="A3018" s="32"/>
    </row>
    <row r="3019" spans="1:1">
      <c r="A3019" s="32"/>
    </row>
    <row r="3020" spans="1:1">
      <c r="A3020" s="32"/>
    </row>
    <row r="3021" spans="1:1">
      <c r="A3021" s="32"/>
    </row>
    <row r="3022" spans="1:1">
      <c r="A3022" s="32"/>
    </row>
    <row r="3023" spans="1:1">
      <c r="A3023" s="32"/>
    </row>
    <row r="3024" spans="1:1">
      <c r="A3024" s="32"/>
    </row>
    <row r="3025" spans="1:1">
      <c r="A3025" s="32"/>
    </row>
    <row r="3026" spans="1:1">
      <c r="A3026" s="32"/>
    </row>
    <row r="3027" spans="1:1">
      <c r="A3027" s="32"/>
    </row>
    <row r="3028" spans="1:1">
      <c r="A3028" s="32"/>
    </row>
    <row r="3029" spans="1:1">
      <c r="A3029" s="32"/>
    </row>
    <row r="3030" spans="1:1">
      <c r="A3030" s="32"/>
    </row>
    <row r="3031" spans="1:1">
      <c r="A3031" s="32"/>
    </row>
    <row r="3032" spans="1:1">
      <c r="A3032" s="32"/>
    </row>
    <row r="3033" spans="1:1">
      <c r="A3033" s="32"/>
    </row>
    <row r="3034" spans="1:1">
      <c r="A3034" s="32"/>
    </row>
    <row r="3035" spans="1:1">
      <c r="A3035" s="32"/>
    </row>
    <row r="3036" spans="1:1">
      <c r="A3036" s="32"/>
    </row>
    <row r="3037" spans="1:1">
      <c r="A3037" s="32"/>
    </row>
    <row r="3038" spans="1:1">
      <c r="A3038" s="32"/>
    </row>
    <row r="3039" spans="1:1">
      <c r="A3039" s="32"/>
    </row>
    <row r="3040" spans="1:1">
      <c r="A3040" s="32"/>
    </row>
    <row r="3041" spans="1:1">
      <c r="A3041" s="32"/>
    </row>
    <row r="3042" spans="1:1">
      <c r="A3042" s="32"/>
    </row>
    <row r="3043" spans="1:1">
      <c r="A3043" s="32"/>
    </row>
    <row r="3044" spans="1:1">
      <c r="A3044" s="32"/>
    </row>
    <row r="3045" spans="1:1">
      <c r="A3045" s="32"/>
    </row>
    <row r="3046" spans="1:1">
      <c r="A3046" s="32"/>
    </row>
    <row r="3047" spans="1:1">
      <c r="A3047" s="32"/>
    </row>
    <row r="3048" spans="1:1">
      <c r="A3048" s="32"/>
    </row>
    <row r="3049" spans="1:1">
      <c r="A3049" s="32"/>
    </row>
    <row r="3050" spans="1:1">
      <c r="A3050" s="32"/>
    </row>
    <row r="3051" spans="1:1">
      <c r="A3051" s="32"/>
    </row>
    <row r="3052" spans="1:1">
      <c r="A3052" s="32"/>
    </row>
    <row r="3053" spans="1:1">
      <c r="A3053" s="32"/>
    </row>
    <row r="3054" spans="1:1">
      <c r="A3054" s="32"/>
    </row>
    <row r="3055" spans="1:1">
      <c r="A3055" s="32"/>
    </row>
    <row r="3056" spans="1:1">
      <c r="A3056" s="32"/>
    </row>
    <row r="3057" spans="1:1">
      <c r="A3057" s="32"/>
    </row>
    <row r="3058" spans="1:1">
      <c r="A3058" s="32"/>
    </row>
    <row r="3059" spans="1:1">
      <c r="A3059" s="32"/>
    </row>
    <row r="3060" spans="1:1">
      <c r="A3060" s="32"/>
    </row>
    <row r="3061" spans="1:1">
      <c r="A3061" s="32"/>
    </row>
    <row r="3062" spans="1:1">
      <c r="A3062" s="32"/>
    </row>
    <row r="3063" spans="1:1">
      <c r="A3063" s="32"/>
    </row>
    <row r="3064" spans="1:1">
      <c r="A3064" s="32"/>
    </row>
    <row r="3065" spans="1:1">
      <c r="A3065" s="32"/>
    </row>
    <row r="3066" spans="1:1">
      <c r="A3066" s="32"/>
    </row>
    <row r="3067" spans="1:1">
      <c r="A3067" s="32"/>
    </row>
    <row r="3068" spans="1:1">
      <c r="A3068" s="32"/>
    </row>
    <row r="3069" spans="1:1">
      <c r="A3069" s="32"/>
    </row>
    <row r="3070" spans="1:1">
      <c r="A3070" s="32"/>
    </row>
    <row r="3071" spans="1:1">
      <c r="A3071" s="32"/>
    </row>
    <row r="3072" spans="1:1">
      <c r="A3072" s="32"/>
    </row>
    <row r="3073" spans="1:1">
      <c r="A3073" s="32"/>
    </row>
    <row r="3074" spans="1:1">
      <c r="A3074" s="32"/>
    </row>
    <row r="3075" spans="1:1">
      <c r="A3075" s="32"/>
    </row>
    <row r="3076" spans="1:1">
      <c r="A3076" s="32"/>
    </row>
    <row r="3077" spans="1:1">
      <c r="A3077" s="32"/>
    </row>
    <row r="3078" spans="1:1">
      <c r="A3078" s="32"/>
    </row>
    <row r="3079" spans="1:1">
      <c r="A3079" s="32"/>
    </row>
    <row r="3080" spans="1:1">
      <c r="A3080" s="32"/>
    </row>
    <row r="3081" spans="1:1">
      <c r="A3081" s="32"/>
    </row>
    <row r="3082" spans="1:1">
      <c r="A3082" s="32"/>
    </row>
    <row r="3083" spans="1:1">
      <c r="A3083" s="32"/>
    </row>
    <row r="3084" spans="1:1">
      <c r="A3084" s="32"/>
    </row>
    <row r="3085" spans="1:1">
      <c r="A3085" s="32"/>
    </row>
    <row r="3086" spans="1:1">
      <c r="A3086" s="32"/>
    </row>
    <row r="3087" spans="1:1">
      <c r="A3087" s="32"/>
    </row>
    <row r="3088" spans="1:1">
      <c r="A3088" s="32"/>
    </row>
    <row r="3089" spans="1:1">
      <c r="A3089" s="32"/>
    </row>
    <row r="3090" spans="1:1">
      <c r="A3090" s="32"/>
    </row>
    <row r="3091" spans="1:1">
      <c r="A3091" s="32"/>
    </row>
    <row r="3092" spans="1:1">
      <c r="A3092" s="32"/>
    </row>
    <row r="3093" spans="1:1">
      <c r="A3093" s="32"/>
    </row>
    <row r="3094" spans="1:1">
      <c r="A3094" s="32"/>
    </row>
    <row r="3095" spans="1:1">
      <c r="A3095" s="32"/>
    </row>
    <row r="3096" spans="1:1">
      <c r="A3096" s="32"/>
    </row>
    <row r="3097" spans="1:1">
      <c r="A3097" s="32"/>
    </row>
    <row r="3098" spans="1:1">
      <c r="A3098" s="32"/>
    </row>
    <row r="3099" spans="1:1">
      <c r="A3099" s="32"/>
    </row>
    <row r="3100" spans="1:1">
      <c r="A3100" s="32"/>
    </row>
    <row r="3101" spans="1:1">
      <c r="A3101" s="32"/>
    </row>
    <row r="3102" spans="1:1">
      <c r="A3102" s="32"/>
    </row>
    <row r="3103" spans="1:1">
      <c r="A3103" s="32"/>
    </row>
    <row r="3104" spans="1:1">
      <c r="A3104" s="32"/>
    </row>
    <row r="3105" spans="1:1">
      <c r="A3105" s="32"/>
    </row>
    <row r="3106" spans="1:1">
      <c r="A3106" s="32"/>
    </row>
    <row r="3107" spans="1:1">
      <c r="A3107" s="32"/>
    </row>
    <row r="3108" spans="1:1">
      <c r="A3108" s="32"/>
    </row>
    <row r="3109" spans="1:1">
      <c r="A3109" s="32"/>
    </row>
    <row r="3110" spans="1:1">
      <c r="A3110" s="32"/>
    </row>
    <row r="3111" spans="1:1">
      <c r="A3111" s="32"/>
    </row>
    <row r="3112" spans="1:1">
      <c r="A3112" s="32"/>
    </row>
    <row r="3113" spans="1:1">
      <c r="A3113" s="32"/>
    </row>
    <row r="3114" spans="1:1">
      <c r="A3114" s="32"/>
    </row>
    <row r="3115" spans="1:1">
      <c r="A3115" s="32"/>
    </row>
    <row r="3116" spans="1:1">
      <c r="A3116" s="32"/>
    </row>
    <row r="3117" spans="1:1">
      <c r="A3117" s="32"/>
    </row>
    <row r="3118" spans="1:1">
      <c r="A3118" s="32"/>
    </row>
    <row r="3119" spans="1:1">
      <c r="A3119" s="32"/>
    </row>
    <row r="3120" spans="1:1">
      <c r="A3120" s="32"/>
    </row>
    <row r="3121" spans="1:1">
      <c r="A3121" s="32"/>
    </row>
    <row r="3122" spans="1:1">
      <c r="A3122" s="32"/>
    </row>
    <row r="3123" spans="1:1">
      <c r="A3123" s="32"/>
    </row>
    <row r="3124" spans="1:1">
      <c r="A3124" s="32"/>
    </row>
    <row r="3125" spans="1:1">
      <c r="A3125" s="32"/>
    </row>
    <row r="3126" spans="1:1">
      <c r="A3126" s="32"/>
    </row>
    <row r="3127" spans="1:1">
      <c r="A3127" s="32"/>
    </row>
    <row r="3128" spans="1:1">
      <c r="A3128" s="32"/>
    </row>
    <row r="3129" spans="1:1">
      <c r="A3129" s="32"/>
    </row>
    <row r="3130" spans="1:1">
      <c r="A3130" s="32"/>
    </row>
    <row r="3131" spans="1:1">
      <c r="A3131" s="32"/>
    </row>
    <row r="3132" spans="1:1">
      <c r="A3132" s="32"/>
    </row>
    <row r="3133" spans="1:1">
      <c r="A3133" s="32"/>
    </row>
    <row r="3134" spans="1:1">
      <c r="A3134" s="32"/>
    </row>
    <row r="3135" spans="1:1">
      <c r="A3135" s="32"/>
    </row>
    <row r="3136" spans="1:1">
      <c r="A3136" s="32"/>
    </row>
    <row r="3137" spans="1:1">
      <c r="A3137" s="32"/>
    </row>
    <row r="3138" spans="1:1">
      <c r="A3138" s="32"/>
    </row>
    <row r="3139" spans="1:1">
      <c r="A3139" s="32"/>
    </row>
    <row r="3140" spans="1:1">
      <c r="A3140" s="32"/>
    </row>
    <row r="3141" spans="1:1">
      <c r="A3141" s="32"/>
    </row>
    <row r="3142" spans="1:1">
      <c r="A3142" s="32"/>
    </row>
    <row r="3143" spans="1:1">
      <c r="A3143" s="32"/>
    </row>
    <row r="3144" spans="1:1">
      <c r="A3144" s="32"/>
    </row>
    <row r="3145" spans="1:1">
      <c r="A3145" s="32"/>
    </row>
    <row r="3146" spans="1:1">
      <c r="A3146" s="32"/>
    </row>
    <row r="3147" spans="1:1">
      <c r="A3147" s="32"/>
    </row>
    <row r="3148" spans="1:1">
      <c r="A3148" s="32"/>
    </row>
    <row r="3149" spans="1:1">
      <c r="A3149" s="32"/>
    </row>
    <row r="3150" spans="1:1">
      <c r="A3150" s="32"/>
    </row>
    <row r="3151" spans="1:1">
      <c r="A3151" s="32"/>
    </row>
    <row r="3152" spans="1:1">
      <c r="A3152" s="32"/>
    </row>
    <row r="3153" spans="1:1">
      <c r="A3153" s="32"/>
    </row>
    <row r="3154" spans="1:1">
      <c r="A3154" s="32"/>
    </row>
    <row r="3155" spans="1:1">
      <c r="A3155" s="32"/>
    </row>
    <row r="3156" spans="1:1">
      <c r="A3156" s="32"/>
    </row>
    <row r="3157" spans="1:1">
      <c r="A3157" s="32"/>
    </row>
    <row r="3158" spans="1:1">
      <c r="A3158" s="32"/>
    </row>
    <row r="3159" spans="1:1">
      <c r="A3159" s="32"/>
    </row>
    <row r="3160" spans="1:1">
      <c r="A3160" s="32"/>
    </row>
    <row r="3161" spans="1:1">
      <c r="A3161" s="32"/>
    </row>
    <row r="3162" spans="1:1">
      <c r="A3162" s="32"/>
    </row>
    <row r="3163" spans="1:1">
      <c r="A3163" s="32"/>
    </row>
    <row r="3164" spans="1:1">
      <c r="A3164" s="32"/>
    </row>
    <row r="3165" spans="1:1">
      <c r="A3165" s="32"/>
    </row>
    <row r="3166" spans="1:1">
      <c r="A3166" s="32"/>
    </row>
    <row r="3167" spans="1:1">
      <c r="A3167" s="32"/>
    </row>
    <row r="3168" spans="1:1">
      <c r="A3168" s="32"/>
    </row>
    <row r="3169" spans="1:1">
      <c r="A3169" s="32"/>
    </row>
    <row r="3170" spans="1:1">
      <c r="A3170" s="32"/>
    </row>
    <row r="3171" spans="1:1">
      <c r="A3171" s="32"/>
    </row>
    <row r="3172" spans="1:1">
      <c r="A3172" s="32"/>
    </row>
    <row r="3173" spans="1:1">
      <c r="A3173" s="32"/>
    </row>
    <row r="3174" spans="1:1">
      <c r="A3174" s="32"/>
    </row>
    <row r="3175" spans="1:1">
      <c r="A3175" s="32"/>
    </row>
    <row r="3176" spans="1:1">
      <c r="A3176" s="32"/>
    </row>
    <row r="3177" spans="1:1">
      <c r="A3177" s="32"/>
    </row>
    <row r="3178" spans="1:1">
      <c r="A3178" s="32"/>
    </row>
    <row r="3179" spans="1:1">
      <c r="A3179" s="32"/>
    </row>
    <row r="3180" spans="1:1">
      <c r="A3180" s="32"/>
    </row>
    <row r="3181" spans="1:1">
      <c r="A3181" s="32"/>
    </row>
    <row r="3182" spans="1:1">
      <c r="A3182" s="32"/>
    </row>
    <row r="3183" spans="1:1">
      <c r="A3183" s="32"/>
    </row>
    <row r="3184" spans="1:1">
      <c r="A3184" s="32"/>
    </row>
    <row r="3185" spans="1:1">
      <c r="A3185" s="32"/>
    </row>
    <row r="3186" spans="1:1">
      <c r="A3186" s="32"/>
    </row>
    <row r="3187" spans="1:1">
      <c r="A3187" s="32"/>
    </row>
    <row r="3188" spans="1:1">
      <c r="A3188" s="32"/>
    </row>
    <row r="3189" spans="1:1">
      <c r="A3189" s="32"/>
    </row>
    <row r="3190" spans="1:1">
      <c r="A3190" s="32"/>
    </row>
    <row r="3191" spans="1:1">
      <c r="A3191" s="32"/>
    </row>
    <row r="3192" spans="1:1">
      <c r="A3192" s="32"/>
    </row>
    <row r="3193" spans="1:1">
      <c r="A3193" s="32"/>
    </row>
    <row r="3194" spans="1:1">
      <c r="A3194" s="32"/>
    </row>
    <row r="3195" spans="1:1">
      <c r="A3195" s="32"/>
    </row>
    <row r="3196" spans="1:1">
      <c r="A3196" s="32"/>
    </row>
    <row r="3197" spans="1:1">
      <c r="A3197" s="32"/>
    </row>
    <row r="3198" spans="1:1">
      <c r="A3198" s="32"/>
    </row>
    <row r="3199" spans="1:1">
      <c r="A3199" s="32"/>
    </row>
    <row r="3200" spans="1:1">
      <c r="A3200" s="32"/>
    </row>
    <row r="3201" spans="1:1">
      <c r="A3201" s="32"/>
    </row>
    <row r="3202" spans="1:1">
      <c r="A3202" s="32"/>
    </row>
    <row r="3203" spans="1:1">
      <c r="A3203" s="32"/>
    </row>
    <row r="3204" spans="1:1">
      <c r="A3204" s="32"/>
    </row>
    <row r="3205" spans="1:1">
      <c r="A3205" s="32"/>
    </row>
    <row r="3206" spans="1:1">
      <c r="A3206" s="32"/>
    </row>
    <row r="3207" spans="1:1">
      <c r="A3207" s="32"/>
    </row>
    <row r="3208" spans="1:1">
      <c r="A3208" s="32"/>
    </row>
    <row r="3209" spans="1:1">
      <c r="A3209" s="32"/>
    </row>
    <row r="3210" spans="1:1">
      <c r="A3210" s="32"/>
    </row>
    <row r="3211" spans="1:1">
      <c r="A3211" s="32"/>
    </row>
    <row r="3212" spans="1:1">
      <c r="A3212" s="32"/>
    </row>
    <row r="3213" spans="1:1">
      <c r="A3213" s="32"/>
    </row>
    <row r="3214" spans="1:1">
      <c r="A3214" s="32"/>
    </row>
    <row r="3215" spans="1:1">
      <c r="A3215" s="32"/>
    </row>
    <row r="3216" spans="1:1">
      <c r="A3216" s="32"/>
    </row>
    <row r="3217" spans="1:1">
      <c r="A3217" s="32"/>
    </row>
    <row r="3218" spans="1:1">
      <c r="A3218" s="32"/>
    </row>
    <row r="3219" spans="1:1">
      <c r="A3219" s="32"/>
    </row>
    <row r="3220" spans="1:1">
      <c r="A3220" s="32"/>
    </row>
    <row r="3221" spans="1:1">
      <c r="A3221" s="32"/>
    </row>
    <row r="3222" spans="1:1">
      <c r="A3222" s="32"/>
    </row>
    <row r="3223" spans="1:1">
      <c r="A3223" s="32"/>
    </row>
    <row r="3224" spans="1:1">
      <c r="A3224" s="32"/>
    </row>
    <row r="3225" spans="1:1">
      <c r="A3225" s="32"/>
    </row>
    <row r="3226" spans="1:1">
      <c r="A3226" s="32"/>
    </row>
    <row r="3227" spans="1:1">
      <c r="A3227" s="32"/>
    </row>
    <row r="3228" spans="1:1">
      <c r="A3228" s="32"/>
    </row>
    <row r="3229" spans="1:1">
      <c r="A3229" s="32"/>
    </row>
    <row r="3230" spans="1:1">
      <c r="A3230" s="32"/>
    </row>
    <row r="3231" spans="1:1">
      <c r="A3231" s="32"/>
    </row>
    <row r="3232" spans="1:1">
      <c r="A3232" s="32"/>
    </row>
    <row r="3233" spans="1:1">
      <c r="A3233" s="32"/>
    </row>
    <row r="3234" spans="1:1">
      <c r="A3234" s="32"/>
    </row>
    <row r="3235" spans="1:1">
      <c r="A3235" s="32"/>
    </row>
    <row r="3236" spans="1:1">
      <c r="A3236" s="32"/>
    </row>
    <row r="3237" spans="1:1">
      <c r="A3237" s="32"/>
    </row>
    <row r="3238" spans="1:1">
      <c r="A3238" s="32"/>
    </row>
    <row r="3239" spans="1:1">
      <c r="A3239" s="32"/>
    </row>
    <row r="3240" spans="1:1">
      <c r="A3240" s="32"/>
    </row>
    <row r="3241" spans="1:1">
      <c r="A3241" s="32"/>
    </row>
    <row r="3242" spans="1:1">
      <c r="A3242" s="32"/>
    </row>
    <row r="3243" spans="1:1">
      <c r="A3243" s="32"/>
    </row>
    <row r="3244" spans="1:1">
      <c r="A3244" s="32"/>
    </row>
    <row r="3245" spans="1:1">
      <c r="A3245" s="32"/>
    </row>
    <row r="3246" spans="1:1">
      <c r="A3246" s="32"/>
    </row>
    <row r="3247" spans="1:1">
      <c r="A3247" s="32"/>
    </row>
    <row r="3248" spans="1:1">
      <c r="A3248" s="32"/>
    </row>
    <row r="3249" spans="1:1">
      <c r="A3249" s="32"/>
    </row>
    <row r="3250" spans="1:1">
      <c r="A3250" s="32"/>
    </row>
    <row r="3251" spans="1:1">
      <c r="A3251" s="32"/>
    </row>
    <row r="3252" spans="1:1">
      <c r="A3252" s="32"/>
    </row>
    <row r="3253" spans="1:1">
      <c r="A3253" s="32"/>
    </row>
    <row r="3254" spans="1:1">
      <c r="A3254" s="32"/>
    </row>
    <row r="3255" spans="1:1">
      <c r="A3255" s="32"/>
    </row>
    <row r="3256" spans="1:1">
      <c r="A3256" s="32"/>
    </row>
    <row r="3257" spans="1:1">
      <c r="A3257" s="32"/>
    </row>
    <row r="3258" spans="1:1">
      <c r="A3258" s="32"/>
    </row>
    <row r="3259" spans="1:1">
      <c r="A3259" s="32"/>
    </row>
    <row r="3260" spans="1:1">
      <c r="A3260" s="32"/>
    </row>
    <row r="3261" spans="1:1">
      <c r="A3261" s="32"/>
    </row>
    <row r="3262" spans="1:1">
      <c r="A3262" s="32"/>
    </row>
    <row r="3263" spans="1:1">
      <c r="A3263" s="32"/>
    </row>
    <row r="3264" spans="1:1">
      <c r="A3264" s="32"/>
    </row>
    <row r="3265" spans="1:1">
      <c r="A3265" s="32"/>
    </row>
    <row r="3266" spans="1:1">
      <c r="A3266" s="32"/>
    </row>
    <row r="3267" spans="1:1">
      <c r="A3267" s="32"/>
    </row>
    <row r="3268" spans="1:1">
      <c r="A3268" s="32"/>
    </row>
    <row r="3269" spans="1:1">
      <c r="A3269" s="32"/>
    </row>
    <row r="3270" spans="1:1">
      <c r="A3270" s="32"/>
    </row>
    <row r="3271" spans="1:1">
      <c r="A3271" s="32"/>
    </row>
    <row r="3272" spans="1:1">
      <c r="A3272" s="32"/>
    </row>
    <row r="3273" spans="1:1">
      <c r="A3273" s="32"/>
    </row>
    <row r="3274" spans="1:1">
      <c r="A3274" s="32"/>
    </row>
    <row r="3275" spans="1:1">
      <c r="A3275" s="32"/>
    </row>
    <row r="3276" spans="1:1">
      <c r="A3276" s="32"/>
    </row>
    <row r="3277" spans="1:1">
      <c r="A3277" s="32"/>
    </row>
    <row r="3278" spans="1:1">
      <c r="A3278" s="32"/>
    </row>
    <row r="3279" spans="1:1">
      <c r="A3279" s="32"/>
    </row>
    <row r="3280" spans="1:1">
      <c r="A3280" s="32"/>
    </row>
    <row r="3281" spans="1:1">
      <c r="A3281" s="32"/>
    </row>
    <row r="3282" spans="1:1">
      <c r="A3282" s="32"/>
    </row>
    <row r="3283" spans="1:1">
      <c r="A3283" s="32"/>
    </row>
    <row r="3284" spans="1:1">
      <c r="A3284" s="32"/>
    </row>
    <row r="3285" spans="1:1">
      <c r="A3285" s="32"/>
    </row>
    <row r="3286" spans="1:1">
      <c r="A3286" s="32"/>
    </row>
    <row r="3287" spans="1:1">
      <c r="A3287" s="32"/>
    </row>
    <row r="3288" spans="1:1">
      <c r="A3288" s="32"/>
    </row>
    <row r="3289" spans="1:1">
      <c r="A3289" s="32"/>
    </row>
    <row r="3290" spans="1:1">
      <c r="A3290" s="32"/>
    </row>
    <row r="3291" spans="1:1">
      <c r="A3291" s="32"/>
    </row>
    <row r="3292" spans="1:1">
      <c r="A3292" s="32"/>
    </row>
    <row r="3293" spans="1:1">
      <c r="A3293" s="32"/>
    </row>
    <row r="3294" spans="1:1">
      <c r="A3294" s="32"/>
    </row>
    <row r="3295" spans="1:1">
      <c r="A3295" s="32"/>
    </row>
    <row r="3296" spans="1:1">
      <c r="A3296" s="32"/>
    </row>
    <row r="3297" spans="1:1">
      <c r="A3297" s="32"/>
    </row>
    <row r="3298" spans="1:1">
      <c r="A3298" s="32"/>
    </row>
    <row r="3299" spans="1:1">
      <c r="A3299" s="32"/>
    </row>
    <row r="3300" spans="1:1">
      <c r="A3300" s="32"/>
    </row>
    <row r="3301" spans="1:1">
      <c r="A3301" s="32"/>
    </row>
    <row r="3302" spans="1:1">
      <c r="A3302" s="32"/>
    </row>
    <row r="3303" spans="1:1">
      <c r="A3303" s="32"/>
    </row>
    <row r="3304" spans="1:1">
      <c r="A3304" s="32"/>
    </row>
    <row r="3305" spans="1:1">
      <c r="A3305" s="32"/>
    </row>
    <row r="3306" spans="1:1">
      <c r="A3306" s="32"/>
    </row>
    <row r="3307" spans="1:1">
      <c r="A3307" s="32"/>
    </row>
    <row r="3308" spans="1:1">
      <c r="A3308" s="32"/>
    </row>
    <row r="3309" spans="1:1">
      <c r="A3309" s="32"/>
    </row>
    <row r="3310" spans="1:1">
      <c r="A3310" s="32"/>
    </row>
    <row r="3311" spans="1:1">
      <c r="A3311" s="32"/>
    </row>
    <row r="3312" spans="1:1">
      <c r="A3312" s="32"/>
    </row>
    <row r="3313" spans="1:1">
      <c r="A3313" s="32"/>
    </row>
    <row r="3314" spans="1:1">
      <c r="A3314" s="32"/>
    </row>
    <row r="3315" spans="1:1">
      <c r="A3315" s="32"/>
    </row>
    <row r="3316" spans="1:1">
      <c r="A3316" s="32"/>
    </row>
    <row r="3317" spans="1:1">
      <c r="A3317" s="32"/>
    </row>
    <row r="3318" spans="1:1">
      <c r="A3318" s="32"/>
    </row>
    <row r="3319" spans="1:1">
      <c r="A3319" s="32"/>
    </row>
    <row r="3320" spans="1:1">
      <c r="A3320" s="32"/>
    </row>
    <row r="3321" spans="1:1">
      <c r="A3321" s="32"/>
    </row>
    <row r="3322" spans="1:1">
      <c r="A3322" s="32"/>
    </row>
    <row r="3323" spans="1:1">
      <c r="A3323" s="32"/>
    </row>
    <row r="3324" spans="1:1">
      <c r="A3324" s="32"/>
    </row>
    <row r="3325" spans="1:1">
      <c r="A3325" s="32"/>
    </row>
    <row r="3326" spans="1:1">
      <c r="A3326" s="32"/>
    </row>
    <row r="3327" spans="1:1">
      <c r="A3327" s="32"/>
    </row>
    <row r="3328" spans="1:1">
      <c r="A3328" s="32"/>
    </row>
    <row r="3329" spans="1:1">
      <c r="A3329" s="32"/>
    </row>
    <row r="3330" spans="1:1">
      <c r="A3330" s="32"/>
    </row>
    <row r="3331" spans="1:1">
      <c r="A3331" s="32"/>
    </row>
    <row r="3332" spans="1:1">
      <c r="A3332" s="32"/>
    </row>
    <row r="3333" spans="1:1">
      <c r="A3333" s="32"/>
    </row>
    <row r="3334" spans="1:1">
      <c r="A3334" s="32"/>
    </row>
    <row r="3335" spans="1:1">
      <c r="A3335" s="32"/>
    </row>
    <row r="3336" spans="1:1">
      <c r="A3336" s="32"/>
    </row>
    <row r="3337" spans="1:1">
      <c r="A3337" s="32"/>
    </row>
    <row r="3338" spans="1:1">
      <c r="A3338" s="32"/>
    </row>
    <row r="3339" spans="1:1">
      <c r="A3339" s="32"/>
    </row>
    <row r="3340" spans="1:1">
      <c r="A3340" s="32"/>
    </row>
    <row r="3341" spans="1:1">
      <c r="A3341" s="32"/>
    </row>
    <row r="3342" spans="1:1">
      <c r="A3342" s="32"/>
    </row>
    <row r="3343" spans="1:1">
      <c r="A3343" s="32"/>
    </row>
    <row r="3344" spans="1:1">
      <c r="A3344" s="32"/>
    </row>
    <row r="3345" spans="1:1">
      <c r="A3345" s="32"/>
    </row>
    <row r="3346" spans="1:1">
      <c r="A3346" s="32"/>
    </row>
    <row r="3347" spans="1:1">
      <c r="A3347" s="32"/>
    </row>
    <row r="3348" spans="1:1">
      <c r="A3348" s="32"/>
    </row>
    <row r="3349" spans="1:1">
      <c r="A3349" s="32"/>
    </row>
    <row r="3350" spans="1:1">
      <c r="A3350" s="32"/>
    </row>
    <row r="3351" spans="1:1">
      <c r="A3351" s="32"/>
    </row>
    <row r="3352" spans="1:1">
      <c r="A3352" s="32"/>
    </row>
    <row r="3353" spans="1:1">
      <c r="A3353" s="32"/>
    </row>
    <row r="3354" spans="1:1">
      <c r="A3354" s="32"/>
    </row>
    <row r="3355" spans="1:1">
      <c r="A3355" s="32"/>
    </row>
    <row r="3356" spans="1:1">
      <c r="A3356" s="32"/>
    </row>
    <row r="3357" spans="1:1">
      <c r="A3357" s="32"/>
    </row>
    <row r="3358" spans="1:1">
      <c r="A3358" s="32"/>
    </row>
    <row r="3359" spans="1:1">
      <c r="A3359" s="32"/>
    </row>
    <row r="3360" spans="1:1">
      <c r="A3360" s="32"/>
    </row>
    <row r="3361" spans="1:1">
      <c r="A3361" s="32"/>
    </row>
    <row r="3362" spans="1:1">
      <c r="A3362" s="32"/>
    </row>
    <row r="3363" spans="1:1">
      <c r="A3363" s="32"/>
    </row>
    <row r="3364" spans="1:1">
      <c r="A3364" s="32"/>
    </row>
    <row r="3365" spans="1:1">
      <c r="A3365" s="32"/>
    </row>
    <row r="3366" spans="1:1">
      <c r="A3366" s="32"/>
    </row>
    <row r="3367" spans="1:1">
      <c r="A3367" s="32"/>
    </row>
    <row r="3368" spans="1:1">
      <c r="A3368" s="32"/>
    </row>
    <row r="3369" spans="1:1">
      <c r="A3369" s="32"/>
    </row>
    <row r="3370" spans="1:1">
      <c r="A3370" s="32"/>
    </row>
    <row r="3371" spans="1:1">
      <c r="A3371" s="32"/>
    </row>
    <row r="3372" spans="1:1">
      <c r="A3372" s="32"/>
    </row>
    <row r="3373" spans="1:1">
      <c r="A3373" s="32"/>
    </row>
    <row r="3374" spans="1:1">
      <c r="A3374" s="32"/>
    </row>
    <row r="3375" spans="1:1">
      <c r="A3375" s="32"/>
    </row>
    <row r="3376" spans="1:1">
      <c r="A3376" s="32"/>
    </row>
    <row r="3377" spans="1:1">
      <c r="A3377" s="32"/>
    </row>
    <row r="3378" spans="1:1">
      <c r="A3378" s="32"/>
    </row>
    <row r="3379" spans="1:1">
      <c r="A3379" s="32"/>
    </row>
    <row r="3380" spans="1:1">
      <c r="A3380" s="32"/>
    </row>
    <row r="3381" spans="1:1">
      <c r="A3381" s="32"/>
    </row>
    <row r="3382" spans="1:1">
      <c r="A3382" s="32"/>
    </row>
    <row r="3383" spans="1:1">
      <c r="A3383" s="32"/>
    </row>
    <row r="3384" spans="1:1">
      <c r="A3384" s="32"/>
    </row>
    <row r="3385" spans="1:1">
      <c r="A3385" s="32"/>
    </row>
    <row r="3386" spans="1:1">
      <c r="A3386" s="32"/>
    </row>
    <row r="3387" spans="1:1">
      <c r="A3387" s="32"/>
    </row>
    <row r="3388" spans="1:1">
      <c r="A3388" s="32"/>
    </row>
    <row r="3389" spans="1:1">
      <c r="A3389" s="32"/>
    </row>
    <row r="3390" spans="1:1">
      <c r="A3390" s="32"/>
    </row>
    <row r="3391" spans="1:1">
      <c r="A3391" s="32"/>
    </row>
    <row r="3392" spans="1:1">
      <c r="A3392" s="32"/>
    </row>
    <row r="3393" spans="1:1">
      <c r="A3393" s="32"/>
    </row>
    <row r="3394" spans="1:1">
      <c r="A3394" s="32"/>
    </row>
    <row r="3395" spans="1:1">
      <c r="A3395" s="32"/>
    </row>
    <row r="3396" spans="1:1">
      <c r="A3396" s="32"/>
    </row>
    <row r="3397" spans="1:1">
      <c r="A3397" s="32"/>
    </row>
    <row r="3398" spans="1:1">
      <c r="A3398" s="32"/>
    </row>
    <row r="3399" spans="1:1">
      <c r="A3399" s="32"/>
    </row>
    <row r="3400" spans="1:1">
      <c r="A3400" s="32"/>
    </row>
    <row r="3401" spans="1:1">
      <c r="A3401" s="32"/>
    </row>
    <row r="3402" spans="1:1">
      <c r="A3402" s="32"/>
    </row>
    <row r="3403" spans="1:1">
      <c r="A3403" s="32"/>
    </row>
    <row r="3404" spans="1:1">
      <c r="A3404" s="32"/>
    </row>
    <row r="3405" spans="1:1">
      <c r="A3405" s="32"/>
    </row>
    <row r="3406" spans="1:1">
      <c r="A3406" s="32"/>
    </row>
    <row r="3407" spans="1:1">
      <c r="A3407" s="32"/>
    </row>
    <row r="3408" spans="1:1">
      <c r="A3408" s="32"/>
    </row>
    <row r="3409" spans="1:1">
      <c r="A3409" s="32"/>
    </row>
    <row r="3410" spans="1:1">
      <c r="A3410" s="32"/>
    </row>
    <row r="3411" spans="1:1">
      <c r="A3411" s="32"/>
    </row>
    <row r="3412" spans="1:1">
      <c r="A3412" s="32"/>
    </row>
    <row r="3413" spans="1:1">
      <c r="A3413" s="32"/>
    </row>
    <row r="3414" spans="1:1">
      <c r="A3414" s="32"/>
    </row>
    <row r="3415" spans="1:1">
      <c r="A3415" s="32"/>
    </row>
    <row r="3416" spans="1:1">
      <c r="A3416" s="32"/>
    </row>
    <row r="3417" spans="1:1">
      <c r="A3417" s="32"/>
    </row>
    <row r="3418" spans="1:1">
      <c r="A3418" s="32"/>
    </row>
    <row r="3419" spans="1:1">
      <c r="A3419" s="32"/>
    </row>
    <row r="3420" spans="1:1">
      <c r="A3420" s="32"/>
    </row>
    <row r="3421" spans="1:1">
      <c r="A3421" s="32"/>
    </row>
    <row r="3422" spans="1:1">
      <c r="A3422" s="32"/>
    </row>
    <row r="3423" spans="1:1">
      <c r="A3423" s="32"/>
    </row>
    <row r="3424" spans="1:1">
      <c r="A3424" s="32"/>
    </row>
    <row r="3425" spans="1:1">
      <c r="A3425" s="32"/>
    </row>
    <row r="3426" spans="1:1">
      <c r="A3426" s="32"/>
    </row>
    <row r="3427" spans="1:1">
      <c r="A3427" s="32"/>
    </row>
    <row r="3428" spans="1:1">
      <c r="A3428" s="32"/>
    </row>
    <row r="3429" spans="1:1">
      <c r="A3429" s="32"/>
    </row>
    <row r="3430" spans="1:1">
      <c r="A3430" s="32"/>
    </row>
    <row r="3431" spans="1:1">
      <c r="A3431" s="32"/>
    </row>
    <row r="3432" spans="1:1">
      <c r="A3432" s="32"/>
    </row>
    <row r="3433" spans="1:1">
      <c r="A3433" s="32"/>
    </row>
    <row r="3434" spans="1:1">
      <c r="A3434" s="32"/>
    </row>
    <row r="3435" spans="1:1">
      <c r="A3435" s="32"/>
    </row>
    <row r="3436" spans="1:1">
      <c r="A3436" s="32"/>
    </row>
    <row r="3437" spans="1:1">
      <c r="A3437" s="32"/>
    </row>
    <row r="3438" spans="1:1">
      <c r="A3438" s="32"/>
    </row>
    <row r="3439" spans="1:1">
      <c r="A3439" s="32"/>
    </row>
    <row r="3440" spans="1:1">
      <c r="A3440" s="32"/>
    </row>
    <row r="3441" spans="1:1">
      <c r="A3441" s="32"/>
    </row>
    <row r="3442" spans="1:1">
      <c r="A3442" s="32"/>
    </row>
    <row r="3443" spans="1:1">
      <c r="A3443" s="32"/>
    </row>
    <row r="3444" spans="1:1">
      <c r="A3444" s="32"/>
    </row>
    <row r="3445" spans="1:1">
      <c r="A3445" s="32"/>
    </row>
    <row r="3446" spans="1:1">
      <c r="A3446" s="32"/>
    </row>
    <row r="3447" spans="1:1">
      <c r="A3447" s="32"/>
    </row>
    <row r="3448" spans="1:1">
      <c r="A3448" s="32"/>
    </row>
    <row r="3449" spans="1:1">
      <c r="A3449" s="32"/>
    </row>
    <row r="3450" spans="1:1">
      <c r="A3450" s="32"/>
    </row>
    <row r="3451" spans="1:1">
      <c r="A3451" s="32"/>
    </row>
    <row r="3452" spans="1:1">
      <c r="A3452" s="32"/>
    </row>
    <row r="3453" spans="1:1">
      <c r="A3453" s="32"/>
    </row>
    <row r="3454" spans="1:1">
      <c r="A3454" s="32"/>
    </row>
    <row r="3455" spans="1:1">
      <c r="A3455" s="32"/>
    </row>
    <row r="3456" spans="1:1">
      <c r="A3456" s="32"/>
    </row>
    <row r="3457" spans="1:1">
      <c r="A3457" s="32"/>
    </row>
    <row r="3458" spans="1:1">
      <c r="A3458" s="32"/>
    </row>
    <row r="3459" spans="1:1">
      <c r="A3459" s="32"/>
    </row>
    <row r="3460" spans="1:1">
      <c r="A3460" s="32"/>
    </row>
    <row r="3461" spans="1:1">
      <c r="A3461" s="32"/>
    </row>
    <row r="3462" spans="1:1">
      <c r="A3462" s="32"/>
    </row>
    <row r="3463" spans="1:1">
      <c r="A3463" s="32"/>
    </row>
    <row r="3464" spans="1:1">
      <c r="A3464" s="32"/>
    </row>
    <row r="3465" spans="1:1">
      <c r="A3465" s="32"/>
    </row>
    <row r="3466" spans="1:1">
      <c r="A3466" s="32"/>
    </row>
    <row r="3467" spans="1:1">
      <c r="A3467" s="32"/>
    </row>
    <row r="3468" spans="1:1">
      <c r="A3468" s="32"/>
    </row>
    <row r="3469" spans="1:1">
      <c r="A3469" s="32"/>
    </row>
    <row r="3470" spans="1:1">
      <c r="A3470" s="32"/>
    </row>
    <row r="3471" spans="1:1">
      <c r="A3471" s="32"/>
    </row>
    <row r="3472" spans="1:1">
      <c r="A3472" s="32"/>
    </row>
    <row r="3473" spans="1:1">
      <c r="A3473" s="32"/>
    </row>
    <row r="3474" spans="1:1">
      <c r="A3474" s="32"/>
    </row>
    <row r="3475" spans="1:1">
      <c r="A3475" s="32"/>
    </row>
    <row r="3476" spans="1:1">
      <c r="A3476" s="32"/>
    </row>
    <row r="3477" spans="1:1">
      <c r="A3477" s="32"/>
    </row>
    <row r="3478" spans="1:1">
      <c r="A3478" s="32"/>
    </row>
    <row r="3479" spans="1:1">
      <c r="A3479" s="32"/>
    </row>
    <row r="3480" spans="1:1">
      <c r="A3480" s="32"/>
    </row>
    <row r="3481" spans="1:1">
      <c r="A3481" s="32"/>
    </row>
    <row r="3482" spans="1:1">
      <c r="A3482" s="32"/>
    </row>
    <row r="3483" spans="1:1">
      <c r="A3483" s="32"/>
    </row>
    <row r="3484" spans="1:1">
      <c r="A3484" s="32"/>
    </row>
    <row r="3485" spans="1:1">
      <c r="A3485" s="32"/>
    </row>
    <row r="3486" spans="1:1">
      <c r="A3486" s="32"/>
    </row>
    <row r="3487" spans="1:1">
      <c r="A3487" s="32"/>
    </row>
    <row r="3488" spans="1:1">
      <c r="A3488" s="32"/>
    </row>
    <row r="3489" spans="1:1">
      <c r="A3489" s="32"/>
    </row>
    <row r="3490" spans="1:1">
      <c r="A3490" s="32"/>
    </row>
    <row r="3491" spans="1:1">
      <c r="A3491" s="32"/>
    </row>
    <row r="3492" spans="1:1">
      <c r="A3492" s="32"/>
    </row>
    <row r="3493" spans="1:1">
      <c r="A3493" s="32"/>
    </row>
    <row r="3494" spans="1:1">
      <c r="A3494" s="32"/>
    </row>
    <row r="3495" spans="1:1">
      <c r="A3495" s="32"/>
    </row>
    <row r="3496" spans="1:1">
      <c r="A3496" s="32"/>
    </row>
    <row r="3497" spans="1:1">
      <c r="A3497" s="32"/>
    </row>
    <row r="3498" spans="1:1">
      <c r="A3498" s="32"/>
    </row>
    <row r="3499" spans="1:1">
      <c r="A3499" s="32"/>
    </row>
    <row r="3500" spans="1:1">
      <c r="A3500" s="32"/>
    </row>
    <row r="3501" spans="1:1">
      <c r="A3501" s="32"/>
    </row>
    <row r="3502" spans="1:1">
      <c r="A3502" s="32"/>
    </row>
    <row r="3503" spans="1:1">
      <c r="A3503" s="32"/>
    </row>
    <row r="3504" spans="1:1">
      <c r="A3504" s="32"/>
    </row>
    <row r="3505" spans="1:1">
      <c r="A3505" s="32"/>
    </row>
    <row r="3506" spans="1:1">
      <c r="A3506" s="32"/>
    </row>
    <row r="3507" spans="1:1">
      <c r="A3507" s="32"/>
    </row>
    <row r="3508" spans="1:1">
      <c r="A3508" s="32"/>
    </row>
    <row r="3509" spans="1:1">
      <c r="A3509" s="32"/>
    </row>
    <row r="3510" spans="1:1">
      <c r="A3510" s="32"/>
    </row>
    <row r="3511" spans="1:1">
      <c r="A3511" s="32"/>
    </row>
    <row r="3512" spans="1:1">
      <c r="A3512" s="32"/>
    </row>
    <row r="3513" spans="1:1">
      <c r="A3513" s="32"/>
    </row>
    <row r="3514" spans="1:1">
      <c r="A3514" s="32"/>
    </row>
    <row r="3515" spans="1:1">
      <c r="A3515" s="32"/>
    </row>
    <row r="3516" spans="1:1">
      <c r="A3516" s="32"/>
    </row>
    <row r="3517" spans="1:1">
      <c r="A3517" s="32"/>
    </row>
    <row r="3518" spans="1:1">
      <c r="A3518" s="32"/>
    </row>
    <row r="3519" spans="1:1">
      <c r="A3519" s="32"/>
    </row>
    <row r="3520" spans="1:1">
      <c r="A3520" s="32"/>
    </row>
    <row r="3521" spans="1:1">
      <c r="A3521" s="32"/>
    </row>
    <row r="3522" spans="1:1">
      <c r="A3522" s="32"/>
    </row>
    <row r="3523" spans="1:1">
      <c r="A3523" s="32"/>
    </row>
    <row r="3524" spans="1:1">
      <c r="A3524" s="32"/>
    </row>
    <row r="3525" spans="1:1">
      <c r="A3525" s="32"/>
    </row>
    <row r="3526" spans="1:1">
      <c r="A3526" s="32"/>
    </row>
    <row r="3527" spans="1:1">
      <c r="A3527" s="32"/>
    </row>
    <row r="3528" spans="1:1">
      <c r="A3528" s="32"/>
    </row>
    <row r="3529" spans="1:1">
      <c r="A3529" s="32"/>
    </row>
    <row r="3530" spans="1:1">
      <c r="A3530" s="32"/>
    </row>
    <row r="3531" spans="1:1">
      <c r="A3531" s="32"/>
    </row>
    <row r="3532" spans="1:1">
      <c r="A3532" s="32"/>
    </row>
    <row r="3533" spans="1:1">
      <c r="A3533" s="32"/>
    </row>
    <row r="3534" spans="1:1">
      <c r="A3534" s="32"/>
    </row>
    <row r="3535" spans="1:1">
      <c r="A3535" s="32"/>
    </row>
    <row r="3536" spans="1:1">
      <c r="A3536" s="32"/>
    </row>
    <row r="3537" spans="1:1">
      <c r="A3537" s="32"/>
    </row>
    <row r="3538" spans="1:1">
      <c r="A3538" s="32"/>
    </row>
    <row r="3539" spans="1:1">
      <c r="A3539" s="32"/>
    </row>
    <row r="3540" spans="1:1">
      <c r="A3540" s="32"/>
    </row>
    <row r="3541" spans="1:1">
      <c r="A3541" s="32"/>
    </row>
    <row r="3542" spans="1:1">
      <c r="A3542" s="32"/>
    </row>
    <row r="3543" spans="1:1">
      <c r="A3543" s="32"/>
    </row>
    <row r="3544" spans="1:1">
      <c r="A3544" s="32"/>
    </row>
    <row r="3545" spans="1:1">
      <c r="A3545" s="32"/>
    </row>
    <row r="3546" spans="1:1">
      <c r="A3546" s="32"/>
    </row>
    <row r="3547" spans="1:1">
      <c r="A3547" s="32"/>
    </row>
    <row r="3548" spans="1:1">
      <c r="A3548" s="32"/>
    </row>
    <row r="3549" spans="1:1">
      <c r="A3549" s="32"/>
    </row>
    <row r="3550" spans="1:1">
      <c r="A3550" s="32"/>
    </row>
    <row r="3551" spans="1:1">
      <c r="A3551" s="32"/>
    </row>
    <row r="3552" spans="1:1">
      <c r="A3552" s="32"/>
    </row>
    <row r="3553" spans="1:1">
      <c r="A3553" s="32"/>
    </row>
    <row r="3554" spans="1:1">
      <c r="A3554" s="32"/>
    </row>
    <row r="3555" spans="1:1">
      <c r="A3555" s="32"/>
    </row>
    <row r="3556" spans="1:1">
      <c r="A3556" s="32"/>
    </row>
    <row r="3557" spans="1:1">
      <c r="A3557" s="32"/>
    </row>
    <row r="3558" spans="1:1">
      <c r="A3558" s="32"/>
    </row>
    <row r="3559" spans="1:1">
      <c r="A3559" s="32"/>
    </row>
    <row r="3560" spans="1:1">
      <c r="A3560" s="32"/>
    </row>
    <row r="3561" spans="1:1">
      <c r="A3561" s="32"/>
    </row>
    <row r="3562" spans="1:1">
      <c r="A3562" s="32"/>
    </row>
    <row r="3563" spans="1:1">
      <c r="A3563" s="32"/>
    </row>
    <row r="3564" spans="1:1">
      <c r="A3564" s="32"/>
    </row>
    <row r="3565" spans="1:1">
      <c r="A3565" s="32"/>
    </row>
    <row r="3566" spans="1:1">
      <c r="A3566" s="32"/>
    </row>
    <row r="3567" spans="1:1">
      <c r="A3567" s="32"/>
    </row>
    <row r="3568" spans="1:1">
      <c r="A3568" s="32"/>
    </row>
    <row r="3569" spans="1:1">
      <c r="A3569" s="32"/>
    </row>
    <row r="3570" spans="1:1">
      <c r="A3570" s="32"/>
    </row>
    <row r="3571" spans="1:1">
      <c r="A3571" s="32"/>
    </row>
    <row r="3572" spans="1:1">
      <c r="A3572" s="32"/>
    </row>
    <row r="3573" spans="1:1">
      <c r="A3573" s="32"/>
    </row>
    <row r="3574" spans="1:1">
      <c r="A3574" s="32"/>
    </row>
    <row r="3575" spans="1:1">
      <c r="A3575" s="32"/>
    </row>
    <row r="3576" spans="1:1">
      <c r="A3576" s="32"/>
    </row>
    <row r="3577" spans="1:1">
      <c r="A3577" s="32"/>
    </row>
    <row r="3578" spans="1:1">
      <c r="A3578" s="32"/>
    </row>
    <row r="3579" spans="1:1">
      <c r="A3579" s="32"/>
    </row>
    <row r="3580" spans="1:1">
      <c r="A3580" s="32"/>
    </row>
    <row r="3581" spans="1:1">
      <c r="A3581" s="32"/>
    </row>
    <row r="3582" spans="1:1">
      <c r="A3582" s="32"/>
    </row>
    <row r="3583" spans="1:1">
      <c r="A3583" s="32"/>
    </row>
    <row r="3584" spans="1:1">
      <c r="A3584" s="32"/>
    </row>
    <row r="3585" spans="1:1">
      <c r="A3585" s="32"/>
    </row>
    <row r="3586" spans="1:1">
      <c r="A3586" s="32"/>
    </row>
    <row r="3587" spans="1:1">
      <c r="A3587" s="32"/>
    </row>
    <row r="3588" spans="1:1">
      <c r="A3588" s="32"/>
    </row>
    <row r="3589" spans="1:1">
      <c r="A3589" s="32"/>
    </row>
    <row r="3590" spans="1:1">
      <c r="A3590" s="32"/>
    </row>
    <row r="3591" spans="1:1">
      <c r="A3591" s="32"/>
    </row>
    <row r="3592" spans="1:1">
      <c r="A3592" s="32"/>
    </row>
    <row r="3593" spans="1:1">
      <c r="A3593" s="32"/>
    </row>
    <row r="3594" spans="1:1">
      <c r="A3594" s="32"/>
    </row>
    <row r="3595" spans="1:1">
      <c r="A3595" s="32"/>
    </row>
    <row r="3596" spans="1:1">
      <c r="A3596" s="32"/>
    </row>
    <row r="3597" spans="1:1">
      <c r="A3597" s="32"/>
    </row>
    <row r="3598" spans="1:1">
      <c r="A3598" s="32"/>
    </row>
    <row r="3599" spans="1:1">
      <c r="A3599" s="32"/>
    </row>
    <row r="3600" spans="1:1">
      <c r="A3600" s="32"/>
    </row>
    <row r="3601" spans="1:1">
      <c r="A3601" s="32"/>
    </row>
    <row r="3602" spans="1:1">
      <c r="A3602" s="32"/>
    </row>
    <row r="3603" spans="1:1">
      <c r="A3603" s="32"/>
    </row>
    <row r="3604" spans="1:1">
      <c r="A3604" s="32"/>
    </row>
    <row r="3605" spans="1:1">
      <c r="A3605" s="32"/>
    </row>
    <row r="3606" spans="1:1">
      <c r="A3606" s="32"/>
    </row>
    <row r="3607" spans="1:1">
      <c r="A3607" s="32"/>
    </row>
    <row r="3608" spans="1:1">
      <c r="A3608" s="32"/>
    </row>
    <row r="3609" spans="1:1">
      <c r="A3609" s="32"/>
    </row>
    <row r="3610" spans="1:1">
      <c r="A3610" s="32"/>
    </row>
    <row r="3611" spans="1:1">
      <c r="A3611" s="32"/>
    </row>
    <row r="3612" spans="1:1">
      <c r="A3612" s="32"/>
    </row>
    <row r="3613" spans="1:1">
      <c r="A3613" s="32"/>
    </row>
    <row r="3614" spans="1:1">
      <c r="A3614" s="32"/>
    </row>
    <row r="3615" spans="1:1">
      <c r="A3615" s="32"/>
    </row>
    <row r="3616" spans="1:1">
      <c r="A3616" s="32"/>
    </row>
    <row r="3617" spans="1:1">
      <c r="A3617" s="32"/>
    </row>
    <row r="3618" spans="1:1">
      <c r="A3618" s="32"/>
    </row>
    <row r="3619" spans="1:1">
      <c r="A3619" s="32"/>
    </row>
    <row r="3620" spans="1:1">
      <c r="A3620" s="32"/>
    </row>
    <row r="3621" spans="1:1">
      <c r="A3621" s="32"/>
    </row>
    <row r="3622" spans="1:1">
      <c r="A3622" s="32"/>
    </row>
    <row r="3623" spans="1:1">
      <c r="A3623" s="32"/>
    </row>
    <row r="3624" spans="1:1">
      <c r="A3624" s="32"/>
    </row>
    <row r="3625" spans="1:1">
      <c r="A3625" s="32"/>
    </row>
    <row r="3626" spans="1:1">
      <c r="A3626" s="32"/>
    </row>
    <row r="3627" spans="1:1">
      <c r="A3627" s="32"/>
    </row>
    <row r="3628" spans="1:1">
      <c r="A3628" s="32"/>
    </row>
    <row r="3629" spans="1:1">
      <c r="A3629" s="32"/>
    </row>
    <row r="3630" spans="1:1">
      <c r="A3630" s="32"/>
    </row>
    <row r="3631" spans="1:1">
      <c r="A3631" s="32"/>
    </row>
    <row r="3632" spans="1:1">
      <c r="A3632" s="32"/>
    </row>
    <row r="3633" spans="1:1">
      <c r="A3633" s="32"/>
    </row>
    <row r="3634" spans="1:1">
      <c r="A3634" s="32"/>
    </row>
    <row r="3635" spans="1:1">
      <c r="A3635" s="32"/>
    </row>
    <row r="3636" spans="1:1">
      <c r="A3636" s="32"/>
    </row>
    <row r="3637" spans="1:1">
      <c r="A3637" s="32"/>
    </row>
    <row r="3638" spans="1:1">
      <c r="A3638" s="32"/>
    </row>
    <row r="3639" spans="1:1">
      <c r="A3639" s="32"/>
    </row>
    <row r="3640" spans="1:1">
      <c r="A3640" s="32"/>
    </row>
    <row r="3641" spans="1:1">
      <c r="A3641" s="32"/>
    </row>
    <row r="3642" spans="1:1">
      <c r="A3642" s="32"/>
    </row>
    <row r="3643" spans="1:1">
      <c r="A3643" s="32"/>
    </row>
    <row r="3644" spans="1:1">
      <c r="A3644" s="32"/>
    </row>
    <row r="3645" spans="1:1">
      <c r="A3645" s="32"/>
    </row>
    <row r="3646" spans="1:1">
      <c r="A3646" s="32"/>
    </row>
    <row r="3647" spans="1:1">
      <c r="A3647" s="32"/>
    </row>
    <row r="3648" spans="1:1">
      <c r="A3648" s="32"/>
    </row>
    <row r="3649" spans="1:1">
      <c r="A3649" s="32"/>
    </row>
    <row r="3650" spans="1:1">
      <c r="A3650" s="32"/>
    </row>
    <row r="3651" spans="1:1">
      <c r="A3651" s="32"/>
    </row>
    <row r="3652" spans="1:1">
      <c r="A3652" s="32"/>
    </row>
    <row r="3653" spans="1:1">
      <c r="A3653" s="32"/>
    </row>
    <row r="3654" spans="1:1">
      <c r="A3654" s="32"/>
    </row>
    <row r="3655" spans="1:1">
      <c r="A3655" s="32"/>
    </row>
    <row r="3656" spans="1:1">
      <c r="A3656" s="32"/>
    </row>
    <row r="3657" spans="1:1">
      <c r="A3657" s="32"/>
    </row>
    <row r="3658" spans="1:1">
      <c r="A3658" s="32"/>
    </row>
    <row r="3659" spans="1:1">
      <c r="A3659" s="32"/>
    </row>
    <row r="3660" spans="1:1">
      <c r="A3660" s="32"/>
    </row>
    <row r="3661" spans="1:1">
      <c r="A3661" s="32"/>
    </row>
    <row r="3662" spans="1:1">
      <c r="A3662" s="32"/>
    </row>
    <row r="3663" spans="1:1">
      <c r="A3663" s="32"/>
    </row>
    <row r="3664" spans="1:1">
      <c r="A3664" s="32"/>
    </row>
    <row r="3665" spans="1:1">
      <c r="A3665" s="32"/>
    </row>
    <row r="3666" spans="1:1">
      <c r="A3666" s="32"/>
    </row>
    <row r="3667" spans="1:1">
      <c r="A3667" s="32"/>
    </row>
    <row r="3668" spans="1:1">
      <c r="A3668" s="32"/>
    </row>
    <row r="3669" spans="1:1">
      <c r="A3669" s="32"/>
    </row>
    <row r="3670" spans="1:1">
      <c r="A3670" s="32"/>
    </row>
    <row r="3671" spans="1:1">
      <c r="A3671" s="32"/>
    </row>
    <row r="3672" spans="1:1">
      <c r="A3672" s="32"/>
    </row>
    <row r="3673" spans="1:1">
      <c r="A3673" s="32"/>
    </row>
    <row r="3674" spans="1:1">
      <c r="A3674" s="32"/>
    </row>
    <row r="3675" spans="1:1">
      <c r="A3675" s="32"/>
    </row>
    <row r="3676" spans="1:1">
      <c r="A3676" s="32"/>
    </row>
    <row r="3677" spans="1:1">
      <c r="A3677" s="32"/>
    </row>
    <row r="3678" spans="1:1">
      <c r="A3678" s="32"/>
    </row>
    <row r="3679" spans="1:1">
      <c r="A3679" s="32"/>
    </row>
    <row r="3680" spans="1:1">
      <c r="A3680" s="32"/>
    </row>
    <row r="3681" spans="1:1">
      <c r="A3681" s="32"/>
    </row>
    <row r="3682" spans="1:1">
      <c r="A3682" s="32"/>
    </row>
    <row r="3683" spans="1:1">
      <c r="A3683" s="32"/>
    </row>
    <row r="3684" spans="1:1">
      <c r="A3684" s="32"/>
    </row>
    <row r="3685" spans="1:1">
      <c r="A3685" s="32"/>
    </row>
    <row r="3686" spans="1:1">
      <c r="A3686" s="32"/>
    </row>
    <row r="3687" spans="1:1">
      <c r="A3687" s="32"/>
    </row>
    <row r="3688" spans="1:1">
      <c r="A3688" s="32"/>
    </row>
    <row r="3689" spans="1:1">
      <c r="A3689" s="32"/>
    </row>
    <row r="3690" spans="1:1">
      <c r="A3690" s="32"/>
    </row>
    <row r="3691" spans="1:1">
      <c r="A3691" s="32"/>
    </row>
    <row r="3692" spans="1:1">
      <c r="A3692" s="32"/>
    </row>
    <row r="3693" spans="1:1">
      <c r="A3693" s="32"/>
    </row>
    <row r="3694" spans="1:1">
      <c r="A3694" s="32"/>
    </row>
    <row r="3695" spans="1:1">
      <c r="A3695" s="32"/>
    </row>
    <row r="3696" spans="1:1">
      <c r="A3696" s="32"/>
    </row>
    <row r="3697" spans="1:1">
      <c r="A3697" s="32"/>
    </row>
    <row r="3698" spans="1:1">
      <c r="A3698" s="32"/>
    </row>
    <row r="3699" spans="1:1">
      <c r="A3699" s="32"/>
    </row>
    <row r="3700" spans="1:1">
      <c r="A3700" s="32"/>
    </row>
    <row r="3701" spans="1:1">
      <c r="A3701" s="32"/>
    </row>
    <row r="3702" spans="1:1">
      <c r="A3702" s="32"/>
    </row>
    <row r="3703" spans="1:1">
      <c r="A3703" s="32"/>
    </row>
    <row r="3704" spans="1:1">
      <c r="A3704" s="32"/>
    </row>
    <row r="3705" spans="1:1">
      <c r="A3705" s="32"/>
    </row>
    <row r="3706" spans="1:1">
      <c r="A3706" s="32"/>
    </row>
    <row r="3707" spans="1:1">
      <c r="A3707" s="32"/>
    </row>
    <row r="3708" spans="1:1">
      <c r="A3708" s="32"/>
    </row>
    <row r="3709" spans="1:1">
      <c r="A3709" s="32"/>
    </row>
    <row r="3710" spans="1:1">
      <c r="A3710" s="32"/>
    </row>
    <row r="3711" spans="1:1">
      <c r="A3711" s="32"/>
    </row>
    <row r="3712" spans="1:1">
      <c r="A3712" s="32"/>
    </row>
    <row r="3713" spans="1:1">
      <c r="A3713" s="32"/>
    </row>
    <row r="3714" spans="1:1">
      <c r="A3714" s="32"/>
    </row>
    <row r="3715" spans="1:1">
      <c r="A3715" s="32"/>
    </row>
    <row r="3716" spans="1:1">
      <c r="A3716" s="32"/>
    </row>
    <row r="3717" spans="1:1">
      <c r="A3717" s="32"/>
    </row>
    <row r="3718" spans="1:1">
      <c r="A3718" s="32"/>
    </row>
    <row r="3719" spans="1:1">
      <c r="A3719" s="32"/>
    </row>
    <row r="3720" spans="1:1">
      <c r="A3720" s="32"/>
    </row>
    <row r="3721" spans="1:1">
      <c r="A3721" s="32"/>
    </row>
    <row r="3722" spans="1:1">
      <c r="A3722" s="32"/>
    </row>
    <row r="3723" spans="1:1">
      <c r="A3723" s="32"/>
    </row>
    <row r="3724" spans="1:1">
      <c r="A3724" s="32"/>
    </row>
    <row r="3725" spans="1:1">
      <c r="A3725" s="32"/>
    </row>
    <row r="3726" spans="1:1">
      <c r="A3726" s="32"/>
    </row>
    <row r="3727" spans="1:1">
      <c r="A3727" s="32"/>
    </row>
    <row r="3728" spans="1:1">
      <c r="A3728" s="32"/>
    </row>
    <row r="3729" spans="1:1">
      <c r="A3729" s="32"/>
    </row>
    <row r="3730" spans="1:1">
      <c r="A3730" s="32"/>
    </row>
    <row r="3731" spans="1:1">
      <c r="A3731" s="32"/>
    </row>
    <row r="3732" spans="1:1">
      <c r="A3732" s="32"/>
    </row>
    <row r="3733" spans="1:1">
      <c r="A3733" s="32"/>
    </row>
    <row r="3734" spans="1:1">
      <c r="A3734" s="32"/>
    </row>
    <row r="3735" spans="1:1">
      <c r="A3735" s="32"/>
    </row>
    <row r="3736" spans="1:1">
      <c r="A3736" s="32"/>
    </row>
    <row r="3737" spans="1:1">
      <c r="A3737" s="32"/>
    </row>
    <row r="3738" spans="1:1">
      <c r="A3738" s="32"/>
    </row>
    <row r="3739" spans="1:1">
      <c r="A3739" s="32"/>
    </row>
    <row r="3740" spans="1:1">
      <c r="A3740" s="32"/>
    </row>
    <row r="3741" spans="1:1">
      <c r="A3741" s="32"/>
    </row>
    <row r="3742" spans="1:1">
      <c r="A3742" s="32"/>
    </row>
    <row r="3743" spans="1:1">
      <c r="A3743" s="32"/>
    </row>
    <row r="3744" spans="1:1">
      <c r="A3744" s="32"/>
    </row>
    <row r="3745" spans="1:1">
      <c r="A3745" s="32"/>
    </row>
    <row r="3746" spans="1:1">
      <c r="A3746" s="32"/>
    </row>
    <row r="3747" spans="1:1">
      <c r="A3747" s="32"/>
    </row>
    <row r="3748" spans="1:1">
      <c r="A3748" s="32"/>
    </row>
    <row r="3749" spans="1:1">
      <c r="A3749" s="32"/>
    </row>
    <row r="3750" spans="1:1">
      <c r="A3750" s="32"/>
    </row>
    <row r="3751" spans="1:1">
      <c r="A3751" s="32"/>
    </row>
    <row r="3752" spans="1:1">
      <c r="A3752" s="32"/>
    </row>
    <row r="3753" spans="1:1">
      <c r="A3753" s="32"/>
    </row>
    <row r="3754" spans="1:1">
      <c r="A3754" s="32"/>
    </row>
    <row r="3755" spans="1:1">
      <c r="A3755" s="32"/>
    </row>
    <row r="3756" spans="1:1">
      <c r="A3756" s="32"/>
    </row>
    <row r="3757" spans="1:1">
      <c r="A3757" s="32"/>
    </row>
    <row r="3758" spans="1:1">
      <c r="A3758" s="32"/>
    </row>
    <row r="3759" spans="1:1">
      <c r="A3759" s="32"/>
    </row>
    <row r="3760" spans="1:1">
      <c r="A3760" s="32"/>
    </row>
    <row r="3761" spans="1:1">
      <c r="A3761" s="32"/>
    </row>
    <row r="3762" spans="1:1">
      <c r="A3762" s="32"/>
    </row>
    <row r="3763" spans="1:1">
      <c r="A3763" s="32"/>
    </row>
    <row r="3764" spans="1:1">
      <c r="A3764" s="32"/>
    </row>
    <row r="3765" spans="1:1">
      <c r="A3765" s="32"/>
    </row>
    <row r="3766" spans="1:1">
      <c r="A3766" s="32"/>
    </row>
    <row r="3767" spans="1:1">
      <c r="A3767" s="32"/>
    </row>
    <row r="3768" spans="1:1">
      <c r="A3768" s="32"/>
    </row>
    <row r="3769" spans="1:1">
      <c r="A3769" s="32"/>
    </row>
    <row r="3770" spans="1:1">
      <c r="A3770" s="32"/>
    </row>
    <row r="3771" spans="1:1">
      <c r="A3771" s="32"/>
    </row>
    <row r="3772" spans="1:1">
      <c r="A3772" s="32"/>
    </row>
    <row r="3773" spans="1:1">
      <c r="A3773" s="32"/>
    </row>
    <row r="3774" spans="1:1">
      <c r="A3774" s="32"/>
    </row>
    <row r="3775" spans="1:1">
      <c r="A3775" s="32"/>
    </row>
    <row r="3776" spans="1:1">
      <c r="A3776" s="32"/>
    </row>
    <row r="3777" spans="1:1">
      <c r="A3777" s="32"/>
    </row>
    <row r="3778" spans="1:1">
      <c r="A3778" s="32"/>
    </row>
    <row r="3779" spans="1:1">
      <c r="A3779" s="32"/>
    </row>
    <row r="3780" spans="1:1">
      <c r="A3780" s="32"/>
    </row>
    <row r="3781" spans="1:1">
      <c r="A3781" s="32"/>
    </row>
    <row r="3782" spans="1:1">
      <c r="A3782" s="32"/>
    </row>
    <row r="3783" spans="1:1">
      <c r="A3783" s="32"/>
    </row>
    <row r="3784" spans="1:1">
      <c r="A3784" s="32"/>
    </row>
    <row r="3785" spans="1:1">
      <c r="A3785" s="32"/>
    </row>
    <row r="3786" spans="1:1">
      <c r="A3786" s="32"/>
    </row>
    <row r="3787" spans="1:1">
      <c r="A3787" s="32"/>
    </row>
    <row r="3788" spans="1:1">
      <c r="A3788" s="32"/>
    </row>
    <row r="3789" spans="1:1">
      <c r="A3789" s="32"/>
    </row>
    <row r="3790" spans="1:1">
      <c r="A3790" s="32"/>
    </row>
    <row r="3791" spans="1:1">
      <c r="A3791" s="32"/>
    </row>
    <row r="3792" spans="1:1">
      <c r="A3792" s="32"/>
    </row>
    <row r="3793" spans="1:1">
      <c r="A3793" s="32"/>
    </row>
    <row r="3794" spans="1:1">
      <c r="A3794" s="32"/>
    </row>
    <row r="3795" spans="1:1">
      <c r="A3795" s="32"/>
    </row>
    <row r="3796" spans="1:1">
      <c r="A3796" s="32"/>
    </row>
    <row r="3797" spans="1:1">
      <c r="A3797" s="32"/>
    </row>
    <row r="3798" spans="1:1">
      <c r="A3798" s="32"/>
    </row>
    <row r="3799" spans="1:1">
      <c r="A3799" s="32"/>
    </row>
    <row r="3800" spans="1:1">
      <c r="A3800" s="32"/>
    </row>
    <row r="3801" spans="1:1">
      <c r="A3801" s="32"/>
    </row>
    <row r="3802" spans="1:1">
      <c r="A3802" s="32"/>
    </row>
    <row r="3803" spans="1:1">
      <c r="A3803" s="32"/>
    </row>
    <row r="3804" spans="1:1">
      <c r="A3804" s="32"/>
    </row>
    <row r="3805" spans="1:1">
      <c r="A3805" s="32"/>
    </row>
    <row r="3806" spans="1:1">
      <c r="A3806" s="32"/>
    </row>
    <row r="3807" spans="1:1">
      <c r="A3807" s="32"/>
    </row>
    <row r="3808" spans="1:1">
      <c r="A3808" s="32"/>
    </row>
    <row r="3809" spans="1:1">
      <c r="A3809" s="32"/>
    </row>
    <row r="3810" spans="1:1">
      <c r="A3810" s="32"/>
    </row>
    <row r="3811" spans="1:1">
      <c r="A3811" s="32"/>
    </row>
    <row r="3812" spans="1:1">
      <c r="A3812" s="32"/>
    </row>
    <row r="3813" spans="1:1">
      <c r="A3813" s="32"/>
    </row>
    <row r="3814" spans="1:1">
      <c r="A3814" s="32"/>
    </row>
    <row r="3815" spans="1:1">
      <c r="A3815" s="32"/>
    </row>
    <row r="3816" spans="1:1">
      <c r="A3816" s="32"/>
    </row>
    <row r="3817" spans="1:1">
      <c r="A3817" s="32"/>
    </row>
    <row r="3818" spans="1:1">
      <c r="A3818" s="32"/>
    </row>
    <row r="3819" spans="1:1">
      <c r="A3819" s="32"/>
    </row>
    <row r="3820" spans="1:1">
      <c r="A3820" s="32"/>
    </row>
    <row r="3821" spans="1:1">
      <c r="A3821" s="32"/>
    </row>
    <row r="3822" spans="1:1">
      <c r="A3822" s="32"/>
    </row>
    <row r="3823" spans="1:1">
      <c r="A3823" s="32"/>
    </row>
    <row r="3824" spans="1:1">
      <c r="A3824" s="32"/>
    </row>
    <row r="3825" spans="1:1">
      <c r="A3825" s="32"/>
    </row>
    <row r="3826" spans="1:1">
      <c r="A3826" s="32"/>
    </row>
    <row r="3827" spans="1:1">
      <c r="A3827" s="32"/>
    </row>
    <row r="3828" spans="1:1">
      <c r="A3828" s="32"/>
    </row>
    <row r="3829" spans="1:1">
      <c r="A3829" s="32"/>
    </row>
    <row r="3830" spans="1:1">
      <c r="A3830" s="32"/>
    </row>
    <row r="3831" spans="1:1">
      <c r="A3831" s="32"/>
    </row>
    <row r="3832" spans="1:1">
      <c r="A3832" s="32"/>
    </row>
    <row r="3833" spans="1:1">
      <c r="A3833" s="32"/>
    </row>
    <row r="3834" spans="1:1">
      <c r="A3834" s="32"/>
    </row>
    <row r="3835" spans="1:1">
      <c r="A3835" s="32"/>
    </row>
    <row r="3836" spans="1:1">
      <c r="A3836" s="32"/>
    </row>
    <row r="3837" spans="1:1">
      <c r="A3837" s="32"/>
    </row>
    <row r="3838" spans="1:1">
      <c r="A3838" s="32"/>
    </row>
    <row r="3839" spans="1:1">
      <c r="A3839" s="32"/>
    </row>
    <row r="3840" spans="1:1">
      <c r="A3840" s="32"/>
    </row>
    <row r="3841" spans="1:1">
      <c r="A3841" s="32"/>
    </row>
    <row r="3842" spans="1:1">
      <c r="A3842" s="32"/>
    </row>
    <row r="3843" spans="1:1">
      <c r="A3843" s="32"/>
    </row>
    <row r="3844" spans="1:1">
      <c r="A3844" s="32"/>
    </row>
    <row r="3845" spans="1:1">
      <c r="A3845" s="32"/>
    </row>
    <row r="3846" spans="1:1">
      <c r="A3846" s="32"/>
    </row>
    <row r="3847" spans="1:1">
      <c r="A3847" s="32"/>
    </row>
    <row r="3848" spans="1:1">
      <c r="A3848" s="32"/>
    </row>
    <row r="3849" spans="1:1">
      <c r="A3849" s="32"/>
    </row>
    <row r="3850" spans="1:1">
      <c r="A3850" s="32"/>
    </row>
    <row r="3851" spans="1:1">
      <c r="A3851" s="32"/>
    </row>
    <row r="3852" spans="1:1">
      <c r="A3852" s="32"/>
    </row>
    <row r="3853" spans="1:1">
      <c r="A3853" s="32"/>
    </row>
    <row r="3854" spans="1:1">
      <c r="A3854" s="32"/>
    </row>
    <row r="3855" spans="1:1">
      <c r="A3855" s="32"/>
    </row>
    <row r="3856" spans="1:1">
      <c r="A3856" s="32"/>
    </row>
    <row r="3857" spans="1:1">
      <c r="A3857" s="32"/>
    </row>
    <row r="3858" spans="1:1">
      <c r="A3858" s="32"/>
    </row>
    <row r="3859" spans="1:1">
      <c r="A3859" s="32"/>
    </row>
    <row r="3860" spans="1:1">
      <c r="A3860" s="32"/>
    </row>
    <row r="3861" spans="1:1">
      <c r="A3861" s="32"/>
    </row>
    <row r="3862" spans="1:1">
      <c r="A3862" s="32"/>
    </row>
    <row r="3863" spans="1:1">
      <c r="A3863" s="32"/>
    </row>
    <row r="3864" spans="1:1">
      <c r="A3864" s="32"/>
    </row>
    <row r="3865" spans="1:1">
      <c r="A3865" s="32"/>
    </row>
    <row r="3866" spans="1:1">
      <c r="A3866" s="32"/>
    </row>
    <row r="3867" spans="1:1">
      <c r="A3867" s="32"/>
    </row>
    <row r="3868" spans="1:1">
      <c r="A3868" s="32"/>
    </row>
    <row r="3869" spans="1:1">
      <c r="A3869" s="32"/>
    </row>
    <row r="3870" spans="1:1">
      <c r="A3870" s="32"/>
    </row>
    <row r="3871" spans="1:1">
      <c r="A3871" s="32"/>
    </row>
    <row r="3872" spans="1:1">
      <c r="A3872" s="32"/>
    </row>
    <row r="3873" spans="1:1">
      <c r="A3873" s="32"/>
    </row>
    <row r="3874" spans="1:1">
      <c r="A3874" s="32"/>
    </row>
    <row r="3875" spans="1:1">
      <c r="A3875" s="32"/>
    </row>
    <row r="3876" spans="1:1">
      <c r="A3876" s="32"/>
    </row>
    <row r="3877" spans="1:1">
      <c r="A3877" s="32"/>
    </row>
    <row r="3878" spans="1:1">
      <c r="A3878" s="32"/>
    </row>
    <row r="3879" spans="1:1">
      <c r="A3879" s="32"/>
    </row>
    <row r="3880" spans="1:1">
      <c r="A3880" s="32"/>
    </row>
    <row r="3881" spans="1:1">
      <c r="A3881" s="32"/>
    </row>
    <row r="3882" spans="1:1">
      <c r="A3882" s="32"/>
    </row>
    <row r="3883" spans="1:1">
      <c r="A3883" s="32"/>
    </row>
    <row r="3884" spans="1:1">
      <c r="A3884" s="32"/>
    </row>
    <row r="3885" spans="1:1">
      <c r="A3885" s="32"/>
    </row>
    <row r="3886" spans="1:1">
      <c r="A3886" s="32"/>
    </row>
    <row r="3887" spans="1:1">
      <c r="A3887" s="32"/>
    </row>
    <row r="3888" spans="1:1">
      <c r="A3888" s="32"/>
    </row>
    <row r="3889" spans="1:1">
      <c r="A3889" s="32"/>
    </row>
    <row r="3890" spans="1:1">
      <c r="A3890" s="32"/>
    </row>
    <row r="3891" spans="1:1">
      <c r="A3891" s="32"/>
    </row>
    <row r="3892" spans="1:1">
      <c r="A3892" s="32"/>
    </row>
    <row r="3893" spans="1:1">
      <c r="A3893" s="32"/>
    </row>
    <row r="3894" spans="1:1">
      <c r="A3894" s="32"/>
    </row>
    <row r="3895" spans="1:1">
      <c r="A3895" s="32"/>
    </row>
    <row r="3896" spans="1:1">
      <c r="A3896" s="32"/>
    </row>
    <row r="3897" spans="1:1">
      <c r="A3897" s="32"/>
    </row>
    <row r="3898" spans="1:1">
      <c r="A3898" s="32"/>
    </row>
    <row r="3899" spans="1:1">
      <c r="A3899" s="32"/>
    </row>
    <row r="3900" spans="1:1">
      <c r="A3900" s="32"/>
    </row>
    <row r="3901" spans="1:1">
      <c r="A3901" s="32"/>
    </row>
    <row r="3902" spans="1:1">
      <c r="A3902" s="32"/>
    </row>
    <row r="3903" spans="1:1">
      <c r="A3903" s="32"/>
    </row>
    <row r="3904" spans="1:1">
      <c r="A3904" s="32"/>
    </row>
    <row r="3905" spans="1:1">
      <c r="A3905" s="32"/>
    </row>
    <row r="3906" spans="1:1">
      <c r="A3906" s="32"/>
    </row>
    <row r="3907" spans="1:1">
      <c r="A3907" s="32"/>
    </row>
    <row r="3908" spans="1:1">
      <c r="A3908" s="32"/>
    </row>
    <row r="3909" spans="1:1">
      <c r="A3909" s="32"/>
    </row>
    <row r="3910" spans="1:1">
      <c r="A3910" s="32"/>
    </row>
    <row r="3911" spans="1:1">
      <c r="A3911" s="32"/>
    </row>
    <row r="3912" spans="1:1">
      <c r="A3912" s="32"/>
    </row>
    <row r="3913" spans="1:1">
      <c r="A3913" s="32"/>
    </row>
    <row r="3914" spans="1:1">
      <c r="A3914" s="32"/>
    </row>
    <row r="3915" spans="1:1">
      <c r="A3915" s="32"/>
    </row>
    <row r="3916" spans="1:1">
      <c r="A3916" s="32"/>
    </row>
    <row r="3917" spans="1:1">
      <c r="A3917" s="32"/>
    </row>
    <row r="3918" spans="1:1">
      <c r="A3918" s="32"/>
    </row>
    <row r="3919" spans="1:1">
      <c r="A3919" s="32"/>
    </row>
    <row r="3920" spans="1:1">
      <c r="A3920" s="32"/>
    </row>
    <row r="3921" spans="1:1">
      <c r="A3921" s="32"/>
    </row>
    <row r="3922" spans="1:1">
      <c r="A3922" s="32"/>
    </row>
    <row r="3923" spans="1:1">
      <c r="A3923" s="32"/>
    </row>
    <row r="3924" spans="1:1">
      <c r="A3924" s="32"/>
    </row>
    <row r="3925" spans="1:1">
      <c r="A3925" s="32"/>
    </row>
    <row r="3926" spans="1:1">
      <c r="A3926" s="32"/>
    </row>
    <row r="3927" spans="1:1">
      <c r="A3927" s="32"/>
    </row>
    <row r="3928" spans="1:1">
      <c r="A3928" s="32"/>
    </row>
    <row r="3929" spans="1:1">
      <c r="A3929" s="32"/>
    </row>
    <row r="3930" spans="1:1">
      <c r="A3930" s="32"/>
    </row>
    <row r="3931" spans="1:1">
      <c r="A3931" s="32"/>
    </row>
    <row r="3932" spans="1:1">
      <c r="A3932" s="32"/>
    </row>
    <row r="3933" spans="1:1">
      <c r="A3933" s="32"/>
    </row>
    <row r="3934" spans="1:1">
      <c r="A3934" s="32"/>
    </row>
    <row r="3935" spans="1:1">
      <c r="A3935" s="32"/>
    </row>
    <row r="3936" spans="1:1">
      <c r="A3936" s="32"/>
    </row>
    <row r="3937" spans="1:1">
      <c r="A3937" s="32"/>
    </row>
    <row r="3938" spans="1:1">
      <c r="A3938" s="32"/>
    </row>
    <row r="3939" spans="1:1">
      <c r="A3939" s="32"/>
    </row>
    <row r="3940" spans="1:1">
      <c r="A3940" s="32"/>
    </row>
    <row r="3941" spans="1:1">
      <c r="A3941" s="32"/>
    </row>
    <row r="3942" spans="1:1">
      <c r="A3942" s="32"/>
    </row>
    <row r="3943" spans="1:1">
      <c r="A3943" s="32"/>
    </row>
    <row r="3944" spans="1:1">
      <c r="A3944" s="32"/>
    </row>
    <row r="3945" spans="1:1">
      <c r="A3945" s="32"/>
    </row>
    <row r="3946" spans="1:1">
      <c r="A3946" s="32"/>
    </row>
    <row r="3947" spans="1:1">
      <c r="A3947" s="32"/>
    </row>
    <row r="3948" spans="1:1">
      <c r="A3948" s="32"/>
    </row>
    <row r="3949" spans="1:1">
      <c r="A3949" s="32"/>
    </row>
    <row r="3950" spans="1:1">
      <c r="A3950" s="32"/>
    </row>
    <row r="3951" spans="1:1">
      <c r="A3951" s="32"/>
    </row>
    <row r="3952" spans="1:1">
      <c r="A3952" s="32"/>
    </row>
    <row r="3953" spans="1:1">
      <c r="A3953" s="32"/>
    </row>
    <row r="3954" spans="1:1">
      <c r="A3954" s="32"/>
    </row>
    <row r="3955" spans="1:1">
      <c r="A3955" s="32"/>
    </row>
    <row r="3956" spans="1:1">
      <c r="A3956" s="32"/>
    </row>
    <row r="3957" spans="1:1">
      <c r="A3957" s="32"/>
    </row>
    <row r="3958" spans="1:1">
      <c r="A3958" s="32"/>
    </row>
    <row r="3959" spans="1:1">
      <c r="A3959" s="32"/>
    </row>
    <row r="3960" spans="1:1">
      <c r="A3960" s="32"/>
    </row>
    <row r="3961" spans="1:1">
      <c r="A3961" s="32"/>
    </row>
    <row r="3962" spans="1:1">
      <c r="A3962" s="32"/>
    </row>
    <row r="3963" spans="1:1">
      <c r="A3963" s="32"/>
    </row>
    <row r="3964" spans="1:1">
      <c r="A3964" s="32"/>
    </row>
    <row r="3965" spans="1:1">
      <c r="A3965" s="32"/>
    </row>
    <row r="3966" spans="1:1">
      <c r="A3966" s="32"/>
    </row>
    <row r="3967" spans="1:1">
      <c r="A3967" s="32"/>
    </row>
    <row r="3968" spans="1:1">
      <c r="A3968" s="32"/>
    </row>
    <row r="3969" spans="1:1">
      <c r="A3969" s="32"/>
    </row>
    <row r="3970" spans="1:1">
      <c r="A3970" s="32"/>
    </row>
    <row r="3971" spans="1:1">
      <c r="A3971" s="32"/>
    </row>
    <row r="3972" spans="1:1">
      <c r="A3972" s="32"/>
    </row>
    <row r="3973" spans="1:1">
      <c r="A3973" s="32"/>
    </row>
    <row r="3974" spans="1:1">
      <c r="A3974" s="32"/>
    </row>
    <row r="3975" spans="1:1">
      <c r="A3975" s="32"/>
    </row>
    <row r="3976" spans="1:1">
      <c r="A3976" s="32"/>
    </row>
    <row r="3977" spans="1:1">
      <c r="A3977" s="32"/>
    </row>
    <row r="3978" spans="1:1">
      <c r="A3978" s="32"/>
    </row>
    <row r="3979" spans="1:1">
      <c r="A3979" s="32"/>
    </row>
    <row r="3980" spans="1:1">
      <c r="A3980" s="32"/>
    </row>
    <row r="3981" spans="1:1">
      <c r="A3981" s="32"/>
    </row>
    <row r="3982" spans="1:1">
      <c r="A3982" s="32"/>
    </row>
    <row r="3983" spans="1:1">
      <c r="A3983" s="32"/>
    </row>
    <row r="3984" spans="1:1">
      <c r="A3984" s="32"/>
    </row>
    <row r="3985" spans="1:1">
      <c r="A3985" s="32"/>
    </row>
    <row r="3986" spans="1:1">
      <c r="A3986" s="32"/>
    </row>
    <row r="3987" spans="1:1">
      <c r="A3987" s="32"/>
    </row>
    <row r="3988" spans="1:1">
      <c r="A3988" s="32"/>
    </row>
    <row r="3989" spans="1:1">
      <c r="A3989" s="32"/>
    </row>
    <row r="3990" spans="1:1">
      <c r="A3990" s="32"/>
    </row>
    <row r="3991" spans="1:1">
      <c r="A3991" s="32"/>
    </row>
    <row r="3992" spans="1:1">
      <c r="A3992" s="32"/>
    </row>
    <row r="3993" spans="1:1">
      <c r="A3993" s="32"/>
    </row>
    <row r="3994" spans="1:1">
      <c r="A3994" s="32"/>
    </row>
    <row r="3995" spans="1:1">
      <c r="A3995" s="32"/>
    </row>
    <row r="3996" spans="1:1">
      <c r="A3996" s="32"/>
    </row>
    <row r="3997" spans="1:1">
      <c r="A3997" s="32"/>
    </row>
    <row r="3998" spans="1:1">
      <c r="A3998" s="32"/>
    </row>
    <row r="3999" spans="1:1">
      <c r="A3999" s="32"/>
    </row>
    <row r="4000" spans="1:1">
      <c r="A4000" s="32"/>
    </row>
    <row r="4001" spans="1:1">
      <c r="A4001" s="32"/>
    </row>
    <row r="4002" spans="1:1">
      <c r="A4002" s="32"/>
    </row>
    <row r="4003" spans="1:1">
      <c r="A4003" s="32"/>
    </row>
    <row r="4004" spans="1:1">
      <c r="A4004" s="32"/>
    </row>
    <row r="4005" spans="1:1">
      <c r="A4005" s="32"/>
    </row>
    <row r="4006" spans="1:1">
      <c r="A4006" s="32"/>
    </row>
    <row r="4007" spans="1:1">
      <c r="A4007" s="32"/>
    </row>
    <row r="4008" spans="1:1">
      <c r="A4008" s="32"/>
    </row>
    <row r="4009" spans="1:1">
      <c r="A4009" s="32"/>
    </row>
    <row r="4010" spans="1:1">
      <c r="A4010" s="32"/>
    </row>
    <row r="4011" spans="1:1">
      <c r="A4011" s="32"/>
    </row>
    <row r="4012" spans="1:1">
      <c r="A4012" s="32"/>
    </row>
    <row r="4013" spans="1:1">
      <c r="A4013" s="32"/>
    </row>
    <row r="4014" spans="1:1">
      <c r="A4014" s="32"/>
    </row>
    <row r="4015" spans="1:1">
      <c r="A4015" s="32"/>
    </row>
    <row r="4016" spans="1:1">
      <c r="A4016" s="32"/>
    </row>
    <row r="4017" spans="1:1">
      <c r="A4017" s="32"/>
    </row>
    <row r="4018" spans="1:1">
      <c r="A4018" s="32"/>
    </row>
    <row r="4019" spans="1:1">
      <c r="A4019" s="32"/>
    </row>
    <row r="4020" spans="1:1">
      <c r="A4020" s="32"/>
    </row>
    <row r="4021" spans="1:1">
      <c r="A4021" s="32"/>
    </row>
    <row r="4022" spans="1:1">
      <c r="A4022" s="32"/>
    </row>
    <row r="4023" spans="1:1">
      <c r="A4023" s="32"/>
    </row>
    <row r="4024" spans="1:1">
      <c r="A4024" s="32"/>
    </row>
    <row r="4025" spans="1:1">
      <c r="A4025" s="32"/>
    </row>
    <row r="4026" spans="1:1">
      <c r="A4026" s="32"/>
    </row>
    <row r="4027" spans="1:1">
      <c r="A4027" s="32"/>
    </row>
    <row r="4028" spans="1:1">
      <c r="A4028" s="32"/>
    </row>
    <row r="4029" spans="1:1">
      <c r="A4029" s="32"/>
    </row>
    <row r="4030" spans="1:1">
      <c r="A4030" s="32"/>
    </row>
    <row r="4031" spans="1:1">
      <c r="A4031" s="32"/>
    </row>
    <row r="4032" spans="1:1">
      <c r="A4032" s="32"/>
    </row>
    <row r="4033" spans="1:1">
      <c r="A4033" s="32"/>
    </row>
    <row r="4034" spans="1:1">
      <c r="A4034" s="32"/>
    </row>
    <row r="4035" spans="1:1">
      <c r="A4035" s="32"/>
    </row>
    <row r="4036" spans="1:1">
      <c r="A4036" s="32"/>
    </row>
    <row r="4037" spans="1:1">
      <c r="A4037" s="32"/>
    </row>
    <row r="4038" spans="1:1">
      <c r="A4038" s="32"/>
    </row>
    <row r="4039" spans="1:1">
      <c r="A4039" s="32"/>
    </row>
    <row r="4040" spans="1:1">
      <c r="A4040" s="32"/>
    </row>
    <row r="4041" spans="1:1">
      <c r="A4041" s="32"/>
    </row>
    <row r="4042" spans="1:1">
      <c r="A4042" s="32"/>
    </row>
    <row r="4043" spans="1:1">
      <c r="A4043" s="32"/>
    </row>
    <row r="4044" spans="1:1">
      <c r="A4044" s="32"/>
    </row>
    <row r="4045" spans="1:1">
      <c r="A4045" s="32"/>
    </row>
    <row r="4046" spans="1:1">
      <c r="A4046" s="32"/>
    </row>
    <row r="4047" spans="1:1">
      <c r="A4047" s="32"/>
    </row>
    <row r="4048" spans="1:1">
      <c r="A4048" s="32"/>
    </row>
    <row r="4049" spans="1:1">
      <c r="A4049" s="32"/>
    </row>
    <row r="4050" spans="1:1">
      <c r="A4050" s="32"/>
    </row>
    <row r="4051" spans="1:1">
      <c r="A4051" s="32"/>
    </row>
    <row r="4052" spans="1:1">
      <c r="A4052" s="32"/>
    </row>
    <row r="4053" spans="1:1">
      <c r="A4053" s="32"/>
    </row>
    <row r="4054" spans="1:1">
      <c r="A4054" s="32"/>
    </row>
    <row r="4055" spans="1:1">
      <c r="A4055" s="32"/>
    </row>
    <row r="4056" spans="1:1">
      <c r="A4056" s="32"/>
    </row>
    <row r="4057" spans="1:1">
      <c r="A4057" s="32"/>
    </row>
    <row r="4058" spans="1:1">
      <c r="A4058" s="32"/>
    </row>
    <row r="4059" spans="1:1">
      <c r="A4059" s="32"/>
    </row>
    <row r="4060" spans="1:1">
      <c r="A4060" s="32"/>
    </row>
    <row r="4061" spans="1:1">
      <c r="A4061" s="32"/>
    </row>
    <row r="4062" spans="1:1">
      <c r="A4062" s="32"/>
    </row>
    <row r="4063" spans="1:1">
      <c r="A4063" s="32"/>
    </row>
    <row r="4064" spans="1:1">
      <c r="A4064" s="32"/>
    </row>
    <row r="4065" spans="1:1">
      <c r="A4065" s="32"/>
    </row>
    <row r="4066" spans="1:1">
      <c r="A4066" s="32"/>
    </row>
    <row r="4067" spans="1:1">
      <c r="A4067" s="32"/>
    </row>
    <row r="4068" spans="1:1">
      <c r="A4068" s="32"/>
    </row>
    <row r="4069" spans="1:1">
      <c r="A4069" s="32"/>
    </row>
    <row r="4070" spans="1:1">
      <c r="A4070" s="32"/>
    </row>
    <row r="4071" spans="1:1">
      <c r="A4071" s="32"/>
    </row>
    <row r="4072" spans="1:1">
      <c r="A4072" s="32"/>
    </row>
    <row r="4073" spans="1:1">
      <c r="A4073" s="32"/>
    </row>
    <row r="4074" spans="1:1">
      <c r="A4074" s="32"/>
    </row>
    <row r="4075" spans="1:1">
      <c r="A4075" s="32"/>
    </row>
    <row r="4076" spans="1:1">
      <c r="A4076" s="32"/>
    </row>
    <row r="4077" spans="1:1">
      <c r="A4077" s="32"/>
    </row>
    <row r="4078" spans="1:1">
      <c r="A4078" s="32"/>
    </row>
    <row r="4079" spans="1:1">
      <c r="A4079" s="32"/>
    </row>
    <row r="4080" spans="1:1">
      <c r="A4080" s="32"/>
    </row>
    <row r="4081" spans="1:1">
      <c r="A4081" s="32"/>
    </row>
    <row r="4082" spans="1:1">
      <c r="A4082" s="32"/>
    </row>
    <row r="4083" spans="1:1">
      <c r="A4083" s="32"/>
    </row>
    <row r="4084" spans="1:1">
      <c r="A4084" s="32"/>
    </row>
    <row r="4085" spans="1:1">
      <c r="A4085" s="32"/>
    </row>
    <row r="4086" spans="1:1">
      <c r="A4086" s="32"/>
    </row>
    <row r="4087" spans="1:1">
      <c r="A4087" s="32"/>
    </row>
    <row r="4088" spans="1:1">
      <c r="A4088" s="32"/>
    </row>
    <row r="4089" spans="1:1">
      <c r="A4089" s="32"/>
    </row>
    <row r="4090" spans="1:1">
      <c r="A4090" s="32"/>
    </row>
    <row r="4091" spans="1:1">
      <c r="A4091" s="32"/>
    </row>
    <row r="4092" spans="1:1">
      <c r="A4092" s="32"/>
    </row>
    <row r="4093" spans="1:1">
      <c r="A4093" s="32"/>
    </row>
    <row r="4094" spans="1:1">
      <c r="A4094" s="32"/>
    </row>
    <row r="4095" spans="1:1">
      <c r="A4095" s="32"/>
    </row>
    <row r="4096" spans="1:1">
      <c r="A4096" s="32"/>
    </row>
    <row r="4097" spans="1:1">
      <c r="A4097" s="32"/>
    </row>
    <row r="4098" spans="1:1">
      <c r="A4098" s="32"/>
    </row>
    <row r="4099" spans="1:1">
      <c r="A4099" s="32"/>
    </row>
    <row r="4100" spans="1:1">
      <c r="A4100" s="32"/>
    </row>
    <row r="4101" spans="1:1">
      <c r="A4101" s="32"/>
    </row>
    <row r="4102" spans="1:1">
      <c r="A4102" s="32"/>
    </row>
    <row r="4103" spans="1:1">
      <c r="A4103" s="32"/>
    </row>
    <row r="4104" spans="1:1">
      <c r="A4104" s="32"/>
    </row>
    <row r="4105" spans="1:1">
      <c r="A4105" s="32"/>
    </row>
    <row r="4106" spans="1:1">
      <c r="A4106" s="32"/>
    </row>
    <row r="4107" spans="1:1">
      <c r="A4107" s="32"/>
    </row>
    <row r="4108" spans="1:1">
      <c r="A4108" s="32"/>
    </row>
    <row r="4109" spans="1:1">
      <c r="A4109" s="32"/>
    </row>
    <row r="4110" spans="1:1">
      <c r="A4110" s="32"/>
    </row>
    <row r="4111" spans="1:1">
      <c r="A4111" s="32"/>
    </row>
    <row r="4112" spans="1:1">
      <c r="A4112" s="32"/>
    </row>
    <row r="4113" spans="1:1">
      <c r="A4113" s="32"/>
    </row>
    <row r="4114" spans="1:1">
      <c r="A4114" s="32"/>
    </row>
    <row r="4115" spans="1:1">
      <c r="A4115" s="32"/>
    </row>
    <row r="4116" spans="1:1">
      <c r="A4116" s="32"/>
    </row>
    <row r="4117" spans="1:1">
      <c r="A4117" s="32"/>
    </row>
    <row r="4118" spans="1:1">
      <c r="A4118" s="32"/>
    </row>
    <row r="4119" spans="1:1">
      <c r="A4119" s="32"/>
    </row>
    <row r="4120" spans="1:1">
      <c r="A4120" s="32"/>
    </row>
    <row r="4121" spans="1:1">
      <c r="A4121" s="32"/>
    </row>
    <row r="4122" spans="1:1">
      <c r="A4122" s="32"/>
    </row>
    <row r="4123" spans="1:1">
      <c r="A4123" s="32"/>
    </row>
    <row r="4124" spans="1:1">
      <c r="A4124" s="32"/>
    </row>
    <row r="4125" spans="1:1">
      <c r="A4125" s="32"/>
    </row>
    <row r="4126" spans="1:1">
      <c r="A4126" s="32"/>
    </row>
    <row r="4127" spans="1:1">
      <c r="A4127" s="32"/>
    </row>
    <row r="4128" spans="1:1">
      <c r="A4128" s="32"/>
    </row>
    <row r="4129" spans="1:1">
      <c r="A4129" s="32"/>
    </row>
    <row r="4130" spans="1:1">
      <c r="A4130" s="32"/>
    </row>
    <row r="4131" spans="1:1">
      <c r="A4131" s="32"/>
    </row>
    <row r="4132" spans="1:1">
      <c r="A4132" s="32"/>
    </row>
    <row r="4133" spans="1:1">
      <c r="A4133" s="32"/>
    </row>
    <row r="4134" spans="1:1">
      <c r="A4134" s="32"/>
    </row>
    <row r="4135" spans="1:1">
      <c r="A4135" s="32"/>
    </row>
    <row r="4136" spans="1:1">
      <c r="A4136" s="32"/>
    </row>
    <row r="4137" spans="1:1">
      <c r="A4137" s="32"/>
    </row>
    <row r="4138" spans="1:1">
      <c r="A4138" s="32"/>
    </row>
    <row r="4139" spans="1:1">
      <c r="A4139" s="32"/>
    </row>
    <row r="4140" spans="1:1">
      <c r="A4140" s="32"/>
    </row>
    <row r="4141" spans="1:1">
      <c r="A4141" s="32"/>
    </row>
    <row r="4142" spans="1:1">
      <c r="A4142" s="32"/>
    </row>
    <row r="4143" spans="1:1">
      <c r="A4143" s="32"/>
    </row>
    <row r="4144" spans="1:1">
      <c r="A4144" s="32"/>
    </row>
    <row r="4145" spans="1:1">
      <c r="A4145" s="32"/>
    </row>
    <row r="4146" spans="1:1">
      <c r="A4146" s="32"/>
    </row>
    <row r="4147" spans="1:1">
      <c r="A4147" s="32"/>
    </row>
    <row r="4148" spans="1:1">
      <c r="A4148" s="32"/>
    </row>
    <row r="4149" spans="1:1">
      <c r="A4149" s="32"/>
    </row>
    <row r="4150" spans="1:1">
      <c r="A4150" s="32"/>
    </row>
    <row r="4151" spans="1:1">
      <c r="A4151" s="32"/>
    </row>
    <row r="4152" spans="1:1">
      <c r="A4152" s="32"/>
    </row>
    <row r="4153" spans="1:1">
      <c r="A4153" s="32"/>
    </row>
    <row r="4154" spans="1:1">
      <c r="A4154" s="32"/>
    </row>
    <row r="4155" spans="1:1">
      <c r="A4155" s="32"/>
    </row>
    <row r="4156" spans="1:1">
      <c r="A4156" s="32"/>
    </row>
    <row r="4157" spans="1:1">
      <c r="A4157" s="32"/>
    </row>
    <row r="4158" spans="1:1">
      <c r="A4158" s="32"/>
    </row>
    <row r="4159" spans="1:1">
      <c r="A4159" s="32"/>
    </row>
    <row r="4160" spans="1:1">
      <c r="A4160" s="32"/>
    </row>
    <row r="4161" spans="1:1">
      <c r="A4161" s="32"/>
    </row>
    <row r="4162" spans="1:1">
      <c r="A4162" s="32"/>
    </row>
    <row r="4163" spans="1:1">
      <c r="A4163" s="32"/>
    </row>
    <row r="4164" spans="1:1">
      <c r="A4164" s="32"/>
    </row>
    <row r="4165" spans="1:1">
      <c r="A4165" s="32"/>
    </row>
    <row r="4166" spans="1:1">
      <c r="A4166" s="32"/>
    </row>
    <row r="4167" spans="1:1">
      <c r="A4167" s="32"/>
    </row>
    <row r="4168" spans="1:1">
      <c r="A4168" s="32"/>
    </row>
    <row r="4169" spans="1:1">
      <c r="A4169" s="32"/>
    </row>
    <row r="4170" spans="1:1">
      <c r="A4170" s="32"/>
    </row>
    <row r="4171" spans="1:1">
      <c r="A4171" s="32"/>
    </row>
    <row r="4172" spans="1:1">
      <c r="A4172" s="32"/>
    </row>
    <row r="4173" spans="1:1">
      <c r="A4173" s="32"/>
    </row>
    <row r="4174" spans="1:1">
      <c r="A4174" s="32"/>
    </row>
    <row r="4175" spans="1:1">
      <c r="A4175" s="32"/>
    </row>
    <row r="4176" spans="1:1">
      <c r="A4176" s="32"/>
    </row>
    <row r="4177" spans="1:1">
      <c r="A4177" s="32"/>
    </row>
    <row r="4178" spans="1:1">
      <c r="A4178" s="32"/>
    </row>
    <row r="4179" spans="1:1">
      <c r="A4179" s="32"/>
    </row>
    <row r="4180" spans="1:1">
      <c r="A4180" s="32"/>
    </row>
    <row r="4181" spans="1:1">
      <c r="A4181" s="32"/>
    </row>
    <row r="4182" spans="1:1">
      <c r="A4182" s="32"/>
    </row>
    <row r="4183" spans="1:1">
      <c r="A4183" s="32"/>
    </row>
    <row r="4184" spans="1:1">
      <c r="A4184" s="32"/>
    </row>
    <row r="4185" spans="1:1">
      <c r="A4185" s="32"/>
    </row>
    <row r="4186" spans="1:1">
      <c r="A4186" s="32"/>
    </row>
    <row r="4187" spans="1:1">
      <c r="A4187" s="32"/>
    </row>
    <row r="4188" spans="1:1">
      <c r="A4188" s="32"/>
    </row>
    <row r="4189" spans="1:1">
      <c r="A4189" s="32"/>
    </row>
    <row r="4190" spans="1:1">
      <c r="A4190" s="32"/>
    </row>
    <row r="4191" spans="1:1">
      <c r="A4191" s="32"/>
    </row>
    <row r="4192" spans="1:1">
      <c r="A4192" s="32"/>
    </row>
    <row r="4193" spans="1:1">
      <c r="A4193" s="32"/>
    </row>
    <row r="4194" spans="1:1">
      <c r="A4194" s="32"/>
    </row>
    <row r="4195" spans="1:1">
      <c r="A4195" s="32"/>
    </row>
    <row r="4196" spans="1:1">
      <c r="A4196" s="32"/>
    </row>
    <row r="4197" spans="1:1">
      <c r="A4197" s="32"/>
    </row>
    <row r="4198" spans="1:1">
      <c r="A4198" s="32"/>
    </row>
    <row r="4199" spans="1:1">
      <c r="A4199" s="32"/>
    </row>
    <row r="4200" spans="1:1">
      <c r="A4200" s="32"/>
    </row>
    <row r="4201" spans="1:1">
      <c r="A4201" s="32"/>
    </row>
    <row r="4202" spans="1:1">
      <c r="A4202" s="32"/>
    </row>
    <row r="4203" spans="1:1">
      <c r="A4203" s="32"/>
    </row>
    <row r="4204" spans="1:1">
      <c r="A4204" s="32"/>
    </row>
    <row r="4205" spans="1:1">
      <c r="A4205" s="32"/>
    </row>
    <row r="4206" spans="1:1">
      <c r="A4206" s="32"/>
    </row>
    <row r="4207" spans="1:1">
      <c r="A4207" s="32"/>
    </row>
    <row r="4208" spans="1:1">
      <c r="A4208" s="32"/>
    </row>
    <row r="4209" spans="1:1">
      <c r="A4209" s="32"/>
    </row>
    <row r="4210" spans="1:1">
      <c r="A4210" s="32"/>
    </row>
    <row r="4211" spans="1:1">
      <c r="A4211" s="32"/>
    </row>
    <row r="4212" spans="1:1">
      <c r="A4212" s="32"/>
    </row>
    <row r="4213" spans="1:1">
      <c r="A4213" s="32"/>
    </row>
    <row r="4214" spans="1:1">
      <c r="A4214" s="32"/>
    </row>
    <row r="4215" spans="1:1">
      <c r="A4215" s="32"/>
    </row>
    <row r="4216" spans="1:1">
      <c r="A4216" s="32"/>
    </row>
    <row r="4217" spans="1:1">
      <c r="A4217" s="32"/>
    </row>
    <row r="4218" spans="1:1">
      <c r="A4218" s="32"/>
    </row>
    <row r="4219" spans="1:1">
      <c r="A4219" s="32"/>
    </row>
    <row r="4220" spans="1:1">
      <c r="A4220" s="32"/>
    </row>
    <row r="4221" spans="1:1">
      <c r="A4221" s="32"/>
    </row>
    <row r="4222" spans="1:1">
      <c r="A4222" s="32"/>
    </row>
    <row r="4223" spans="1:1">
      <c r="A4223" s="32"/>
    </row>
    <row r="4224" spans="1:1">
      <c r="A4224" s="32"/>
    </row>
    <row r="4225" spans="1:1">
      <c r="A4225" s="32"/>
    </row>
    <row r="4226" spans="1:1">
      <c r="A4226" s="32"/>
    </row>
    <row r="4227" spans="1:1">
      <c r="A4227" s="32"/>
    </row>
    <row r="4228" spans="1:1">
      <c r="A4228" s="32"/>
    </row>
    <row r="4229" spans="1:1">
      <c r="A4229" s="32"/>
    </row>
    <row r="4230" spans="1:1">
      <c r="A4230" s="32"/>
    </row>
    <row r="4231" spans="1:1">
      <c r="A4231" s="32"/>
    </row>
    <row r="4232" spans="1:1">
      <c r="A4232" s="32"/>
    </row>
    <row r="4233" spans="1:1">
      <c r="A4233" s="32"/>
    </row>
    <row r="4234" spans="1:1">
      <c r="A4234" s="32"/>
    </row>
    <row r="4235" spans="1:1">
      <c r="A4235" s="32"/>
    </row>
    <row r="4236" spans="1:1">
      <c r="A4236" s="32"/>
    </row>
    <row r="4237" spans="1:1">
      <c r="A4237" s="32"/>
    </row>
    <row r="4238" spans="1:1">
      <c r="A4238" s="32"/>
    </row>
    <row r="4239" spans="1:1">
      <c r="A4239" s="32"/>
    </row>
    <row r="4240" spans="1:1">
      <c r="A4240" s="32"/>
    </row>
    <row r="4241" spans="1:1">
      <c r="A4241" s="32"/>
    </row>
    <row r="4242" spans="1:1">
      <c r="A4242" s="32"/>
    </row>
    <row r="4243" spans="1:1">
      <c r="A4243" s="32"/>
    </row>
    <row r="4244" spans="1:1">
      <c r="A4244" s="32"/>
    </row>
    <row r="4245" spans="1:1">
      <c r="A4245" s="32"/>
    </row>
    <row r="4246" spans="1:1">
      <c r="A4246" s="32"/>
    </row>
    <row r="4247" spans="1:1">
      <c r="A4247" s="32"/>
    </row>
    <row r="4248" spans="1:1">
      <c r="A4248" s="32"/>
    </row>
    <row r="4249" spans="1:1">
      <c r="A4249" s="32"/>
    </row>
    <row r="4250" spans="1:1">
      <c r="A4250" s="32"/>
    </row>
    <row r="4251" spans="1:1">
      <c r="A4251" s="32"/>
    </row>
    <row r="4252" spans="1:1">
      <c r="A4252" s="32"/>
    </row>
    <row r="4253" spans="1:1">
      <c r="A4253" s="32"/>
    </row>
    <row r="4254" spans="1:1">
      <c r="A4254" s="32"/>
    </row>
    <row r="4255" spans="1:1">
      <c r="A4255" s="32"/>
    </row>
    <row r="4256" spans="1:1">
      <c r="A4256" s="32"/>
    </row>
    <row r="4257" spans="1:1">
      <c r="A4257" s="32"/>
    </row>
    <row r="4258" spans="1:1">
      <c r="A4258" s="32"/>
    </row>
    <row r="4259" spans="1:1">
      <c r="A4259" s="32"/>
    </row>
    <row r="4260" spans="1:1">
      <c r="A4260" s="32"/>
    </row>
    <row r="4261" spans="1:1">
      <c r="A4261" s="32"/>
    </row>
    <row r="4262" spans="1:1">
      <c r="A4262" s="32"/>
    </row>
    <row r="4263" spans="1:1">
      <c r="A4263" s="32"/>
    </row>
    <row r="4264" spans="1:1">
      <c r="A4264" s="32"/>
    </row>
    <row r="4265" spans="1:1">
      <c r="A4265" s="32"/>
    </row>
    <row r="4266" spans="1:1">
      <c r="A4266" s="32"/>
    </row>
    <row r="4267" spans="1:1">
      <c r="A4267" s="32"/>
    </row>
    <row r="4268" spans="1:1">
      <c r="A4268" s="32"/>
    </row>
    <row r="4269" spans="1:1">
      <c r="A4269" s="32"/>
    </row>
    <row r="4270" spans="1:1">
      <c r="A4270" s="32"/>
    </row>
    <row r="4271" spans="1:1">
      <c r="A4271" s="32"/>
    </row>
    <row r="4272" spans="1:1">
      <c r="A4272" s="32"/>
    </row>
    <row r="4273" spans="1:1">
      <c r="A4273" s="32"/>
    </row>
    <row r="4274" spans="1:1">
      <c r="A4274" s="32"/>
    </row>
    <row r="4275" spans="1:1">
      <c r="A4275" s="32"/>
    </row>
    <row r="4276" spans="1:1">
      <c r="A4276" s="32"/>
    </row>
    <row r="4277" spans="1:1">
      <c r="A4277" s="32"/>
    </row>
    <row r="4278" spans="1:1">
      <c r="A4278" s="32"/>
    </row>
    <row r="4279" spans="1:1">
      <c r="A4279" s="32"/>
    </row>
    <row r="4280" spans="1:1">
      <c r="A4280" s="32"/>
    </row>
    <row r="4281" spans="1:1">
      <c r="A4281" s="32"/>
    </row>
    <row r="4282" spans="1:1">
      <c r="A4282" s="32"/>
    </row>
    <row r="4283" spans="1:1">
      <c r="A4283" s="32"/>
    </row>
    <row r="4284" spans="1:1">
      <c r="A4284" s="32"/>
    </row>
    <row r="4285" spans="1:1">
      <c r="A4285" s="32"/>
    </row>
    <row r="4286" spans="1:1">
      <c r="A4286" s="32"/>
    </row>
    <row r="4287" spans="1:1">
      <c r="A4287" s="32"/>
    </row>
    <row r="4288" spans="1:1">
      <c r="A4288" s="32"/>
    </row>
    <row r="4289" spans="1:1">
      <c r="A4289" s="32"/>
    </row>
    <row r="4290" spans="1:1">
      <c r="A4290" s="32"/>
    </row>
    <row r="4291" spans="1:1">
      <c r="A4291" s="32"/>
    </row>
    <row r="4292" spans="1:1">
      <c r="A4292" s="32"/>
    </row>
    <row r="4293" spans="1:1">
      <c r="A4293" s="32"/>
    </row>
    <row r="4294" spans="1:1">
      <c r="A4294" s="32"/>
    </row>
    <row r="4295" spans="1:1">
      <c r="A4295" s="32"/>
    </row>
    <row r="4296" spans="1:1">
      <c r="A4296" s="32"/>
    </row>
    <row r="4297" spans="1:1">
      <c r="A4297" s="32"/>
    </row>
    <row r="4298" spans="1:1">
      <c r="A4298" s="32"/>
    </row>
    <row r="4299" spans="1:1">
      <c r="A4299" s="32"/>
    </row>
    <row r="4300" spans="1:1">
      <c r="A4300" s="32"/>
    </row>
    <row r="4301" spans="1:1">
      <c r="A4301" s="32"/>
    </row>
    <row r="4302" spans="1:1">
      <c r="A4302" s="32"/>
    </row>
    <row r="4303" spans="1:1">
      <c r="A4303" s="32"/>
    </row>
    <row r="4304" spans="1:1">
      <c r="A4304" s="32"/>
    </row>
    <row r="4305" spans="1:1">
      <c r="A4305" s="32"/>
    </row>
    <row r="4306" spans="1:1">
      <c r="A4306" s="32"/>
    </row>
    <row r="4307" spans="1:1">
      <c r="A4307" s="32"/>
    </row>
    <row r="4308" spans="1:1">
      <c r="A4308" s="32"/>
    </row>
    <row r="4309" spans="1:1">
      <c r="A4309" s="32"/>
    </row>
    <row r="4310" spans="1:1">
      <c r="A4310" s="32"/>
    </row>
    <row r="4311" spans="1:1">
      <c r="A4311" s="32"/>
    </row>
    <row r="4312" spans="1:1">
      <c r="A4312" s="32"/>
    </row>
    <row r="4313" spans="1:1">
      <c r="A4313" s="32"/>
    </row>
    <row r="4314" spans="1:1">
      <c r="A4314" s="32"/>
    </row>
    <row r="4315" spans="1:1">
      <c r="A4315" s="32"/>
    </row>
    <row r="4316" spans="1:1">
      <c r="A4316" s="32"/>
    </row>
    <row r="4317" spans="1:1">
      <c r="A4317" s="32"/>
    </row>
    <row r="4318" spans="1:1">
      <c r="A4318" s="32"/>
    </row>
    <row r="4319" spans="1:1">
      <c r="A4319" s="32"/>
    </row>
    <row r="4320" spans="1:1">
      <c r="A4320" s="32"/>
    </row>
    <row r="4321" spans="1:1">
      <c r="A4321" s="32"/>
    </row>
    <row r="4322" spans="1:1">
      <c r="A4322" s="32"/>
    </row>
    <row r="4323" spans="1:1">
      <c r="A4323" s="32"/>
    </row>
    <row r="4324" spans="1:1">
      <c r="A4324" s="32"/>
    </row>
    <row r="4325" spans="1:1">
      <c r="A4325" s="32"/>
    </row>
    <row r="4326" spans="1:1">
      <c r="A4326" s="32"/>
    </row>
    <row r="4327" spans="1:1">
      <c r="A4327" s="32"/>
    </row>
    <row r="4328" spans="1:1">
      <c r="A4328" s="32"/>
    </row>
    <row r="4329" spans="1:1">
      <c r="A4329" s="32"/>
    </row>
    <row r="4330" spans="1:1">
      <c r="A4330" s="32"/>
    </row>
    <row r="4331" spans="1:1">
      <c r="A4331" s="32"/>
    </row>
    <row r="4332" spans="1:1">
      <c r="A4332" s="32"/>
    </row>
    <row r="4333" spans="1:1">
      <c r="A4333" s="32"/>
    </row>
    <row r="4334" spans="1:1">
      <c r="A4334" s="32"/>
    </row>
    <row r="4335" spans="1:1">
      <c r="A4335" s="32"/>
    </row>
    <row r="4336" spans="1:1">
      <c r="A4336" s="32"/>
    </row>
    <row r="4337" spans="1:1">
      <c r="A4337" s="32"/>
    </row>
    <row r="4338" spans="1:1">
      <c r="A4338" s="32"/>
    </row>
    <row r="4339" spans="1:1">
      <c r="A4339" s="32"/>
    </row>
    <row r="4340" spans="1:1">
      <c r="A4340" s="32"/>
    </row>
    <row r="4341" spans="1:1">
      <c r="A4341" s="32"/>
    </row>
    <row r="4342" spans="1:1">
      <c r="A4342" s="32"/>
    </row>
    <row r="4343" spans="1:1">
      <c r="A4343" s="32"/>
    </row>
    <row r="4344" spans="1:1">
      <c r="A4344" s="32"/>
    </row>
    <row r="4345" spans="1:1">
      <c r="A4345" s="32"/>
    </row>
    <row r="4346" spans="1:1">
      <c r="A4346" s="32"/>
    </row>
    <row r="4347" spans="1:1">
      <c r="A4347" s="32"/>
    </row>
    <row r="4348" spans="1:1">
      <c r="A4348" s="32"/>
    </row>
    <row r="4349" spans="1:1">
      <c r="A4349" s="32"/>
    </row>
    <row r="4350" spans="1:1">
      <c r="A4350" s="32"/>
    </row>
    <row r="4351" spans="1:1">
      <c r="A4351" s="32"/>
    </row>
    <row r="4352" spans="1:1">
      <c r="A4352" s="32"/>
    </row>
    <row r="4353" spans="1:1">
      <c r="A4353" s="32"/>
    </row>
    <row r="4354" spans="1:1">
      <c r="A4354" s="32"/>
    </row>
    <row r="4355" spans="1:1">
      <c r="A4355" s="32"/>
    </row>
    <row r="4356" spans="1:1">
      <c r="A4356" s="32"/>
    </row>
    <row r="4357" spans="1:1">
      <c r="A4357" s="32"/>
    </row>
    <row r="4358" spans="1:1">
      <c r="A4358" s="32"/>
    </row>
    <row r="4359" spans="1:1">
      <c r="A4359" s="32"/>
    </row>
    <row r="4360" spans="1:1">
      <c r="A4360" s="32"/>
    </row>
    <row r="4361" spans="1:1">
      <c r="A4361" s="32"/>
    </row>
    <row r="4362" spans="1:1">
      <c r="A4362" s="32"/>
    </row>
    <row r="4363" spans="1:1">
      <c r="A4363" s="32"/>
    </row>
    <row r="4364" spans="1:1">
      <c r="A4364" s="32"/>
    </row>
    <row r="4365" spans="1:1">
      <c r="A4365" s="32"/>
    </row>
    <row r="4366" spans="1:1">
      <c r="A4366" s="32"/>
    </row>
    <row r="4367" spans="1:1">
      <c r="A4367" s="32"/>
    </row>
    <row r="4368" spans="1:1">
      <c r="A4368" s="32"/>
    </row>
    <row r="4369" spans="1:1">
      <c r="A4369" s="32"/>
    </row>
    <row r="4370" spans="1:1">
      <c r="A4370" s="32"/>
    </row>
    <row r="4371" spans="1:1">
      <c r="A4371" s="32"/>
    </row>
    <row r="4372" spans="1:1">
      <c r="A4372" s="32"/>
    </row>
    <row r="4373" spans="1:1">
      <c r="A4373" s="32"/>
    </row>
    <row r="4374" spans="1:1">
      <c r="A4374" s="32"/>
    </row>
    <row r="4375" spans="1:1">
      <c r="A4375" s="32"/>
    </row>
    <row r="4376" spans="1:1">
      <c r="A4376" s="32"/>
    </row>
    <row r="4377" spans="1:1">
      <c r="A4377" s="32"/>
    </row>
    <row r="4378" spans="1:1">
      <c r="A4378" s="32"/>
    </row>
    <row r="4379" spans="1:1">
      <c r="A4379" s="32"/>
    </row>
    <row r="4380" spans="1:1">
      <c r="A4380" s="32"/>
    </row>
    <row r="4381" spans="1:1">
      <c r="A4381" s="32"/>
    </row>
    <row r="4382" spans="1:1">
      <c r="A4382" s="32"/>
    </row>
    <row r="4383" spans="1:1">
      <c r="A4383" s="32"/>
    </row>
    <row r="4384" spans="1:1">
      <c r="A4384" s="32"/>
    </row>
    <row r="4385" spans="1:1">
      <c r="A4385" s="32"/>
    </row>
    <row r="4386" spans="1:1">
      <c r="A4386" s="32"/>
    </row>
    <row r="4387" spans="1:1">
      <c r="A4387" s="32"/>
    </row>
    <row r="4388" spans="1:1">
      <c r="A4388" s="32"/>
    </row>
    <row r="4389" spans="1:1">
      <c r="A4389" s="32"/>
    </row>
    <row r="4390" spans="1:1">
      <c r="A4390" s="32"/>
    </row>
    <row r="4391" spans="1:1">
      <c r="A4391" s="32"/>
    </row>
    <row r="4392" spans="1:1">
      <c r="A4392" s="32"/>
    </row>
    <row r="4393" spans="1:1">
      <c r="A4393" s="32"/>
    </row>
    <row r="4394" spans="1:1">
      <c r="A4394" s="32"/>
    </row>
    <row r="4395" spans="1:1">
      <c r="A4395" s="32"/>
    </row>
    <row r="4396" spans="1:1">
      <c r="A4396" s="32"/>
    </row>
    <row r="4397" spans="1:1">
      <c r="A4397" s="32"/>
    </row>
    <row r="4398" spans="1:1">
      <c r="A4398" s="32"/>
    </row>
    <row r="4399" spans="1:1">
      <c r="A4399" s="32"/>
    </row>
    <row r="4400" spans="1:1">
      <c r="A4400" s="32"/>
    </row>
    <row r="4401" spans="1:1">
      <c r="A4401" s="32"/>
    </row>
    <row r="4402" spans="1:1">
      <c r="A4402" s="32"/>
    </row>
    <row r="4403" spans="1:1">
      <c r="A4403" s="32"/>
    </row>
    <row r="4404" spans="1:1">
      <c r="A4404" s="32"/>
    </row>
    <row r="4405" spans="1:1">
      <c r="A4405" s="32"/>
    </row>
    <row r="4406" spans="1:1">
      <c r="A4406" s="32"/>
    </row>
    <row r="4407" spans="1:1">
      <c r="A4407" s="32"/>
    </row>
    <row r="4408" spans="1:1">
      <c r="A4408" s="32"/>
    </row>
    <row r="4409" spans="1:1">
      <c r="A4409" s="32"/>
    </row>
    <row r="4410" spans="1:1">
      <c r="A4410" s="32"/>
    </row>
    <row r="4411" spans="1:1">
      <c r="A4411" s="32"/>
    </row>
    <row r="4412" spans="1:1">
      <c r="A4412" s="32"/>
    </row>
    <row r="4413" spans="1:1">
      <c r="A4413" s="32"/>
    </row>
    <row r="4414" spans="1:1">
      <c r="A4414" s="32"/>
    </row>
    <row r="4415" spans="1:1">
      <c r="A4415" s="32"/>
    </row>
    <row r="4416" spans="1:1">
      <c r="A4416" s="32"/>
    </row>
    <row r="4417" spans="1:1">
      <c r="A4417" s="32"/>
    </row>
    <row r="4418" spans="1:1">
      <c r="A4418" s="32"/>
    </row>
    <row r="4419" spans="1:1">
      <c r="A4419" s="32"/>
    </row>
    <row r="4420" spans="1:1">
      <c r="A4420" s="32"/>
    </row>
    <row r="4421" spans="1:1">
      <c r="A4421" s="32"/>
    </row>
    <row r="4422" spans="1:1">
      <c r="A4422" s="32"/>
    </row>
    <row r="4423" spans="1:1">
      <c r="A4423" s="32"/>
    </row>
    <row r="4424" spans="1:1">
      <c r="A4424" s="32"/>
    </row>
    <row r="4425" spans="1:1">
      <c r="A4425" s="32"/>
    </row>
    <row r="4426" spans="1:1">
      <c r="A4426" s="32"/>
    </row>
    <row r="4427" spans="1:1">
      <c r="A4427" s="32"/>
    </row>
    <row r="4428" spans="1:1">
      <c r="A4428" s="32"/>
    </row>
    <row r="4429" spans="1:1">
      <c r="A4429" s="32"/>
    </row>
    <row r="4430" spans="1:1">
      <c r="A4430" s="32"/>
    </row>
    <row r="4431" spans="1:1">
      <c r="A4431" s="32"/>
    </row>
    <row r="4432" spans="1:1">
      <c r="A4432" s="32"/>
    </row>
    <row r="4433" spans="1:1">
      <c r="A4433" s="32"/>
    </row>
    <row r="4434" spans="1:1">
      <c r="A4434" s="32"/>
    </row>
    <row r="4435" spans="1:1">
      <c r="A4435" s="32"/>
    </row>
    <row r="4436" spans="1:1">
      <c r="A4436" s="32"/>
    </row>
    <row r="4437" spans="1:1">
      <c r="A4437" s="32"/>
    </row>
    <row r="4438" spans="1:1">
      <c r="A4438" s="32"/>
    </row>
    <row r="4439" spans="1:1">
      <c r="A4439" s="32"/>
    </row>
    <row r="4440" spans="1:1">
      <c r="A4440" s="32"/>
    </row>
    <row r="4441" spans="1:1">
      <c r="A4441" s="32"/>
    </row>
    <row r="4442" spans="1:1">
      <c r="A4442" s="32"/>
    </row>
    <row r="4443" spans="1:1">
      <c r="A4443" s="32"/>
    </row>
    <row r="4444" spans="1:1">
      <c r="A4444" s="32"/>
    </row>
    <row r="4445" spans="1:1">
      <c r="A4445" s="32"/>
    </row>
    <row r="4446" spans="1:1">
      <c r="A4446" s="32"/>
    </row>
    <row r="4447" spans="1:1">
      <c r="A4447" s="32"/>
    </row>
    <row r="4448" spans="1:1">
      <c r="A4448" s="32"/>
    </row>
    <row r="4449" spans="1:1">
      <c r="A4449" s="32"/>
    </row>
    <row r="4450" spans="1:1">
      <c r="A4450" s="32"/>
    </row>
    <row r="4451" spans="1:1">
      <c r="A4451" s="32"/>
    </row>
    <row r="4452" spans="1:1">
      <c r="A4452" s="32"/>
    </row>
    <row r="4453" spans="1:1">
      <c r="A4453" s="32"/>
    </row>
    <row r="4454" spans="1:1">
      <c r="A4454" s="32"/>
    </row>
    <row r="4455" spans="1:1">
      <c r="A4455" s="32"/>
    </row>
    <row r="4456" spans="1:1">
      <c r="A4456" s="32"/>
    </row>
    <row r="4457" spans="1:1">
      <c r="A4457" s="32"/>
    </row>
    <row r="4458" spans="1:1">
      <c r="A4458" s="32"/>
    </row>
    <row r="4459" spans="1:1">
      <c r="A4459" s="32"/>
    </row>
    <row r="4460" spans="1:1">
      <c r="A4460" s="32"/>
    </row>
    <row r="4461" spans="1:1">
      <c r="A4461" s="32"/>
    </row>
    <row r="4462" spans="1:1">
      <c r="A4462" s="32"/>
    </row>
    <row r="4463" spans="1:1">
      <c r="A4463" s="32"/>
    </row>
    <row r="4464" spans="1:1">
      <c r="A4464" s="32"/>
    </row>
    <row r="4465" spans="1:1">
      <c r="A4465" s="32"/>
    </row>
    <row r="4466" spans="1:1">
      <c r="A4466" s="32"/>
    </row>
    <row r="4467" spans="1:1">
      <c r="A4467" s="32"/>
    </row>
    <row r="4468" spans="1:1">
      <c r="A4468" s="32"/>
    </row>
    <row r="4469" spans="1:1">
      <c r="A4469" s="32"/>
    </row>
    <row r="4470" spans="1:1">
      <c r="A4470" s="32"/>
    </row>
    <row r="4471" spans="1:1">
      <c r="A4471" s="32"/>
    </row>
    <row r="4472" spans="1:1">
      <c r="A4472" s="32"/>
    </row>
    <row r="4473" spans="1:1">
      <c r="A4473" s="32"/>
    </row>
    <row r="4474" spans="1:1">
      <c r="A4474" s="32"/>
    </row>
    <row r="4475" spans="1:1">
      <c r="A4475" s="32"/>
    </row>
    <row r="4476" spans="1:1">
      <c r="A4476" s="32"/>
    </row>
    <row r="4477" spans="1:1">
      <c r="A4477" s="32"/>
    </row>
    <row r="4478" spans="1:1">
      <c r="A4478" s="32"/>
    </row>
    <row r="4479" spans="1:1">
      <c r="A4479" s="32"/>
    </row>
    <row r="4480" spans="1:1">
      <c r="A4480" s="32"/>
    </row>
    <row r="4481" spans="1:1">
      <c r="A4481" s="32"/>
    </row>
    <row r="4482" spans="1:1">
      <c r="A4482" s="32"/>
    </row>
    <row r="4483" spans="1:1">
      <c r="A4483" s="32"/>
    </row>
    <row r="4484" spans="1:1">
      <c r="A4484" s="32"/>
    </row>
    <row r="4485" spans="1:1">
      <c r="A4485" s="32"/>
    </row>
    <row r="4486" spans="1:1">
      <c r="A4486" s="32"/>
    </row>
    <row r="4487" spans="1:1">
      <c r="A4487" s="32"/>
    </row>
    <row r="4488" spans="1:1">
      <c r="A4488" s="32"/>
    </row>
    <row r="4489" spans="1:1">
      <c r="A4489" s="32"/>
    </row>
    <row r="4490" spans="1:1">
      <c r="A4490" s="32"/>
    </row>
    <row r="4491" spans="1:1">
      <c r="A4491" s="32"/>
    </row>
    <row r="4492" spans="1:1">
      <c r="A4492" s="32"/>
    </row>
    <row r="4493" spans="1:1">
      <c r="A4493" s="32"/>
    </row>
    <row r="4494" spans="1:1">
      <c r="A4494" s="32"/>
    </row>
    <row r="4495" spans="1:1">
      <c r="A4495" s="32"/>
    </row>
    <row r="4496" spans="1:1">
      <c r="A4496" s="32"/>
    </row>
    <row r="4497" spans="1:1">
      <c r="A4497" s="32"/>
    </row>
    <row r="4498" spans="1:1">
      <c r="A4498" s="32"/>
    </row>
    <row r="4499" spans="1:1">
      <c r="A4499" s="32"/>
    </row>
    <row r="4500" spans="1:1">
      <c r="A4500" s="32"/>
    </row>
    <row r="4501" spans="1:1">
      <c r="A4501" s="32"/>
    </row>
    <row r="4502" spans="1:1">
      <c r="A4502" s="32"/>
    </row>
    <row r="4503" spans="1:1">
      <c r="A4503" s="32"/>
    </row>
    <row r="4504" spans="1:1">
      <c r="A4504" s="32"/>
    </row>
    <row r="4505" spans="1:1">
      <c r="A4505" s="32"/>
    </row>
    <row r="4506" spans="1:1">
      <c r="A4506" s="32"/>
    </row>
    <row r="4507" spans="1:1">
      <c r="A4507" s="32"/>
    </row>
    <row r="4508" spans="1:1">
      <c r="A4508" s="32"/>
    </row>
    <row r="4509" spans="1:1">
      <c r="A4509" s="32"/>
    </row>
    <row r="4510" spans="1:1">
      <c r="A4510" s="32"/>
    </row>
    <row r="4511" spans="1:1">
      <c r="A4511" s="32"/>
    </row>
    <row r="4512" spans="1:1">
      <c r="A4512" s="32"/>
    </row>
    <row r="4513" spans="1:1">
      <c r="A4513" s="32"/>
    </row>
    <row r="4514" spans="1:1">
      <c r="A4514" s="32"/>
    </row>
    <row r="4515" spans="1:1">
      <c r="A4515" s="32"/>
    </row>
    <row r="4516" spans="1:1">
      <c r="A4516" s="32"/>
    </row>
    <row r="4517" spans="1:1">
      <c r="A4517" s="32"/>
    </row>
    <row r="4518" spans="1:1">
      <c r="A4518" s="32"/>
    </row>
    <row r="4519" spans="1:1">
      <c r="A4519" s="32"/>
    </row>
    <row r="4520" spans="1:1">
      <c r="A4520" s="32"/>
    </row>
    <row r="4521" spans="1:1">
      <c r="A4521" s="32"/>
    </row>
    <row r="4522" spans="1:1">
      <c r="A4522" s="32"/>
    </row>
    <row r="4523" spans="1:1">
      <c r="A4523" s="32"/>
    </row>
    <row r="4524" spans="1:1">
      <c r="A4524" s="32"/>
    </row>
    <row r="4525" spans="1:1">
      <c r="A4525" s="32"/>
    </row>
    <row r="4526" spans="1:1">
      <c r="A4526" s="32"/>
    </row>
    <row r="4527" spans="1:1">
      <c r="A4527" s="32"/>
    </row>
    <row r="4528" spans="1:1">
      <c r="A4528" s="32"/>
    </row>
    <row r="4529" spans="1:1">
      <c r="A4529" s="32"/>
    </row>
    <row r="4530" spans="1:1">
      <c r="A4530" s="32"/>
    </row>
    <row r="4531" spans="1:1">
      <c r="A4531" s="32"/>
    </row>
    <row r="4532" spans="1:1">
      <c r="A4532" s="32"/>
    </row>
    <row r="4533" spans="1:1">
      <c r="A4533" s="32"/>
    </row>
    <row r="4534" spans="1:1">
      <c r="A4534" s="32"/>
    </row>
    <row r="4535" spans="1:1">
      <c r="A4535" s="32"/>
    </row>
    <row r="4536" spans="1:1">
      <c r="A4536" s="32"/>
    </row>
    <row r="4537" spans="1:1">
      <c r="A4537" s="32"/>
    </row>
    <row r="4538" spans="1:1">
      <c r="A4538" s="32"/>
    </row>
    <row r="4539" spans="1:1">
      <c r="A4539" s="32"/>
    </row>
    <row r="4540" spans="1:1">
      <c r="A4540" s="32"/>
    </row>
    <row r="4541" spans="1:1">
      <c r="A4541" s="32"/>
    </row>
    <row r="4542" spans="1:1">
      <c r="A4542" s="32"/>
    </row>
    <row r="4543" spans="1:1">
      <c r="A4543" s="32"/>
    </row>
    <row r="4544" spans="1:1">
      <c r="A4544" s="32"/>
    </row>
    <row r="4545" spans="1:1">
      <c r="A4545" s="32"/>
    </row>
    <row r="4546" spans="1:1">
      <c r="A4546" s="32"/>
    </row>
    <row r="4547" spans="1:1">
      <c r="A4547" s="32"/>
    </row>
    <row r="4548" spans="1:1">
      <c r="A4548" s="32"/>
    </row>
    <row r="4549" spans="1:1">
      <c r="A4549" s="32"/>
    </row>
    <row r="4550" spans="1:1">
      <c r="A4550" s="32"/>
    </row>
    <row r="4551" spans="1:1">
      <c r="A4551" s="32"/>
    </row>
    <row r="4552" spans="1:1">
      <c r="A4552" s="32"/>
    </row>
    <row r="4553" spans="1:1">
      <c r="A4553" s="32"/>
    </row>
    <row r="4554" spans="1:1">
      <c r="A4554" s="32"/>
    </row>
    <row r="4555" spans="1:1">
      <c r="A4555" s="32"/>
    </row>
    <row r="4556" spans="1:1">
      <c r="A4556" s="32"/>
    </row>
    <row r="4557" spans="1:1">
      <c r="A4557" s="32"/>
    </row>
    <row r="4558" spans="1:1">
      <c r="A4558" s="32"/>
    </row>
    <row r="4559" spans="1:1">
      <c r="A4559" s="32"/>
    </row>
    <row r="4560" spans="1:1">
      <c r="A4560" s="32"/>
    </row>
    <row r="4561" spans="1:1">
      <c r="A4561" s="32"/>
    </row>
    <row r="4562" spans="1:1">
      <c r="A4562" s="32"/>
    </row>
    <row r="4563" spans="1:1">
      <c r="A4563" s="32"/>
    </row>
    <row r="4564" spans="1:1">
      <c r="A4564" s="32"/>
    </row>
    <row r="4565" spans="1:1">
      <c r="A4565" s="32"/>
    </row>
    <row r="4566" spans="1:1">
      <c r="A4566" s="32"/>
    </row>
    <row r="4567" spans="1:1">
      <c r="A4567" s="32"/>
    </row>
    <row r="4568" spans="1:1">
      <c r="A4568" s="32"/>
    </row>
    <row r="4569" spans="1:1">
      <c r="A4569" s="32"/>
    </row>
    <row r="4570" spans="1:1">
      <c r="A4570" s="32"/>
    </row>
    <row r="4571" spans="1:1">
      <c r="A4571" s="32"/>
    </row>
    <row r="4572" spans="1:1">
      <c r="A4572" s="32"/>
    </row>
    <row r="4573" spans="1:1">
      <c r="A4573" s="32"/>
    </row>
    <row r="4574" spans="1:1">
      <c r="A4574" s="32"/>
    </row>
    <row r="4575" spans="1:1">
      <c r="A4575" s="32"/>
    </row>
    <row r="4576" spans="1:1">
      <c r="A4576" s="32"/>
    </row>
    <row r="4577" spans="1:1">
      <c r="A4577" s="32"/>
    </row>
    <row r="4578" spans="1:1">
      <c r="A4578" s="32"/>
    </row>
    <row r="4579" spans="1:1">
      <c r="A4579" s="32"/>
    </row>
    <row r="4580" spans="1:1">
      <c r="A4580" s="32"/>
    </row>
    <row r="4581" spans="1:1">
      <c r="A4581" s="32"/>
    </row>
    <row r="4582" spans="1:1">
      <c r="A4582" s="32"/>
    </row>
    <row r="4583" spans="1:1">
      <c r="A4583" s="32"/>
    </row>
    <row r="4584" spans="1:1">
      <c r="A4584" s="32"/>
    </row>
    <row r="4585" spans="1:1">
      <c r="A4585" s="32"/>
    </row>
    <row r="4586" spans="1:1">
      <c r="A4586" s="32"/>
    </row>
    <row r="4587" spans="1:1">
      <c r="A4587" s="32"/>
    </row>
    <row r="4588" spans="1:1">
      <c r="A4588" s="32"/>
    </row>
    <row r="4589" spans="1:1">
      <c r="A4589" s="32"/>
    </row>
    <row r="4590" spans="1:1">
      <c r="A4590" s="32"/>
    </row>
    <row r="4591" spans="1:1">
      <c r="A4591" s="32"/>
    </row>
    <row r="4592" spans="1:1">
      <c r="A4592" s="32"/>
    </row>
    <row r="4593" spans="1:1">
      <c r="A4593" s="32"/>
    </row>
    <row r="4594" spans="1:1">
      <c r="A4594" s="32"/>
    </row>
    <row r="4595" spans="1:1">
      <c r="A4595" s="32"/>
    </row>
    <row r="4596" spans="1:1">
      <c r="A4596" s="32"/>
    </row>
    <row r="4597" spans="1:1">
      <c r="A4597" s="32"/>
    </row>
    <row r="4598" spans="1:1">
      <c r="A4598" s="32"/>
    </row>
    <row r="4599" spans="1:1">
      <c r="A4599" s="32"/>
    </row>
    <row r="4600" spans="1:1">
      <c r="A4600" s="32"/>
    </row>
    <row r="4601" spans="1:1">
      <c r="A4601" s="32"/>
    </row>
    <row r="4602" spans="1:1">
      <c r="A4602" s="32"/>
    </row>
    <row r="4603" spans="1:1">
      <c r="A4603" s="32"/>
    </row>
    <row r="4604" spans="1:1">
      <c r="A4604" s="32"/>
    </row>
    <row r="4605" spans="1:1">
      <c r="A4605" s="32"/>
    </row>
    <row r="4606" spans="1:1">
      <c r="A4606" s="32"/>
    </row>
    <row r="4607" spans="1:1">
      <c r="A4607" s="32"/>
    </row>
    <row r="4608" spans="1:1">
      <c r="A4608" s="32"/>
    </row>
    <row r="4609" spans="1:1">
      <c r="A4609" s="32"/>
    </row>
    <row r="4610" spans="1:1">
      <c r="A4610" s="32"/>
    </row>
    <row r="4611" spans="1:1">
      <c r="A4611" s="32"/>
    </row>
    <row r="4612" spans="1:1">
      <c r="A4612" s="32"/>
    </row>
    <row r="4613" spans="1:1">
      <c r="A4613" s="32"/>
    </row>
    <row r="4614" spans="1:1">
      <c r="A4614" s="32"/>
    </row>
    <row r="4615" spans="1:1">
      <c r="A4615" s="32"/>
    </row>
    <row r="4616" spans="1:1">
      <c r="A4616" s="32"/>
    </row>
    <row r="4617" spans="1:1">
      <c r="A4617" s="32"/>
    </row>
    <row r="4618" spans="1:1">
      <c r="A4618" s="32"/>
    </row>
    <row r="4619" spans="1:1">
      <c r="A4619" s="32"/>
    </row>
    <row r="4620" spans="1:1">
      <c r="A4620" s="32"/>
    </row>
    <row r="4621" spans="1:1">
      <c r="A4621" s="32"/>
    </row>
    <row r="4622" spans="1:1">
      <c r="A4622" s="32"/>
    </row>
    <row r="4623" spans="1:1">
      <c r="A4623" s="32"/>
    </row>
    <row r="4624" spans="1:1">
      <c r="A4624" s="32"/>
    </row>
    <row r="4625" spans="1:1">
      <c r="A4625" s="32"/>
    </row>
    <row r="4626" spans="1:1">
      <c r="A4626" s="32"/>
    </row>
    <row r="4627" spans="1:1">
      <c r="A4627" s="32"/>
    </row>
    <row r="4628" spans="1:1">
      <c r="A4628" s="32"/>
    </row>
    <row r="4629" spans="1:1">
      <c r="A4629" s="32"/>
    </row>
    <row r="4630" spans="1:1">
      <c r="A4630" s="32"/>
    </row>
    <row r="4631" spans="1:1">
      <c r="A4631" s="32"/>
    </row>
    <row r="4632" spans="1:1">
      <c r="A4632" s="32"/>
    </row>
    <row r="4633" spans="1:1">
      <c r="A4633" s="32"/>
    </row>
    <row r="4634" spans="1:1">
      <c r="A4634" s="32"/>
    </row>
    <row r="4635" spans="1:1">
      <c r="A4635" s="32"/>
    </row>
    <row r="4636" spans="1:1">
      <c r="A4636" s="32"/>
    </row>
    <row r="4637" spans="1:1">
      <c r="A4637" s="32"/>
    </row>
    <row r="4638" spans="1:1">
      <c r="A4638" s="32"/>
    </row>
    <row r="4639" spans="1:1">
      <c r="A4639" s="32"/>
    </row>
    <row r="4640" spans="1:1">
      <c r="A4640" s="32"/>
    </row>
    <row r="4641" spans="1:1">
      <c r="A4641" s="32"/>
    </row>
    <row r="4642" spans="1:1">
      <c r="A4642" s="32"/>
    </row>
    <row r="4643" spans="1:1">
      <c r="A4643" s="32"/>
    </row>
    <row r="4644" spans="1:1">
      <c r="A4644" s="32"/>
    </row>
    <row r="4645" spans="1:1">
      <c r="A4645" s="32"/>
    </row>
    <row r="4646" spans="1:1">
      <c r="A4646" s="32"/>
    </row>
    <row r="4647" spans="1:1">
      <c r="A4647" s="32"/>
    </row>
    <row r="4648" spans="1:1">
      <c r="A4648" s="32"/>
    </row>
    <row r="4649" spans="1:1">
      <c r="A4649" s="32"/>
    </row>
    <row r="4650" spans="1:1">
      <c r="A4650" s="32"/>
    </row>
    <row r="4651" spans="1:1">
      <c r="A4651" s="32"/>
    </row>
    <row r="4652" spans="1:1">
      <c r="A4652" s="32"/>
    </row>
    <row r="4653" spans="1:1">
      <c r="A4653" s="32"/>
    </row>
    <row r="4654" spans="1:1">
      <c r="A4654" s="32"/>
    </row>
    <row r="4655" spans="1:1">
      <c r="A4655" s="32"/>
    </row>
    <row r="4656" spans="1:1">
      <c r="A4656" s="32"/>
    </row>
    <row r="4657" spans="1:1">
      <c r="A4657" s="32"/>
    </row>
    <row r="4658" spans="1:1">
      <c r="A4658" s="32"/>
    </row>
    <row r="4659" spans="1:1">
      <c r="A4659" s="32"/>
    </row>
    <row r="4660" spans="1:1">
      <c r="A4660" s="32"/>
    </row>
    <row r="4661" spans="1:1">
      <c r="A4661" s="32"/>
    </row>
    <row r="4662" spans="1:1">
      <c r="A4662" s="32"/>
    </row>
    <row r="4663" spans="1:1">
      <c r="A4663" s="32"/>
    </row>
    <row r="4664" spans="1:1">
      <c r="A4664" s="32"/>
    </row>
    <row r="4665" spans="1:1">
      <c r="A4665" s="32"/>
    </row>
    <row r="4666" spans="1:1">
      <c r="A4666" s="32"/>
    </row>
    <row r="4667" spans="1:1">
      <c r="A4667" s="32"/>
    </row>
    <row r="4668" spans="1:1">
      <c r="A4668" s="32"/>
    </row>
    <row r="4669" spans="1:1">
      <c r="A4669" s="32"/>
    </row>
    <row r="4670" spans="1:1">
      <c r="A4670" s="32"/>
    </row>
    <row r="4671" spans="1:1">
      <c r="A4671" s="32"/>
    </row>
    <row r="4672" spans="1:1">
      <c r="A4672" s="32"/>
    </row>
    <row r="4673" spans="1:1">
      <c r="A4673" s="32"/>
    </row>
    <row r="4674" spans="1:1">
      <c r="A4674" s="32"/>
    </row>
    <row r="4675" spans="1:1">
      <c r="A4675" s="32"/>
    </row>
    <row r="4676" spans="1:1">
      <c r="A4676" s="32"/>
    </row>
    <row r="4677" spans="1:1">
      <c r="A4677" s="32"/>
    </row>
    <row r="4678" spans="1:1">
      <c r="A4678" s="32"/>
    </row>
    <row r="4679" spans="1:1">
      <c r="A4679" s="32"/>
    </row>
    <row r="4680" spans="1:1">
      <c r="A4680" s="32"/>
    </row>
    <row r="4681" spans="1:1">
      <c r="A4681" s="32"/>
    </row>
    <row r="4682" spans="1:1">
      <c r="A4682" s="32"/>
    </row>
    <row r="4683" spans="1:1">
      <c r="A4683" s="32"/>
    </row>
    <row r="4684" spans="1:1">
      <c r="A4684" s="32"/>
    </row>
    <row r="4685" spans="1:1">
      <c r="A4685" s="32"/>
    </row>
    <row r="4686" spans="1:1">
      <c r="A4686" s="32"/>
    </row>
    <row r="4687" spans="1:1">
      <c r="A4687" s="32"/>
    </row>
    <row r="4688" spans="1:1">
      <c r="A4688" s="32"/>
    </row>
    <row r="4689" spans="1:1">
      <c r="A4689" s="32"/>
    </row>
    <row r="4690" spans="1:1">
      <c r="A4690" s="32"/>
    </row>
    <row r="4691" spans="1:1">
      <c r="A4691" s="32"/>
    </row>
    <row r="4692" spans="1:1">
      <c r="A4692" s="32"/>
    </row>
    <row r="4693" spans="1:1">
      <c r="A4693" s="32"/>
    </row>
    <row r="4694" spans="1:1">
      <c r="A4694" s="32"/>
    </row>
    <row r="4695" spans="1:1">
      <c r="A4695" s="32"/>
    </row>
    <row r="4696" spans="1:1">
      <c r="A4696" s="32"/>
    </row>
    <row r="4697" spans="1:1">
      <c r="A4697" s="32"/>
    </row>
    <row r="4698" spans="1:1">
      <c r="A4698" s="32"/>
    </row>
    <row r="4699" spans="1:1">
      <c r="A4699" s="32"/>
    </row>
    <row r="4700" spans="1:1">
      <c r="A4700" s="32"/>
    </row>
    <row r="4701" spans="1:1">
      <c r="A4701" s="32"/>
    </row>
    <row r="4702" spans="1:1">
      <c r="A4702" s="32"/>
    </row>
    <row r="4703" spans="1:1">
      <c r="A4703" s="32"/>
    </row>
    <row r="4704" spans="1:1">
      <c r="A4704" s="32"/>
    </row>
    <row r="4705" spans="1:1">
      <c r="A4705" s="32"/>
    </row>
    <row r="4706" spans="1:1">
      <c r="A4706" s="32"/>
    </row>
    <row r="4707" spans="1:1">
      <c r="A4707" s="32"/>
    </row>
    <row r="4708" spans="1:1">
      <c r="A4708" s="32"/>
    </row>
    <row r="4709" spans="1:1">
      <c r="A4709" s="32"/>
    </row>
    <row r="4710" spans="1:1">
      <c r="A4710" s="32"/>
    </row>
    <row r="4711" spans="1:1">
      <c r="A4711" s="32"/>
    </row>
    <row r="4712" spans="1:1">
      <c r="A4712" s="32"/>
    </row>
    <row r="4713" spans="1:1">
      <c r="A4713" s="32"/>
    </row>
    <row r="4714" spans="1:1">
      <c r="A4714" s="32"/>
    </row>
    <row r="4715" spans="1:1">
      <c r="A4715" s="32"/>
    </row>
    <row r="4716" spans="1:1">
      <c r="A4716" s="32"/>
    </row>
    <row r="4717" spans="1:1">
      <c r="A4717" s="32"/>
    </row>
    <row r="4718" spans="1:1">
      <c r="A4718" s="32"/>
    </row>
    <row r="4719" spans="1:1">
      <c r="A4719" s="32"/>
    </row>
    <row r="4720" spans="1:1">
      <c r="A4720" s="32"/>
    </row>
    <row r="4721" spans="1:1">
      <c r="A4721" s="32"/>
    </row>
    <row r="4722" spans="1:1">
      <c r="A4722" s="32"/>
    </row>
    <row r="4723" spans="1:1">
      <c r="A4723" s="32"/>
    </row>
    <row r="4724" spans="1:1">
      <c r="A4724" s="32"/>
    </row>
    <row r="4725" spans="1:1">
      <c r="A4725" s="32"/>
    </row>
    <row r="4726" spans="1:1">
      <c r="A4726" s="32"/>
    </row>
    <row r="4727" spans="1:1">
      <c r="A4727" s="32"/>
    </row>
    <row r="4728" spans="1:1">
      <c r="A4728" s="32"/>
    </row>
    <row r="4729" spans="1:1">
      <c r="A4729" s="32"/>
    </row>
    <row r="4730" spans="1:1">
      <c r="A4730" s="32"/>
    </row>
    <row r="4731" spans="1:1">
      <c r="A4731" s="32"/>
    </row>
    <row r="4732" spans="1:1">
      <c r="A4732" s="32"/>
    </row>
    <row r="4733" spans="1:1">
      <c r="A4733" s="32"/>
    </row>
    <row r="4734" spans="1:1">
      <c r="A4734" s="32"/>
    </row>
    <row r="4735" spans="1:1">
      <c r="A4735" s="32"/>
    </row>
    <row r="4736" spans="1:1">
      <c r="A4736" s="32"/>
    </row>
    <row r="4737" spans="1:1">
      <c r="A4737" s="32"/>
    </row>
    <row r="4738" spans="1:1">
      <c r="A4738" s="32"/>
    </row>
    <row r="4739" spans="1:1">
      <c r="A4739" s="32"/>
    </row>
    <row r="4740" spans="1:1">
      <c r="A4740" s="32"/>
    </row>
    <row r="4741" spans="1:1">
      <c r="A4741" s="32"/>
    </row>
    <row r="4742" spans="1:1">
      <c r="A4742" s="32"/>
    </row>
    <row r="4743" spans="1:1">
      <c r="A4743" s="32"/>
    </row>
    <row r="4744" spans="1:1">
      <c r="A4744" s="32"/>
    </row>
    <row r="4745" spans="1:1">
      <c r="A4745" s="32"/>
    </row>
    <row r="4746" spans="1:1">
      <c r="A4746" s="32"/>
    </row>
    <row r="4747" spans="1:1">
      <c r="A4747" s="32"/>
    </row>
    <row r="4748" spans="1:1">
      <c r="A4748" s="32"/>
    </row>
    <row r="4749" spans="1:1">
      <c r="A4749" s="32"/>
    </row>
    <row r="4750" spans="1:1">
      <c r="A4750" s="32"/>
    </row>
    <row r="4751" spans="1:1">
      <c r="A4751" s="32"/>
    </row>
    <row r="4752" spans="1:1">
      <c r="A4752" s="32"/>
    </row>
    <row r="4753" spans="1:1">
      <c r="A4753" s="32"/>
    </row>
    <row r="4754" spans="1:1">
      <c r="A4754" s="32"/>
    </row>
    <row r="4755" spans="1:1">
      <c r="A4755" s="32"/>
    </row>
    <row r="4756" spans="1:1">
      <c r="A4756" s="32"/>
    </row>
    <row r="4757" spans="1:1">
      <c r="A4757" s="32"/>
    </row>
    <row r="4758" spans="1:1">
      <c r="A4758" s="32"/>
    </row>
    <row r="4759" spans="1:1">
      <c r="A4759" s="32"/>
    </row>
    <row r="4760" spans="1:1">
      <c r="A4760" s="32"/>
    </row>
    <row r="4761" spans="1:1">
      <c r="A4761" s="32"/>
    </row>
    <row r="4762" spans="1:1">
      <c r="A4762" s="32"/>
    </row>
    <row r="4763" spans="1:1">
      <c r="A4763" s="32"/>
    </row>
    <row r="4764" spans="1:1">
      <c r="A4764" s="32"/>
    </row>
    <row r="4765" spans="1:1">
      <c r="A4765" s="32"/>
    </row>
    <row r="4766" spans="1:1">
      <c r="A4766" s="32"/>
    </row>
    <row r="4767" spans="1:1">
      <c r="A4767" s="32"/>
    </row>
    <row r="4768" spans="1:1">
      <c r="A4768" s="32"/>
    </row>
    <row r="4769" spans="1:1">
      <c r="A4769" s="32"/>
    </row>
    <row r="4770" spans="1:1">
      <c r="A4770" s="32"/>
    </row>
    <row r="4771" spans="1:1">
      <c r="A4771" s="32"/>
    </row>
    <row r="4772" spans="1:1">
      <c r="A4772" s="32"/>
    </row>
    <row r="4773" spans="1:1">
      <c r="A4773" s="32"/>
    </row>
    <row r="4774" spans="1:1">
      <c r="A4774" s="32"/>
    </row>
    <row r="4775" spans="1:1">
      <c r="A4775" s="32"/>
    </row>
    <row r="4776" spans="1:1">
      <c r="A4776" s="32"/>
    </row>
    <row r="4777" spans="1:1">
      <c r="A4777" s="32"/>
    </row>
    <row r="4778" spans="1:1">
      <c r="A4778" s="32"/>
    </row>
    <row r="4779" spans="1:1">
      <c r="A4779" s="32"/>
    </row>
    <row r="4780" spans="1:1">
      <c r="A4780" s="32"/>
    </row>
    <row r="4781" spans="1:1">
      <c r="A4781" s="32"/>
    </row>
    <row r="4782" spans="1:1">
      <c r="A4782" s="32"/>
    </row>
    <row r="4783" spans="1:1">
      <c r="A4783" s="32"/>
    </row>
    <row r="4784" spans="1:1">
      <c r="A4784" s="32"/>
    </row>
    <row r="4785" spans="1:1">
      <c r="A4785" s="32"/>
    </row>
    <row r="4786" spans="1:1">
      <c r="A4786" s="32"/>
    </row>
    <row r="4787" spans="1:1">
      <c r="A4787" s="32"/>
    </row>
    <row r="4788" spans="1:1">
      <c r="A4788" s="32"/>
    </row>
    <row r="4789" spans="1:1">
      <c r="A4789" s="32"/>
    </row>
    <row r="4790" spans="1:1">
      <c r="A4790" s="32"/>
    </row>
    <row r="4791" spans="1:1">
      <c r="A4791" s="32"/>
    </row>
    <row r="4792" spans="1:1">
      <c r="A4792" s="32"/>
    </row>
    <row r="4793" spans="1:1">
      <c r="A4793" s="32"/>
    </row>
    <row r="4794" spans="1:1">
      <c r="A4794" s="32"/>
    </row>
    <row r="4795" spans="1:1">
      <c r="A4795" s="32"/>
    </row>
    <row r="4796" spans="1:1">
      <c r="A4796" s="32"/>
    </row>
    <row r="4797" spans="1:1">
      <c r="A4797" s="32"/>
    </row>
    <row r="4798" spans="1:1">
      <c r="A4798" s="32"/>
    </row>
    <row r="4799" spans="1:1">
      <c r="A4799" s="32"/>
    </row>
    <row r="4800" spans="1:1">
      <c r="A4800" s="32"/>
    </row>
    <row r="4801" spans="1:1">
      <c r="A4801" s="32"/>
    </row>
    <row r="4802" spans="1:1">
      <c r="A4802" s="32"/>
    </row>
    <row r="4803" spans="1:1">
      <c r="A4803" s="32"/>
    </row>
    <row r="4804" spans="1:1">
      <c r="A4804" s="32"/>
    </row>
    <row r="4805" spans="1:1">
      <c r="A4805" s="32"/>
    </row>
    <row r="4806" spans="1:1">
      <c r="A4806" s="32"/>
    </row>
    <row r="4807" spans="1:1">
      <c r="A4807" s="32"/>
    </row>
    <row r="4808" spans="1:1">
      <c r="A4808" s="32"/>
    </row>
    <row r="4809" spans="1:1">
      <c r="A4809" s="32"/>
    </row>
    <row r="4810" spans="1:1">
      <c r="A4810" s="32"/>
    </row>
    <row r="4811" spans="1:1">
      <c r="A4811" s="32"/>
    </row>
    <row r="4812" spans="1:1">
      <c r="A4812" s="32"/>
    </row>
    <row r="4813" spans="1:1">
      <c r="A4813" s="32"/>
    </row>
    <row r="4814" spans="1:1">
      <c r="A4814" s="32"/>
    </row>
    <row r="4815" spans="1:1">
      <c r="A4815" s="32"/>
    </row>
    <row r="4816" spans="1:1">
      <c r="A4816" s="32"/>
    </row>
    <row r="4817" spans="1:1">
      <c r="A4817" s="32"/>
    </row>
    <row r="4818" spans="1:1">
      <c r="A4818" s="32"/>
    </row>
    <row r="4819" spans="1:1">
      <c r="A4819" s="32"/>
    </row>
    <row r="4820" spans="1:1">
      <c r="A4820" s="32"/>
    </row>
    <row r="4821" spans="1:1">
      <c r="A4821" s="32"/>
    </row>
    <row r="4822" spans="1:1">
      <c r="A4822" s="32"/>
    </row>
    <row r="4823" spans="1:1">
      <c r="A4823" s="32"/>
    </row>
    <row r="4824" spans="1:1">
      <c r="A4824" s="32"/>
    </row>
    <row r="4825" spans="1:1">
      <c r="A4825" s="32"/>
    </row>
    <row r="4826" spans="1:1">
      <c r="A4826" s="32"/>
    </row>
    <row r="4827" spans="1:1">
      <c r="A4827" s="32"/>
    </row>
    <row r="4828" spans="1:1">
      <c r="A4828" s="32"/>
    </row>
    <row r="4829" spans="1:1">
      <c r="A4829" s="32"/>
    </row>
    <row r="4830" spans="1:1">
      <c r="A4830" s="32"/>
    </row>
    <row r="4831" spans="1:1">
      <c r="A4831" s="32"/>
    </row>
    <row r="4832" spans="1:1">
      <c r="A4832" s="32"/>
    </row>
    <row r="4833" spans="1:1">
      <c r="A4833" s="32"/>
    </row>
    <row r="4834" spans="1:1">
      <c r="A4834" s="32"/>
    </row>
    <row r="4835" spans="1:1">
      <c r="A4835" s="32"/>
    </row>
    <row r="4836" spans="1:1">
      <c r="A4836" s="32"/>
    </row>
    <row r="4837" spans="1:1">
      <c r="A4837" s="32"/>
    </row>
    <row r="4838" spans="1:1">
      <c r="A4838" s="32"/>
    </row>
    <row r="4839" spans="1:1">
      <c r="A4839" s="32"/>
    </row>
    <row r="4840" spans="1:1">
      <c r="A4840" s="32"/>
    </row>
    <row r="4841" spans="1:1">
      <c r="A4841" s="32"/>
    </row>
    <row r="4842" spans="1:1">
      <c r="A4842" s="32"/>
    </row>
    <row r="4843" spans="1:1">
      <c r="A4843" s="32"/>
    </row>
    <row r="4844" spans="1:1">
      <c r="A4844" s="32"/>
    </row>
    <row r="4845" spans="1:1">
      <c r="A4845" s="32"/>
    </row>
    <row r="4846" spans="1:1">
      <c r="A4846" s="32"/>
    </row>
    <row r="4847" spans="1:1">
      <c r="A4847" s="32"/>
    </row>
    <row r="4848" spans="1:1">
      <c r="A4848" s="32"/>
    </row>
    <row r="4849" spans="1:1">
      <c r="A4849" s="32"/>
    </row>
    <row r="4850" spans="1:1">
      <c r="A4850" s="32"/>
    </row>
    <row r="4851" spans="1:1">
      <c r="A4851" s="32"/>
    </row>
    <row r="4852" spans="1:1">
      <c r="A4852" s="32"/>
    </row>
    <row r="4853" spans="1:1">
      <c r="A4853" s="32"/>
    </row>
    <row r="4854" spans="1:1">
      <c r="A4854" s="32"/>
    </row>
    <row r="4855" spans="1:1">
      <c r="A4855" s="32"/>
    </row>
    <row r="4856" spans="1:1">
      <c r="A4856" s="32"/>
    </row>
    <row r="4857" spans="1:1">
      <c r="A4857" s="32"/>
    </row>
    <row r="4858" spans="1:1">
      <c r="A4858" s="32"/>
    </row>
    <row r="4859" spans="1:1">
      <c r="A4859" s="32"/>
    </row>
    <row r="4860" spans="1:1">
      <c r="A4860" s="32"/>
    </row>
    <row r="4861" spans="1:1">
      <c r="A4861" s="32"/>
    </row>
    <row r="4862" spans="1:1">
      <c r="A4862" s="32"/>
    </row>
    <row r="4863" spans="1:1">
      <c r="A4863" s="32"/>
    </row>
    <row r="4864" spans="1:1">
      <c r="A4864" s="32"/>
    </row>
    <row r="4865" spans="1:1">
      <c r="A4865" s="32"/>
    </row>
    <row r="4866" spans="1:1">
      <c r="A4866" s="32"/>
    </row>
    <row r="4867" spans="1:1">
      <c r="A4867" s="32"/>
    </row>
    <row r="4868" spans="1:1">
      <c r="A4868" s="32"/>
    </row>
    <row r="4869" spans="1:1">
      <c r="A4869" s="32"/>
    </row>
    <row r="4870" spans="1:1">
      <c r="A4870" s="32"/>
    </row>
    <row r="4871" spans="1:1">
      <c r="A4871" s="32"/>
    </row>
    <row r="4872" spans="1:1">
      <c r="A4872" s="32"/>
    </row>
    <row r="4873" spans="1:1">
      <c r="A4873" s="32"/>
    </row>
    <row r="4874" spans="1:1">
      <c r="A4874" s="32"/>
    </row>
    <row r="4875" spans="1:1">
      <c r="A4875" s="32"/>
    </row>
    <row r="4876" spans="1:1">
      <c r="A4876" s="32"/>
    </row>
    <row r="4877" spans="1:1">
      <c r="A4877" s="32"/>
    </row>
    <row r="4878" spans="1:1">
      <c r="A4878" s="32"/>
    </row>
    <row r="4879" spans="1:1">
      <c r="A4879" s="32"/>
    </row>
    <row r="4880" spans="1:1">
      <c r="A4880" s="32"/>
    </row>
    <row r="4881" spans="1:1">
      <c r="A4881" s="32"/>
    </row>
    <row r="4882" spans="1:1">
      <c r="A4882" s="32"/>
    </row>
    <row r="4883" spans="1:1">
      <c r="A4883" s="32"/>
    </row>
    <row r="4884" spans="1:1">
      <c r="A4884" s="32"/>
    </row>
    <row r="4885" spans="1:1">
      <c r="A4885" s="32"/>
    </row>
    <row r="4886" spans="1:1">
      <c r="A4886" s="32"/>
    </row>
    <row r="4887" spans="1:1">
      <c r="A4887" s="32"/>
    </row>
    <row r="4888" spans="1:1">
      <c r="A4888" s="32"/>
    </row>
    <row r="4889" spans="1:1">
      <c r="A4889" s="32"/>
    </row>
    <row r="4890" spans="1:1">
      <c r="A4890" s="32"/>
    </row>
    <row r="4891" spans="1:1">
      <c r="A4891" s="32"/>
    </row>
    <row r="4892" spans="1:1">
      <c r="A4892" s="32"/>
    </row>
    <row r="4893" spans="1:1">
      <c r="A4893" s="32"/>
    </row>
    <row r="4894" spans="1:1">
      <c r="A4894" s="32"/>
    </row>
    <row r="4895" spans="1:1">
      <c r="A4895" s="32"/>
    </row>
    <row r="4896" spans="1:1">
      <c r="A4896" s="32"/>
    </row>
    <row r="4897" spans="1:1">
      <c r="A4897" s="32"/>
    </row>
    <row r="4898" spans="1:1">
      <c r="A4898" s="32"/>
    </row>
    <row r="4899" spans="1:1">
      <c r="A4899" s="32"/>
    </row>
    <row r="4900" spans="1:1">
      <c r="A4900" s="32"/>
    </row>
    <row r="4901" spans="1:1">
      <c r="A4901" s="32"/>
    </row>
    <row r="4902" spans="1:1">
      <c r="A4902" s="32"/>
    </row>
    <row r="4903" spans="1:1">
      <c r="A4903" s="32"/>
    </row>
    <row r="4904" spans="1:1">
      <c r="A4904" s="32"/>
    </row>
    <row r="4905" spans="1:1">
      <c r="A4905" s="32"/>
    </row>
    <row r="4906" spans="1:1">
      <c r="A4906" s="32"/>
    </row>
    <row r="4907" spans="1:1">
      <c r="A4907" s="32"/>
    </row>
    <row r="4908" spans="1:1">
      <c r="A4908" s="32"/>
    </row>
    <row r="4909" spans="1:1">
      <c r="A4909" s="32"/>
    </row>
    <row r="4910" spans="1:1">
      <c r="A4910" s="32"/>
    </row>
    <row r="4911" spans="1:1">
      <c r="A4911" s="32"/>
    </row>
    <row r="4912" spans="1:1">
      <c r="A4912" s="32"/>
    </row>
    <row r="4913" spans="1:1">
      <c r="A4913" s="32"/>
    </row>
    <row r="4914" spans="1:1">
      <c r="A4914" s="32"/>
    </row>
    <row r="4915" spans="1:1">
      <c r="A4915" s="32"/>
    </row>
    <row r="4916" spans="1:1">
      <c r="A4916" s="32"/>
    </row>
    <row r="4917" spans="1:1">
      <c r="A4917" s="32"/>
    </row>
    <row r="4918" spans="1:1">
      <c r="A4918" s="32"/>
    </row>
    <row r="4919" spans="1:1">
      <c r="A4919" s="32"/>
    </row>
    <row r="4920" spans="1:1">
      <c r="A4920" s="32"/>
    </row>
    <row r="4921" spans="1:1">
      <c r="A4921" s="32"/>
    </row>
    <row r="4922" spans="1:1">
      <c r="A4922" s="32"/>
    </row>
    <row r="4923" spans="1:1">
      <c r="A4923" s="32"/>
    </row>
    <row r="4924" spans="1:1">
      <c r="A4924" s="32"/>
    </row>
    <row r="4925" spans="1:1">
      <c r="A4925" s="32"/>
    </row>
    <row r="4926" spans="1:1">
      <c r="A4926" s="32"/>
    </row>
    <row r="4927" spans="1:1">
      <c r="A4927" s="32"/>
    </row>
    <row r="4928" spans="1:1">
      <c r="A4928" s="32"/>
    </row>
    <row r="4929" spans="1:1">
      <c r="A4929" s="32"/>
    </row>
    <row r="4930" spans="1:1">
      <c r="A4930" s="32"/>
    </row>
    <row r="4931" spans="1:1">
      <c r="A4931" s="32"/>
    </row>
    <row r="4932" spans="1:1">
      <c r="A4932" s="32"/>
    </row>
    <row r="4933" spans="1:1">
      <c r="A4933" s="32"/>
    </row>
    <row r="4934" spans="1:1">
      <c r="A4934" s="32"/>
    </row>
    <row r="4935" spans="1:1">
      <c r="A4935" s="32"/>
    </row>
    <row r="4936" spans="1:1">
      <c r="A4936" s="32"/>
    </row>
    <row r="4937" spans="1:1">
      <c r="A4937" s="32"/>
    </row>
    <row r="4938" spans="1:1">
      <c r="A4938" s="32"/>
    </row>
    <row r="4939" spans="1:1">
      <c r="A4939" s="32"/>
    </row>
    <row r="4940" spans="1:1">
      <c r="A4940" s="32"/>
    </row>
    <row r="4941" spans="1:1">
      <c r="A4941" s="32"/>
    </row>
    <row r="4942" spans="1:1">
      <c r="A4942" s="32"/>
    </row>
    <row r="4943" spans="1:1">
      <c r="A4943" s="32"/>
    </row>
    <row r="4944" spans="1:1">
      <c r="A4944" s="32"/>
    </row>
    <row r="4945" spans="1:1">
      <c r="A4945" s="32"/>
    </row>
    <row r="4946" spans="1:1">
      <c r="A4946" s="32"/>
    </row>
    <row r="4947" spans="1:1">
      <c r="A4947" s="32"/>
    </row>
    <row r="4948" spans="1:1">
      <c r="A4948" s="32"/>
    </row>
    <row r="4949" spans="1:1">
      <c r="A4949" s="32"/>
    </row>
    <row r="4950" spans="1:1">
      <c r="A4950" s="32"/>
    </row>
    <row r="4951" spans="1:1">
      <c r="A4951" s="32"/>
    </row>
    <row r="4952" spans="1:1">
      <c r="A4952" s="32"/>
    </row>
    <row r="4953" spans="1:1">
      <c r="A4953" s="32"/>
    </row>
    <row r="4954" spans="1:1">
      <c r="A4954" s="32"/>
    </row>
    <row r="4955" spans="1:1">
      <c r="A4955" s="32"/>
    </row>
    <row r="4956" spans="1:1">
      <c r="A4956" s="32"/>
    </row>
    <row r="4957" spans="1:1">
      <c r="A4957" s="32"/>
    </row>
    <row r="4958" spans="1:1">
      <c r="A4958" s="32"/>
    </row>
    <row r="4959" spans="1:1">
      <c r="A4959" s="32"/>
    </row>
    <row r="4960" spans="1:1">
      <c r="A4960" s="32"/>
    </row>
    <row r="4961" spans="1:1">
      <c r="A4961" s="32"/>
    </row>
    <row r="4962" spans="1:1">
      <c r="A4962" s="32"/>
    </row>
    <row r="4963" spans="1:1">
      <c r="A4963" s="32"/>
    </row>
    <row r="4964" spans="1:1">
      <c r="A4964" s="32"/>
    </row>
    <row r="4965" spans="1:1">
      <c r="A4965" s="32"/>
    </row>
    <row r="4966" spans="1:1">
      <c r="A4966" s="32"/>
    </row>
    <row r="4967" spans="1:1">
      <c r="A4967" s="32"/>
    </row>
    <row r="4968" spans="1:1">
      <c r="A4968" s="32"/>
    </row>
    <row r="4969" spans="1:1">
      <c r="A4969" s="32"/>
    </row>
    <row r="4970" spans="1:1">
      <c r="A4970" s="32"/>
    </row>
    <row r="4971" spans="1:1">
      <c r="A4971" s="32"/>
    </row>
    <row r="4972" spans="1:1">
      <c r="A4972" s="32"/>
    </row>
    <row r="4973" spans="1:1">
      <c r="A4973" s="32"/>
    </row>
    <row r="4974" spans="1:1">
      <c r="A4974" s="32"/>
    </row>
    <row r="4975" spans="1:1">
      <c r="A4975" s="32"/>
    </row>
    <row r="4976" spans="1:1">
      <c r="A4976" s="32"/>
    </row>
    <row r="4977" spans="1:1">
      <c r="A4977" s="32"/>
    </row>
    <row r="4978" spans="1:1">
      <c r="A4978" s="32"/>
    </row>
    <row r="4979" spans="1:1">
      <c r="A4979" s="32"/>
    </row>
    <row r="4980" spans="1:1">
      <c r="A4980" s="32"/>
    </row>
    <row r="4981" spans="1:1">
      <c r="A4981" s="32"/>
    </row>
    <row r="4982" spans="1:1">
      <c r="A4982" s="32"/>
    </row>
    <row r="4983" spans="1:1">
      <c r="A4983" s="32"/>
    </row>
    <row r="4984" spans="1:1">
      <c r="A4984" s="32"/>
    </row>
    <row r="4985" spans="1:1">
      <c r="A4985" s="32"/>
    </row>
    <row r="4986" spans="1:1">
      <c r="A4986" s="32"/>
    </row>
    <row r="4987" spans="1:1">
      <c r="A4987" s="32"/>
    </row>
    <row r="4988" spans="1:1">
      <c r="A4988" s="32"/>
    </row>
    <row r="4989" spans="1:1">
      <c r="A4989" s="32"/>
    </row>
    <row r="4990" spans="1:1">
      <c r="A4990" s="32"/>
    </row>
    <row r="4991" spans="1:1">
      <c r="A4991" s="32"/>
    </row>
    <row r="4992" spans="1:1">
      <c r="A4992" s="32"/>
    </row>
    <row r="4993" spans="1:1">
      <c r="A4993" s="32"/>
    </row>
    <row r="4994" spans="1:1">
      <c r="A4994" s="32"/>
    </row>
    <row r="4995" spans="1:1">
      <c r="A4995" s="32"/>
    </row>
    <row r="4996" spans="1:1">
      <c r="A4996" s="32"/>
    </row>
    <row r="4997" spans="1:1">
      <c r="A4997" s="32"/>
    </row>
    <row r="4998" spans="1:1">
      <c r="A4998" s="32"/>
    </row>
    <row r="4999" spans="1:1">
      <c r="A4999" s="32"/>
    </row>
    <row r="5000" spans="1:1">
      <c r="A5000" s="32"/>
    </row>
    <row r="5001" spans="1:1">
      <c r="A5001" s="32"/>
    </row>
    <row r="5002" spans="1:1">
      <c r="A5002" s="32"/>
    </row>
    <row r="5003" spans="1:1">
      <c r="A5003" s="32"/>
    </row>
    <row r="5004" spans="1:1">
      <c r="A5004" s="32"/>
    </row>
    <row r="5005" spans="1:1">
      <c r="A5005" s="32"/>
    </row>
    <row r="5006" spans="1:1">
      <c r="A5006" s="32"/>
    </row>
    <row r="5007" spans="1:1">
      <c r="A5007" s="32"/>
    </row>
    <row r="5008" spans="1:1">
      <c r="A5008" s="32"/>
    </row>
    <row r="5009" spans="1:1">
      <c r="A5009" s="32"/>
    </row>
    <row r="5010" spans="1:1">
      <c r="A5010" s="32"/>
    </row>
    <row r="5011" spans="1:1">
      <c r="A5011" s="32"/>
    </row>
    <row r="5012" spans="1:1">
      <c r="A5012" s="32"/>
    </row>
    <row r="5013" spans="1:1">
      <c r="A5013" s="32"/>
    </row>
    <row r="5014" spans="1:1">
      <c r="A5014" s="32"/>
    </row>
    <row r="5015" spans="1:1">
      <c r="A5015" s="32"/>
    </row>
    <row r="5016" spans="1:1">
      <c r="A5016" s="32"/>
    </row>
    <row r="5017" spans="1:1">
      <c r="A5017" s="32"/>
    </row>
    <row r="5018" spans="1:1">
      <c r="A5018" s="32"/>
    </row>
    <row r="5019" spans="1:1">
      <c r="A5019" s="32"/>
    </row>
    <row r="5020" spans="1:1">
      <c r="A5020" s="32"/>
    </row>
    <row r="5021" spans="1:1">
      <c r="A5021" s="32"/>
    </row>
    <row r="5022" spans="1:1">
      <c r="A5022" s="32"/>
    </row>
    <row r="5023" spans="1:1">
      <c r="A5023" s="32"/>
    </row>
    <row r="5024" spans="1:1">
      <c r="A5024" s="32"/>
    </row>
    <row r="5025" spans="1:1">
      <c r="A5025" s="32"/>
    </row>
    <row r="5026" spans="1:1">
      <c r="A5026" s="32"/>
    </row>
    <row r="5027" spans="1:1">
      <c r="A5027" s="32"/>
    </row>
    <row r="5028" spans="1:1">
      <c r="A5028" s="32"/>
    </row>
    <row r="5029" spans="1:1">
      <c r="A5029" s="32"/>
    </row>
    <row r="5030" spans="1:1">
      <c r="A5030" s="32"/>
    </row>
    <row r="5031" spans="1:1">
      <c r="A5031" s="32"/>
    </row>
    <row r="5032" spans="1:1">
      <c r="A5032" s="32"/>
    </row>
    <row r="5033" spans="1:1">
      <c r="A5033" s="32"/>
    </row>
    <row r="5034" spans="1:1">
      <c r="A5034" s="32"/>
    </row>
    <row r="5035" spans="1:1">
      <c r="A5035" s="32"/>
    </row>
    <row r="5036" spans="1:1">
      <c r="A5036" s="32"/>
    </row>
    <row r="5037" spans="1:1">
      <c r="A5037" s="32"/>
    </row>
    <row r="5038" spans="1:1">
      <c r="A5038" s="32"/>
    </row>
    <row r="5039" spans="1:1">
      <c r="A5039" s="32"/>
    </row>
    <row r="5040" spans="1:1">
      <c r="A5040" s="32"/>
    </row>
    <row r="5041" spans="1:1">
      <c r="A5041" s="32"/>
    </row>
    <row r="5042" spans="1:1">
      <c r="A5042" s="32"/>
    </row>
    <row r="5043" spans="1:1">
      <c r="A5043" s="32"/>
    </row>
    <row r="5044" spans="1:1">
      <c r="A5044" s="32"/>
    </row>
    <row r="5045" spans="1:1">
      <c r="A5045" s="32"/>
    </row>
    <row r="5046" spans="1:1">
      <c r="A5046" s="32"/>
    </row>
    <row r="5047" spans="1:1">
      <c r="A5047" s="32"/>
    </row>
    <row r="5048" spans="1:1">
      <c r="A5048" s="32"/>
    </row>
    <row r="5049" spans="1:1">
      <c r="A5049" s="32"/>
    </row>
    <row r="5050" spans="1:1">
      <c r="A5050" s="32"/>
    </row>
    <row r="5051" spans="1:1">
      <c r="A5051" s="32"/>
    </row>
    <row r="5052" spans="1:1">
      <c r="A5052" s="32"/>
    </row>
    <row r="5053" spans="1:1">
      <c r="A5053" s="32"/>
    </row>
    <row r="5054" spans="1:1">
      <c r="A5054" s="32"/>
    </row>
    <row r="5055" spans="1:1">
      <c r="A5055" s="32"/>
    </row>
    <row r="5056" spans="1:1">
      <c r="A5056" s="32"/>
    </row>
    <row r="5057" spans="1:1">
      <c r="A5057" s="32"/>
    </row>
    <row r="5058" spans="1:1">
      <c r="A5058" s="32"/>
    </row>
    <row r="5059" spans="1:1">
      <c r="A5059" s="32"/>
    </row>
    <row r="5060" spans="1:1">
      <c r="A5060" s="32"/>
    </row>
    <row r="5061" spans="1:1">
      <c r="A5061" s="32"/>
    </row>
    <row r="5062" spans="1:1">
      <c r="A5062" s="32"/>
    </row>
    <row r="5063" spans="1:1">
      <c r="A5063" s="32"/>
    </row>
    <row r="5064" spans="1:1">
      <c r="A5064" s="32"/>
    </row>
    <row r="5065" spans="1:1">
      <c r="A5065" s="32"/>
    </row>
    <row r="5066" spans="1:1">
      <c r="A5066" s="32"/>
    </row>
    <row r="5067" spans="1:1">
      <c r="A5067" s="32"/>
    </row>
    <row r="5068" spans="1:1">
      <c r="A5068" s="32"/>
    </row>
    <row r="5069" spans="1:1">
      <c r="A5069" s="32"/>
    </row>
    <row r="5070" spans="1:1">
      <c r="A5070" s="32"/>
    </row>
    <row r="5071" spans="1:1">
      <c r="A5071" s="32"/>
    </row>
    <row r="5072" spans="1:1">
      <c r="A5072" s="32"/>
    </row>
    <row r="5073" spans="1:1">
      <c r="A5073" s="32"/>
    </row>
    <row r="5074" spans="1:1">
      <c r="A5074" s="32"/>
    </row>
    <row r="5075" spans="1:1">
      <c r="A5075" s="32"/>
    </row>
    <row r="5076" spans="1:1">
      <c r="A5076" s="32"/>
    </row>
    <row r="5077" spans="1:1">
      <c r="A5077" s="32"/>
    </row>
    <row r="5078" spans="1:1">
      <c r="A5078" s="32"/>
    </row>
    <row r="5079" spans="1:1">
      <c r="A5079" s="32"/>
    </row>
    <row r="5080" spans="1:1">
      <c r="A5080" s="32"/>
    </row>
    <row r="5081" spans="1:1">
      <c r="A5081" s="32"/>
    </row>
    <row r="5082" spans="1:1">
      <c r="A5082" s="32"/>
    </row>
    <row r="5083" spans="1:1">
      <c r="A5083" s="32"/>
    </row>
    <row r="5084" spans="1:1">
      <c r="A5084" s="32"/>
    </row>
    <row r="5085" spans="1:1">
      <c r="A5085" s="32"/>
    </row>
    <row r="5086" spans="1:1">
      <c r="A5086" s="32"/>
    </row>
    <row r="5087" spans="1:1">
      <c r="A5087" s="32"/>
    </row>
    <row r="5088" spans="1:1">
      <c r="A5088" s="32"/>
    </row>
    <row r="5089" spans="1:1">
      <c r="A5089" s="32"/>
    </row>
    <row r="5090" spans="1:1">
      <c r="A5090" s="32"/>
    </row>
    <row r="5091" spans="1:1">
      <c r="A5091" s="32"/>
    </row>
    <row r="5092" spans="1:1">
      <c r="A5092" s="32"/>
    </row>
    <row r="5093" spans="1:1">
      <c r="A5093" s="32"/>
    </row>
    <row r="5094" spans="1:1">
      <c r="A5094" s="32"/>
    </row>
    <row r="5095" spans="1:1">
      <c r="A5095" s="32"/>
    </row>
    <row r="5096" spans="1:1">
      <c r="A5096" s="32"/>
    </row>
    <row r="5097" spans="1:1">
      <c r="A5097" s="32"/>
    </row>
    <row r="5098" spans="1:1">
      <c r="A5098" s="32"/>
    </row>
    <row r="5099" spans="1:1">
      <c r="A5099" s="32"/>
    </row>
    <row r="5100" spans="1:1">
      <c r="A5100" s="32"/>
    </row>
    <row r="5101" spans="1:1">
      <c r="A5101" s="32"/>
    </row>
    <row r="5102" spans="1:1">
      <c r="A5102" s="32"/>
    </row>
    <row r="5103" spans="1:1">
      <c r="A5103" s="32"/>
    </row>
    <row r="5104" spans="1:1">
      <c r="A5104" s="32"/>
    </row>
    <row r="5105" spans="1:1">
      <c r="A5105" s="32"/>
    </row>
    <row r="5106" spans="1:1">
      <c r="A5106" s="32"/>
    </row>
    <row r="5107" spans="1:1">
      <c r="A5107" s="32"/>
    </row>
    <row r="5108" spans="1:1">
      <c r="A5108" s="32"/>
    </row>
    <row r="5109" spans="1:1">
      <c r="A5109" s="32"/>
    </row>
    <row r="5110" spans="1:1">
      <c r="A5110" s="32"/>
    </row>
    <row r="5111" spans="1:1">
      <c r="A5111" s="32"/>
    </row>
    <row r="5112" spans="1:1">
      <c r="A5112" s="32"/>
    </row>
    <row r="5113" spans="1:1">
      <c r="A5113" s="32"/>
    </row>
    <row r="5114" spans="1:1">
      <c r="A5114" s="32"/>
    </row>
    <row r="5115" spans="1:1">
      <c r="A5115" s="32"/>
    </row>
    <row r="5116" spans="1:1">
      <c r="A5116" s="32"/>
    </row>
    <row r="5117" spans="1:1">
      <c r="A5117" s="32"/>
    </row>
    <row r="5118" spans="1:1">
      <c r="A5118" s="32"/>
    </row>
    <row r="5119" spans="1:1">
      <c r="A5119" s="32"/>
    </row>
    <row r="5120" spans="1:1">
      <c r="A5120" s="32"/>
    </row>
    <row r="5121" spans="1:1">
      <c r="A5121" s="32"/>
    </row>
    <row r="5122" spans="1:1">
      <c r="A5122" s="32"/>
    </row>
    <row r="5123" spans="1:1">
      <c r="A5123" s="32"/>
    </row>
    <row r="5124" spans="1:1">
      <c r="A5124" s="32"/>
    </row>
    <row r="5125" spans="1:1">
      <c r="A5125" s="32"/>
    </row>
    <row r="5126" spans="1:1">
      <c r="A5126" s="32"/>
    </row>
    <row r="5127" spans="1:1">
      <c r="A5127" s="32"/>
    </row>
    <row r="5128" spans="1:1">
      <c r="A5128" s="32"/>
    </row>
    <row r="5129" spans="1:1">
      <c r="A5129" s="32"/>
    </row>
    <row r="5130" spans="1:1">
      <c r="A5130" s="32"/>
    </row>
    <row r="5131" spans="1:1">
      <c r="A5131" s="32"/>
    </row>
    <row r="5132" spans="1:1">
      <c r="A5132" s="32"/>
    </row>
    <row r="5133" spans="1:1">
      <c r="A5133" s="32"/>
    </row>
    <row r="5134" spans="1:1">
      <c r="A5134" s="32"/>
    </row>
    <row r="5135" spans="1:1">
      <c r="A5135" s="32"/>
    </row>
    <row r="5136" spans="1:1">
      <c r="A5136" s="32"/>
    </row>
    <row r="5137" spans="1:1">
      <c r="A5137" s="32"/>
    </row>
    <row r="5138" spans="1:1">
      <c r="A5138" s="32"/>
    </row>
    <row r="5139" spans="1:1">
      <c r="A5139" s="32"/>
    </row>
    <row r="5140" spans="1:1">
      <c r="A5140" s="32"/>
    </row>
    <row r="5141" spans="1:1">
      <c r="A5141" s="32"/>
    </row>
    <row r="5142" spans="1:1">
      <c r="A5142" s="32"/>
    </row>
    <row r="5143" spans="1:1">
      <c r="A5143" s="32"/>
    </row>
    <row r="5144" spans="1:1">
      <c r="A5144" s="32"/>
    </row>
    <row r="5145" spans="1:1">
      <c r="A5145" s="32"/>
    </row>
    <row r="5146" spans="1:1">
      <c r="A5146" s="32"/>
    </row>
    <row r="5147" spans="1:1">
      <c r="A5147" s="32"/>
    </row>
    <row r="5148" spans="1:1">
      <c r="A5148" s="32"/>
    </row>
    <row r="5149" spans="1:1">
      <c r="A5149" s="32"/>
    </row>
    <row r="5150" spans="1:1">
      <c r="A5150" s="32"/>
    </row>
    <row r="5151" spans="1:1">
      <c r="A5151" s="32"/>
    </row>
    <row r="5152" spans="1:1">
      <c r="A5152" s="32"/>
    </row>
    <row r="5153" spans="1:1">
      <c r="A5153" s="32"/>
    </row>
    <row r="5154" spans="1:1">
      <c r="A5154" s="32"/>
    </row>
    <row r="5155" spans="1:1">
      <c r="A5155" s="32"/>
    </row>
    <row r="5156" spans="1:1">
      <c r="A5156" s="32"/>
    </row>
    <row r="5157" spans="1:1">
      <c r="A5157" s="32"/>
    </row>
    <row r="5158" spans="1:1">
      <c r="A5158" s="32"/>
    </row>
    <row r="5159" spans="1:1">
      <c r="A5159" s="32"/>
    </row>
    <row r="5160" spans="1:1">
      <c r="A5160" s="32"/>
    </row>
    <row r="5161" spans="1:1">
      <c r="A5161" s="32"/>
    </row>
    <row r="5162" spans="1:1">
      <c r="A5162" s="32"/>
    </row>
    <row r="5163" spans="1:1">
      <c r="A5163" s="32"/>
    </row>
    <row r="5164" spans="1:1">
      <c r="A5164" s="32"/>
    </row>
    <row r="5165" spans="1:1">
      <c r="A5165" s="32"/>
    </row>
    <row r="5166" spans="1:1">
      <c r="A5166" s="32"/>
    </row>
    <row r="5167" spans="1:1">
      <c r="A5167" s="32"/>
    </row>
    <row r="5168" spans="1:1">
      <c r="A5168" s="32"/>
    </row>
    <row r="5169" spans="1:1">
      <c r="A5169" s="32"/>
    </row>
    <row r="5170" spans="1:1">
      <c r="A5170" s="32"/>
    </row>
    <row r="5171" spans="1:1">
      <c r="A5171" s="32"/>
    </row>
    <row r="5172" spans="1:1">
      <c r="A5172" s="32"/>
    </row>
    <row r="5173" spans="1:1">
      <c r="A5173" s="32"/>
    </row>
    <row r="5174" spans="1:1">
      <c r="A5174" s="32"/>
    </row>
    <row r="5175" spans="1:1">
      <c r="A5175" s="32"/>
    </row>
    <row r="5176" spans="1:1">
      <c r="A5176" s="32"/>
    </row>
    <row r="5177" spans="1:1">
      <c r="A5177" s="32"/>
    </row>
    <row r="5178" spans="1:1">
      <c r="A5178" s="32"/>
    </row>
    <row r="5179" spans="1:1">
      <c r="A5179" s="32"/>
    </row>
    <row r="5180" spans="1:1">
      <c r="A5180" s="32"/>
    </row>
    <row r="5181" spans="1:1">
      <c r="A5181" s="32"/>
    </row>
    <row r="5182" spans="1:1">
      <c r="A5182" s="32"/>
    </row>
    <row r="5183" spans="1:1">
      <c r="A5183" s="32"/>
    </row>
    <row r="5184" spans="1:1">
      <c r="A5184" s="32"/>
    </row>
    <row r="5185" spans="1:1">
      <c r="A5185" s="32"/>
    </row>
    <row r="5186" spans="1:1">
      <c r="A5186" s="32"/>
    </row>
    <row r="5187" spans="1:1">
      <c r="A5187" s="32"/>
    </row>
    <row r="5188" spans="1:1">
      <c r="A5188" s="32"/>
    </row>
    <row r="5189" spans="1:1">
      <c r="A5189" s="32"/>
    </row>
    <row r="5190" spans="1:1">
      <c r="A5190" s="32"/>
    </row>
    <row r="5191" spans="1:1">
      <c r="A5191" s="32"/>
    </row>
    <row r="5192" spans="1:1">
      <c r="A5192" s="32"/>
    </row>
    <row r="5193" spans="1:1">
      <c r="A5193" s="32"/>
    </row>
    <row r="5194" spans="1:1">
      <c r="A5194" s="32"/>
    </row>
    <row r="5195" spans="1:1">
      <c r="A5195" s="32"/>
    </row>
    <row r="5196" spans="1:1">
      <c r="A5196" s="32"/>
    </row>
    <row r="5197" spans="1:1">
      <c r="A5197" s="32"/>
    </row>
    <row r="5198" spans="1:1">
      <c r="A5198" s="32"/>
    </row>
    <row r="5199" spans="1:1">
      <c r="A5199" s="32"/>
    </row>
    <row r="5200" spans="1:1">
      <c r="A5200" s="32"/>
    </row>
    <row r="5201" spans="1:1">
      <c r="A5201" s="32"/>
    </row>
    <row r="5202" spans="1:1">
      <c r="A5202" s="32"/>
    </row>
    <row r="5203" spans="1:1">
      <c r="A5203" s="32"/>
    </row>
    <row r="5204" spans="1:1">
      <c r="A5204" s="32"/>
    </row>
    <row r="5205" spans="1:1">
      <c r="A5205" s="32"/>
    </row>
    <row r="5206" spans="1:1">
      <c r="A5206" s="32"/>
    </row>
    <row r="5207" spans="1:1">
      <c r="A5207" s="32"/>
    </row>
    <row r="5208" spans="1:1">
      <c r="A5208" s="32"/>
    </row>
    <row r="5209" spans="1:1">
      <c r="A5209" s="32"/>
    </row>
    <row r="5210" spans="1:1">
      <c r="A5210" s="32"/>
    </row>
    <row r="5211" spans="1:1">
      <c r="A5211" s="32"/>
    </row>
    <row r="5212" spans="1:1">
      <c r="A5212" s="32"/>
    </row>
    <row r="5213" spans="1:1">
      <c r="A5213" s="32"/>
    </row>
    <row r="5214" spans="1:1">
      <c r="A5214" s="32"/>
    </row>
    <row r="5215" spans="1:1">
      <c r="A5215" s="32"/>
    </row>
    <row r="5216" spans="1:1">
      <c r="A5216" s="32"/>
    </row>
    <row r="5217" spans="1:1">
      <c r="A5217" s="32"/>
    </row>
    <row r="5218" spans="1:1">
      <c r="A5218" s="32"/>
    </row>
    <row r="5219" spans="1:1">
      <c r="A5219" s="32"/>
    </row>
    <row r="5220" spans="1:1">
      <c r="A5220" s="32"/>
    </row>
    <row r="5221" spans="1:1">
      <c r="A5221" s="32"/>
    </row>
    <row r="5222" spans="1:1">
      <c r="A5222" s="32"/>
    </row>
    <row r="5223" spans="1:1">
      <c r="A5223" s="32"/>
    </row>
    <row r="5224" spans="1:1">
      <c r="A5224" s="32"/>
    </row>
    <row r="5225" spans="1:1">
      <c r="A5225" s="32"/>
    </row>
    <row r="5226" spans="1:1">
      <c r="A5226" s="32"/>
    </row>
    <row r="5227" spans="1:1">
      <c r="A5227" s="32"/>
    </row>
    <row r="5228" spans="1:1">
      <c r="A5228" s="32"/>
    </row>
    <row r="5229" spans="1:1">
      <c r="A5229" s="32"/>
    </row>
    <row r="5230" spans="1:1">
      <c r="A5230" s="32"/>
    </row>
    <row r="5231" spans="1:1">
      <c r="A5231" s="32"/>
    </row>
    <row r="5232" spans="1:1">
      <c r="A5232" s="32"/>
    </row>
    <row r="5233" spans="1:1">
      <c r="A5233" s="32"/>
    </row>
    <row r="5234" spans="1:1">
      <c r="A5234" s="32"/>
    </row>
    <row r="5235" spans="1:1">
      <c r="A5235" s="32"/>
    </row>
    <row r="5236" spans="1:1">
      <c r="A5236" s="32"/>
    </row>
    <row r="5237" spans="1:1">
      <c r="A5237" s="32"/>
    </row>
    <row r="5238" spans="1:1">
      <c r="A5238" s="32"/>
    </row>
    <row r="5239" spans="1:1">
      <c r="A5239" s="32"/>
    </row>
    <row r="5240" spans="1:1">
      <c r="A5240" s="32"/>
    </row>
    <row r="5241" spans="1:1">
      <c r="A5241" s="32"/>
    </row>
    <row r="5242" spans="1:1">
      <c r="A5242" s="32"/>
    </row>
    <row r="5243" spans="1:1">
      <c r="A5243" s="32"/>
    </row>
    <row r="5244" spans="1:1">
      <c r="A5244" s="32"/>
    </row>
    <row r="5245" spans="1:1">
      <c r="A5245" s="32"/>
    </row>
    <row r="5246" spans="1:1">
      <c r="A5246" s="32"/>
    </row>
    <row r="5247" spans="1:1">
      <c r="A5247" s="32"/>
    </row>
    <row r="5248" spans="1:1">
      <c r="A5248" s="32"/>
    </row>
    <row r="5249" spans="1:1">
      <c r="A5249" s="32"/>
    </row>
    <row r="5250" spans="1:1">
      <c r="A5250" s="32"/>
    </row>
    <row r="5251" spans="1:1">
      <c r="A5251" s="32"/>
    </row>
    <row r="5252" spans="1:1">
      <c r="A5252" s="32"/>
    </row>
    <row r="5253" spans="1:1">
      <c r="A5253" s="32"/>
    </row>
    <row r="5254" spans="1:1">
      <c r="A5254" s="32"/>
    </row>
    <row r="5255" spans="1:1">
      <c r="A5255" s="32"/>
    </row>
    <row r="5256" spans="1:1">
      <c r="A5256" s="32"/>
    </row>
    <row r="5257" spans="1:1">
      <c r="A5257" s="32"/>
    </row>
    <row r="5258" spans="1:1">
      <c r="A5258" s="32"/>
    </row>
    <row r="5259" spans="1:1">
      <c r="A5259" s="32"/>
    </row>
    <row r="5260" spans="1:1">
      <c r="A5260" s="32"/>
    </row>
    <row r="5261" spans="1:1">
      <c r="A5261" s="32"/>
    </row>
    <row r="5262" spans="1:1">
      <c r="A5262" s="32"/>
    </row>
    <row r="5263" spans="1:1">
      <c r="A5263" s="32"/>
    </row>
    <row r="5264" spans="1:1">
      <c r="A5264" s="32"/>
    </row>
    <row r="5265" spans="1:1">
      <c r="A5265" s="32"/>
    </row>
    <row r="5266" spans="1:1">
      <c r="A5266" s="32"/>
    </row>
    <row r="5267" spans="1:1">
      <c r="A5267" s="32"/>
    </row>
    <row r="5268" spans="1:1">
      <c r="A5268" s="32"/>
    </row>
    <row r="5269" spans="1:1">
      <c r="A5269" s="32"/>
    </row>
    <row r="5270" spans="1:1">
      <c r="A5270" s="32"/>
    </row>
    <row r="5271" spans="1:1">
      <c r="A5271" s="32"/>
    </row>
    <row r="5272" spans="1:1">
      <c r="A5272" s="32"/>
    </row>
    <row r="5273" spans="1:1">
      <c r="A5273" s="32"/>
    </row>
    <row r="5274" spans="1:1">
      <c r="A5274" s="32"/>
    </row>
    <row r="5275" spans="1:1">
      <c r="A5275" s="32"/>
    </row>
    <row r="5276" spans="1:1">
      <c r="A5276" s="32"/>
    </row>
    <row r="5277" spans="1:1">
      <c r="A5277" s="32"/>
    </row>
    <row r="5278" spans="1:1">
      <c r="A5278" s="32"/>
    </row>
    <row r="5279" spans="1:1">
      <c r="A5279" s="32"/>
    </row>
    <row r="5280" spans="1:1">
      <c r="A5280" s="32"/>
    </row>
    <row r="5281" spans="1:1">
      <c r="A5281" s="32"/>
    </row>
    <row r="5282" spans="1:1">
      <c r="A5282" s="32"/>
    </row>
    <row r="5283" spans="1:1">
      <c r="A5283" s="32"/>
    </row>
    <row r="5284" spans="1:1">
      <c r="A5284" s="32"/>
    </row>
    <row r="5285" spans="1:1">
      <c r="A5285" s="32"/>
    </row>
    <row r="5286" spans="1:1">
      <c r="A5286" s="32"/>
    </row>
    <row r="5287" spans="1:1">
      <c r="A5287" s="32"/>
    </row>
    <row r="5288" spans="1:1">
      <c r="A5288" s="32"/>
    </row>
    <row r="5289" spans="1:1">
      <c r="A5289" s="32"/>
    </row>
    <row r="5290" spans="1:1">
      <c r="A5290" s="32"/>
    </row>
    <row r="5291" spans="1:1">
      <c r="A5291" s="32"/>
    </row>
    <row r="5292" spans="1:1">
      <c r="A5292" s="32"/>
    </row>
    <row r="5293" spans="1:1">
      <c r="A5293" s="32"/>
    </row>
    <row r="5294" spans="1:1">
      <c r="A5294" s="32"/>
    </row>
    <row r="5295" spans="1:1">
      <c r="A5295" s="32"/>
    </row>
    <row r="5296" spans="1:1">
      <c r="A5296" s="32"/>
    </row>
    <row r="5297" spans="1:1">
      <c r="A5297" s="32"/>
    </row>
    <row r="5298" spans="1:1">
      <c r="A5298" s="32"/>
    </row>
    <row r="5299" spans="1:1">
      <c r="A5299" s="32"/>
    </row>
    <row r="5300" spans="1:1">
      <c r="A5300" s="32"/>
    </row>
    <row r="5301" spans="1:1">
      <c r="A5301" s="32"/>
    </row>
    <row r="5302" spans="1:1">
      <c r="A5302" s="32"/>
    </row>
    <row r="5303" spans="1:1">
      <c r="A5303" s="32"/>
    </row>
    <row r="5304" spans="1:1">
      <c r="A5304" s="32"/>
    </row>
    <row r="5305" spans="1:1">
      <c r="A5305" s="32"/>
    </row>
    <row r="5306" spans="1:1">
      <c r="A5306" s="32"/>
    </row>
    <row r="5307" spans="1:1">
      <c r="A5307" s="32"/>
    </row>
    <row r="5308" spans="1:1">
      <c r="A5308" s="32"/>
    </row>
    <row r="5309" spans="1:1">
      <c r="A5309" s="32"/>
    </row>
    <row r="5310" spans="1:1">
      <c r="A5310" s="32"/>
    </row>
    <row r="5311" spans="1:1">
      <c r="A5311" s="32"/>
    </row>
    <row r="5312" spans="1:1">
      <c r="A5312" s="32"/>
    </row>
    <row r="5313" spans="1:1">
      <c r="A5313" s="32"/>
    </row>
    <row r="5314" spans="1:1">
      <c r="A5314" s="32"/>
    </row>
    <row r="5315" spans="1:1">
      <c r="A5315" s="32"/>
    </row>
    <row r="5316" spans="1:1">
      <c r="A5316" s="32"/>
    </row>
    <row r="5317" spans="1:1">
      <c r="A5317" s="32"/>
    </row>
    <row r="5318" spans="1:1">
      <c r="A5318" s="32"/>
    </row>
    <row r="5319" spans="1:1">
      <c r="A5319" s="32"/>
    </row>
    <row r="5320" spans="1:1">
      <c r="A5320" s="32"/>
    </row>
    <row r="5321" spans="1:1">
      <c r="A5321" s="32"/>
    </row>
    <row r="5322" spans="1:1">
      <c r="A5322" s="32"/>
    </row>
    <row r="5323" spans="1:1">
      <c r="A5323" s="32"/>
    </row>
    <row r="5324" spans="1:1">
      <c r="A5324" s="32"/>
    </row>
    <row r="5325" spans="1:1">
      <c r="A5325" s="32"/>
    </row>
    <row r="5326" spans="1:1">
      <c r="A5326" s="32"/>
    </row>
    <row r="5327" spans="1:1">
      <c r="A5327" s="32"/>
    </row>
    <row r="5328" spans="1:1">
      <c r="A5328" s="32"/>
    </row>
    <row r="5329" spans="1:1">
      <c r="A5329" s="32"/>
    </row>
    <row r="5330" spans="1:1">
      <c r="A5330" s="32"/>
    </row>
    <row r="5331" spans="1:1">
      <c r="A5331" s="32"/>
    </row>
    <row r="5332" spans="1:1">
      <c r="A5332" s="32"/>
    </row>
    <row r="5333" spans="1:1">
      <c r="A5333" s="32"/>
    </row>
    <row r="5334" spans="1:1">
      <c r="A5334" s="32"/>
    </row>
    <row r="5335" spans="1:1">
      <c r="A5335" s="32"/>
    </row>
    <row r="5336" spans="1:1">
      <c r="A5336" s="32"/>
    </row>
    <row r="5337" spans="1:1">
      <c r="A5337" s="32"/>
    </row>
    <row r="5338" spans="1:1">
      <c r="A5338" s="32"/>
    </row>
    <row r="5339" spans="1:1">
      <c r="A5339" s="32"/>
    </row>
    <row r="5340" spans="1:1">
      <c r="A5340" s="32"/>
    </row>
    <row r="5341" spans="1:1">
      <c r="A5341" s="32"/>
    </row>
    <row r="5342" spans="1:1">
      <c r="A5342" s="32"/>
    </row>
    <row r="5343" spans="1:1">
      <c r="A5343" s="32"/>
    </row>
    <row r="5344" spans="1:1">
      <c r="A5344" s="32"/>
    </row>
    <row r="5345" spans="1:1">
      <c r="A5345" s="32"/>
    </row>
    <row r="5346" spans="1:1">
      <c r="A5346" s="32"/>
    </row>
    <row r="5347" spans="1:1">
      <c r="A5347" s="32"/>
    </row>
    <row r="5348" spans="1:1">
      <c r="A5348" s="32"/>
    </row>
    <row r="5349" spans="1:1">
      <c r="A5349" s="32"/>
    </row>
    <row r="5350" spans="1:1">
      <c r="A5350" s="32"/>
    </row>
    <row r="5351" spans="1:1">
      <c r="A5351" s="32"/>
    </row>
    <row r="5352" spans="1:1">
      <c r="A5352" s="32"/>
    </row>
    <row r="5353" spans="1:1">
      <c r="A5353" s="32"/>
    </row>
    <row r="5354" spans="1:1">
      <c r="A5354" s="32"/>
    </row>
    <row r="5355" spans="1:1">
      <c r="A5355" s="32"/>
    </row>
    <row r="5356" spans="1:1">
      <c r="A5356" s="32"/>
    </row>
    <row r="5357" spans="1:1">
      <c r="A5357" s="32"/>
    </row>
    <row r="5358" spans="1:1">
      <c r="A5358" s="32"/>
    </row>
    <row r="5359" spans="1:1">
      <c r="A5359" s="32"/>
    </row>
    <row r="5360" spans="1:1">
      <c r="A5360" s="32"/>
    </row>
    <row r="5361" spans="1:1">
      <c r="A5361" s="32"/>
    </row>
    <row r="5362" spans="1:1">
      <c r="A5362" s="32"/>
    </row>
    <row r="5363" spans="1:1">
      <c r="A5363" s="32"/>
    </row>
    <row r="5364" spans="1:1">
      <c r="A5364" s="32"/>
    </row>
    <row r="5365" spans="1:1">
      <c r="A5365" s="32"/>
    </row>
    <row r="5366" spans="1:1">
      <c r="A5366" s="32"/>
    </row>
    <row r="5367" spans="1:1">
      <c r="A5367" s="32"/>
    </row>
    <row r="5368" spans="1:1">
      <c r="A5368" s="32"/>
    </row>
    <row r="5369" spans="1:1">
      <c r="A5369" s="32"/>
    </row>
    <row r="5370" spans="1:1">
      <c r="A5370" s="32"/>
    </row>
    <row r="5371" spans="1:1">
      <c r="A5371" s="32"/>
    </row>
    <row r="5372" spans="1:1">
      <c r="A5372" s="32"/>
    </row>
    <row r="5373" spans="1:1">
      <c r="A5373" s="32"/>
    </row>
    <row r="5374" spans="1:1">
      <c r="A5374" s="32"/>
    </row>
    <row r="5375" spans="1:1">
      <c r="A5375" s="32"/>
    </row>
    <row r="5376" spans="1:1">
      <c r="A5376" s="32"/>
    </row>
    <row r="5377" spans="1:1">
      <c r="A5377" s="32"/>
    </row>
    <row r="5378" spans="1:1">
      <c r="A5378" s="32"/>
    </row>
    <row r="5379" spans="1:1">
      <c r="A5379" s="32"/>
    </row>
    <row r="5380" spans="1:1">
      <c r="A5380" s="32"/>
    </row>
    <row r="5381" spans="1:1">
      <c r="A5381" s="32"/>
    </row>
    <row r="5382" spans="1:1">
      <c r="A5382" s="32"/>
    </row>
    <row r="5383" spans="1:1">
      <c r="A5383" s="32"/>
    </row>
    <row r="5384" spans="1:1">
      <c r="A5384" s="32"/>
    </row>
    <row r="5385" spans="1:1">
      <c r="A5385" s="32"/>
    </row>
    <row r="5386" spans="1:1">
      <c r="A5386" s="32"/>
    </row>
    <row r="5387" spans="1:1">
      <c r="A5387" s="32"/>
    </row>
    <row r="5388" spans="1:1">
      <c r="A5388" s="32"/>
    </row>
    <row r="5389" spans="1:1">
      <c r="A5389" s="32"/>
    </row>
    <row r="5390" spans="1:1">
      <c r="A5390" s="32"/>
    </row>
    <row r="5391" spans="1:1">
      <c r="A5391" s="32"/>
    </row>
    <row r="5392" spans="1:1">
      <c r="A5392" s="32"/>
    </row>
    <row r="5393" spans="1:1">
      <c r="A5393" s="32"/>
    </row>
    <row r="5394" spans="1:1">
      <c r="A5394" s="32"/>
    </row>
    <row r="5395" spans="1:1">
      <c r="A5395" s="32"/>
    </row>
    <row r="5396" spans="1:1">
      <c r="A5396" s="32"/>
    </row>
    <row r="5397" spans="1:1">
      <c r="A5397" s="32"/>
    </row>
    <row r="5398" spans="1:1">
      <c r="A5398" s="32"/>
    </row>
    <row r="5399" spans="1:1">
      <c r="A5399" s="32"/>
    </row>
    <row r="5400" spans="1:1">
      <c r="A5400" s="32"/>
    </row>
    <row r="5401" spans="1:1">
      <c r="A5401" s="32"/>
    </row>
    <row r="5402" spans="1:1">
      <c r="A5402" s="32"/>
    </row>
    <row r="5403" spans="1:1">
      <c r="A5403" s="32"/>
    </row>
    <row r="5404" spans="1:1">
      <c r="A5404" s="32"/>
    </row>
    <row r="5405" spans="1:1">
      <c r="A5405" s="32"/>
    </row>
    <row r="5406" spans="1:1">
      <c r="A5406" s="32"/>
    </row>
    <row r="5407" spans="1:1">
      <c r="A5407" s="32"/>
    </row>
    <row r="5408" spans="1:1">
      <c r="A5408" s="32"/>
    </row>
    <row r="5409" spans="1:1">
      <c r="A5409" s="32"/>
    </row>
    <row r="5410" spans="1:1">
      <c r="A5410" s="32"/>
    </row>
    <row r="5411" spans="1:1">
      <c r="A5411" s="32"/>
    </row>
    <row r="5412" spans="1:1">
      <c r="A5412" s="32"/>
    </row>
    <row r="5413" spans="1:1">
      <c r="A5413" s="32"/>
    </row>
    <row r="5414" spans="1:1">
      <c r="A5414" s="32"/>
    </row>
    <row r="5415" spans="1:1">
      <c r="A5415" s="32"/>
    </row>
    <row r="5416" spans="1:1">
      <c r="A5416" s="32"/>
    </row>
    <row r="5417" spans="1:1">
      <c r="A5417" s="32"/>
    </row>
    <row r="5418" spans="1:1">
      <c r="A5418" s="32"/>
    </row>
    <row r="5419" spans="1:1">
      <c r="A5419" s="32"/>
    </row>
    <row r="5420" spans="1:1">
      <c r="A5420" s="32"/>
    </row>
    <row r="5421" spans="1:1">
      <c r="A5421" s="32"/>
    </row>
    <row r="5422" spans="1:1">
      <c r="A5422" s="32"/>
    </row>
    <row r="5423" spans="1:1">
      <c r="A5423" s="32"/>
    </row>
    <row r="5424" spans="1:1">
      <c r="A5424" s="32"/>
    </row>
    <row r="5425" spans="1:1">
      <c r="A5425" s="32"/>
    </row>
    <row r="5426" spans="1:1">
      <c r="A5426" s="32"/>
    </row>
    <row r="5427" spans="1:1">
      <c r="A5427" s="32"/>
    </row>
    <row r="5428" spans="1:1">
      <c r="A5428" s="32"/>
    </row>
    <row r="5429" spans="1:1">
      <c r="A5429" s="32"/>
    </row>
    <row r="5430" spans="1:1">
      <c r="A5430" s="32"/>
    </row>
    <row r="5431" spans="1:1">
      <c r="A5431" s="32"/>
    </row>
    <row r="5432" spans="1:1">
      <c r="A5432" s="32"/>
    </row>
    <row r="5433" spans="1:1">
      <c r="A5433" s="32"/>
    </row>
    <row r="5434" spans="1:1">
      <c r="A5434" s="32"/>
    </row>
    <row r="5435" spans="1:1">
      <c r="A5435" s="32"/>
    </row>
    <row r="5436" spans="1:1">
      <c r="A5436" s="32"/>
    </row>
    <row r="5437" spans="1:1">
      <c r="A5437" s="32"/>
    </row>
    <row r="5438" spans="1:1">
      <c r="A5438" s="32"/>
    </row>
    <row r="5439" spans="1:1">
      <c r="A5439" s="32"/>
    </row>
    <row r="5440" spans="1:1">
      <c r="A5440" s="32"/>
    </row>
    <row r="5441" spans="1:1">
      <c r="A5441" s="32"/>
    </row>
    <row r="5442" spans="1:1">
      <c r="A5442" s="32"/>
    </row>
    <row r="5443" spans="1:1">
      <c r="A5443" s="32"/>
    </row>
    <row r="5444" spans="1:1">
      <c r="A5444" s="32"/>
    </row>
    <row r="5445" spans="1:1">
      <c r="A5445" s="32"/>
    </row>
    <row r="5446" spans="1:1">
      <c r="A5446" s="32"/>
    </row>
    <row r="5447" spans="1:1">
      <c r="A5447" s="32"/>
    </row>
    <row r="5448" spans="1:1">
      <c r="A5448" s="32"/>
    </row>
    <row r="5449" spans="1:1">
      <c r="A5449" s="32"/>
    </row>
    <row r="5450" spans="1:1">
      <c r="A5450" s="32"/>
    </row>
    <row r="5451" spans="1:1">
      <c r="A5451" s="32"/>
    </row>
    <row r="5452" spans="1:1">
      <c r="A5452" s="32"/>
    </row>
    <row r="5453" spans="1:1">
      <c r="A5453" s="32"/>
    </row>
    <row r="5454" spans="1:1">
      <c r="A5454" s="32"/>
    </row>
    <row r="5455" spans="1:1">
      <c r="A5455" s="32"/>
    </row>
    <row r="5456" spans="1:1">
      <c r="A5456" s="32"/>
    </row>
    <row r="5457" spans="1:1">
      <c r="A5457" s="32"/>
    </row>
    <row r="5458" spans="1:1">
      <c r="A5458" s="32"/>
    </row>
    <row r="5459" spans="1:1">
      <c r="A5459" s="32"/>
    </row>
    <row r="5460" spans="1:1">
      <c r="A5460" s="32"/>
    </row>
    <row r="5461" spans="1:1">
      <c r="A5461" s="32"/>
    </row>
    <row r="5462" spans="1:1">
      <c r="A5462" s="32"/>
    </row>
    <row r="5463" spans="1:1">
      <c r="A5463" s="32"/>
    </row>
    <row r="5464" spans="1:1">
      <c r="A5464" s="32"/>
    </row>
    <row r="5465" spans="1:1">
      <c r="A5465" s="32"/>
    </row>
    <row r="5466" spans="1:1">
      <c r="A5466" s="32"/>
    </row>
    <row r="5467" spans="1:1">
      <c r="A5467" s="32"/>
    </row>
    <row r="5468" spans="1:1">
      <c r="A5468" s="32"/>
    </row>
    <row r="5469" spans="1:1">
      <c r="A5469" s="32"/>
    </row>
    <row r="5470" spans="1:1">
      <c r="A5470" s="32"/>
    </row>
    <row r="5471" spans="1:1">
      <c r="A5471" s="32"/>
    </row>
    <row r="5472" spans="1:1">
      <c r="A5472" s="32"/>
    </row>
    <row r="5473" spans="1:1">
      <c r="A5473" s="32"/>
    </row>
    <row r="5474" spans="1:1">
      <c r="A5474" s="32"/>
    </row>
    <row r="5475" spans="1:1">
      <c r="A5475" s="32"/>
    </row>
    <row r="5476" spans="1:1">
      <c r="A5476" s="32"/>
    </row>
    <row r="5477" spans="1:1">
      <c r="A5477" s="32"/>
    </row>
    <row r="5478" spans="1:1">
      <c r="A5478" s="32"/>
    </row>
    <row r="5479" spans="1:1">
      <c r="A5479" s="32"/>
    </row>
    <row r="5480" spans="1:1">
      <c r="A5480" s="32"/>
    </row>
    <row r="5481" spans="1:1">
      <c r="A5481" s="32"/>
    </row>
    <row r="5482" spans="1:1">
      <c r="A5482" s="32"/>
    </row>
    <row r="5483" spans="1:1">
      <c r="A5483" s="32"/>
    </row>
    <row r="5484" spans="1:1">
      <c r="A5484" s="32"/>
    </row>
    <row r="5485" spans="1:1">
      <c r="A5485" s="32"/>
    </row>
    <row r="5486" spans="1:1">
      <c r="A5486" s="32"/>
    </row>
    <row r="5487" spans="1:1">
      <c r="A5487" s="32"/>
    </row>
    <row r="5488" spans="1:1">
      <c r="A5488" s="32"/>
    </row>
    <row r="5489" spans="1:1">
      <c r="A5489" s="32"/>
    </row>
    <row r="5490" spans="1:1">
      <c r="A5490" s="32"/>
    </row>
    <row r="5491" spans="1:1">
      <c r="A5491" s="32"/>
    </row>
    <row r="5492" spans="1:1">
      <c r="A5492" s="32"/>
    </row>
    <row r="5493" spans="1:1">
      <c r="A5493" s="32"/>
    </row>
    <row r="5494" spans="1:1">
      <c r="A5494" s="32"/>
    </row>
    <row r="5495" spans="1:1">
      <c r="A5495" s="32"/>
    </row>
    <row r="5496" spans="1:1">
      <c r="A5496" s="32"/>
    </row>
    <row r="5497" spans="1:1">
      <c r="A5497" s="32"/>
    </row>
    <row r="5498" spans="1:1">
      <c r="A5498" s="32"/>
    </row>
    <row r="5499" spans="1:1">
      <c r="A5499" s="32"/>
    </row>
    <row r="5500" spans="1:1">
      <c r="A5500" s="32"/>
    </row>
    <row r="5501" spans="1:1">
      <c r="A5501" s="32"/>
    </row>
    <row r="5502" spans="1:1">
      <c r="A5502" s="32"/>
    </row>
    <row r="5503" spans="1:1">
      <c r="A5503" s="32"/>
    </row>
    <row r="5504" spans="1:1">
      <c r="A5504" s="32"/>
    </row>
    <row r="5505" spans="1:1">
      <c r="A5505" s="32"/>
    </row>
    <row r="5506" spans="1:1">
      <c r="A5506" s="32"/>
    </row>
    <row r="5507" spans="1:1">
      <c r="A5507" s="32"/>
    </row>
    <row r="5508" spans="1:1">
      <c r="A5508" s="32"/>
    </row>
    <row r="5509" spans="1:1">
      <c r="A5509" s="32"/>
    </row>
    <row r="5510" spans="1:1">
      <c r="A5510" s="32"/>
    </row>
    <row r="5511" spans="1:1">
      <c r="A5511" s="32"/>
    </row>
    <row r="5512" spans="1:1">
      <c r="A5512" s="32"/>
    </row>
    <row r="5513" spans="1:1">
      <c r="A5513" s="32"/>
    </row>
    <row r="5514" spans="1:1">
      <c r="A5514" s="32"/>
    </row>
    <row r="5515" spans="1:1">
      <c r="A5515" s="32"/>
    </row>
    <row r="5516" spans="1:1">
      <c r="A5516" s="32"/>
    </row>
    <row r="5517" spans="1:1">
      <c r="A5517" s="32"/>
    </row>
    <row r="5518" spans="1:1">
      <c r="A5518" s="32"/>
    </row>
    <row r="5519" spans="1:1">
      <c r="A5519" s="32"/>
    </row>
    <row r="5520" spans="1:1">
      <c r="A5520" s="32"/>
    </row>
    <row r="5521" spans="1:1">
      <c r="A5521" s="32"/>
    </row>
    <row r="5522" spans="1:1">
      <c r="A5522" s="32"/>
    </row>
    <row r="5523" spans="1:1">
      <c r="A5523" s="32"/>
    </row>
    <row r="5524" spans="1:1">
      <c r="A5524" s="32"/>
    </row>
    <row r="5525" spans="1:1">
      <c r="A5525" s="32"/>
    </row>
    <row r="5526" spans="1:1">
      <c r="A5526" s="32"/>
    </row>
    <row r="5527" spans="1:1">
      <c r="A5527" s="32"/>
    </row>
    <row r="5528" spans="1:1">
      <c r="A5528" s="32"/>
    </row>
    <row r="5529" spans="1:1">
      <c r="A5529" s="32"/>
    </row>
    <row r="5530" spans="1:1">
      <c r="A5530" s="32"/>
    </row>
    <row r="5531" spans="1:1">
      <c r="A5531" s="32"/>
    </row>
    <row r="5532" spans="1:1">
      <c r="A5532" s="32"/>
    </row>
    <row r="5533" spans="1:1">
      <c r="A5533" s="32"/>
    </row>
    <row r="5534" spans="1:1">
      <c r="A5534" s="32"/>
    </row>
    <row r="5535" spans="1:1">
      <c r="A5535" s="32"/>
    </row>
    <row r="5536" spans="1:1">
      <c r="A5536" s="32"/>
    </row>
    <row r="5537" spans="1:1">
      <c r="A5537" s="32"/>
    </row>
    <row r="5538" spans="1:1">
      <c r="A5538" s="32"/>
    </row>
    <row r="5539" spans="1:1">
      <c r="A5539" s="32"/>
    </row>
    <row r="5540" spans="1:1">
      <c r="A5540" s="32"/>
    </row>
    <row r="5541" spans="1:1">
      <c r="A5541" s="32"/>
    </row>
    <row r="5542" spans="1:1">
      <c r="A5542" s="32"/>
    </row>
    <row r="5543" spans="1:1">
      <c r="A5543" s="32"/>
    </row>
    <row r="5544" spans="1:1">
      <c r="A5544" s="32"/>
    </row>
    <row r="5545" spans="1:1">
      <c r="A5545" s="32"/>
    </row>
    <row r="5546" spans="1:1">
      <c r="A5546" s="32"/>
    </row>
    <row r="5547" spans="1:1">
      <c r="A5547" s="32"/>
    </row>
    <row r="5548" spans="1:1">
      <c r="A5548" s="32"/>
    </row>
    <row r="5549" spans="1:1">
      <c r="A5549" s="32"/>
    </row>
    <row r="5550" spans="1:1">
      <c r="A5550" s="32"/>
    </row>
    <row r="5551" spans="1:1">
      <c r="A5551" s="32"/>
    </row>
    <row r="5552" spans="1:1">
      <c r="A5552" s="32"/>
    </row>
    <row r="5553" spans="1:1">
      <c r="A5553" s="32"/>
    </row>
    <row r="5554" spans="1:1">
      <c r="A5554" s="32"/>
    </row>
    <row r="5555" spans="1:1">
      <c r="A5555" s="32"/>
    </row>
    <row r="5556" spans="1:1">
      <c r="A5556" s="32"/>
    </row>
    <row r="5557" spans="1:1">
      <c r="A5557" s="32"/>
    </row>
    <row r="5558" spans="1:1">
      <c r="A5558" s="32"/>
    </row>
    <row r="5559" spans="1:1">
      <c r="A5559" s="32"/>
    </row>
    <row r="5560" spans="1:1">
      <c r="A5560" s="32"/>
    </row>
    <row r="5561" spans="1:1">
      <c r="A5561" s="32"/>
    </row>
    <row r="5562" spans="1:1">
      <c r="A5562" s="32"/>
    </row>
    <row r="5563" spans="1:1">
      <c r="A5563" s="32"/>
    </row>
    <row r="5564" spans="1:1">
      <c r="A5564" s="32"/>
    </row>
    <row r="5565" spans="1:1">
      <c r="A5565" s="32"/>
    </row>
    <row r="5566" spans="1:1">
      <c r="A5566" s="32"/>
    </row>
    <row r="5567" spans="1:1">
      <c r="A5567" s="32"/>
    </row>
    <row r="5568" spans="1:1">
      <c r="A5568" s="32"/>
    </row>
    <row r="5569" spans="1:1">
      <c r="A5569" s="32"/>
    </row>
    <row r="5570" spans="1:1">
      <c r="A5570" s="32"/>
    </row>
    <row r="5571" spans="1:1">
      <c r="A5571" s="32"/>
    </row>
    <row r="5572" spans="1:1">
      <c r="A5572" s="32"/>
    </row>
    <row r="5573" spans="1:1">
      <c r="A5573" s="32"/>
    </row>
    <row r="5574" spans="1:1">
      <c r="A5574" s="32"/>
    </row>
    <row r="5575" spans="1:1">
      <c r="A5575" s="32"/>
    </row>
    <row r="5576" spans="1:1">
      <c r="A5576" s="32"/>
    </row>
    <row r="5577" spans="1:1">
      <c r="A5577" s="32"/>
    </row>
    <row r="5578" spans="1:1">
      <c r="A5578" s="32"/>
    </row>
    <row r="5579" spans="1:1">
      <c r="A5579" s="32"/>
    </row>
    <row r="5580" spans="1:1">
      <c r="A5580" s="32"/>
    </row>
    <row r="5581" spans="1:1">
      <c r="A5581" s="32"/>
    </row>
    <row r="5582" spans="1:1">
      <c r="A5582" s="32"/>
    </row>
    <row r="5583" spans="1:1">
      <c r="A5583" s="32"/>
    </row>
    <row r="5584" spans="1:1">
      <c r="A5584" s="32"/>
    </row>
    <row r="5585" spans="1:1">
      <c r="A5585" s="32"/>
    </row>
    <row r="5586" spans="1:1">
      <c r="A5586" s="32"/>
    </row>
    <row r="5587" spans="1:1">
      <c r="A5587" s="32"/>
    </row>
    <row r="5588" spans="1:1">
      <c r="A5588" s="32"/>
    </row>
    <row r="5589" spans="1:1">
      <c r="A5589" s="32"/>
    </row>
    <row r="5590" spans="1:1">
      <c r="A5590" s="32"/>
    </row>
    <row r="5591" spans="1:1">
      <c r="A5591" s="32"/>
    </row>
    <row r="5592" spans="1:1">
      <c r="A5592" s="32"/>
    </row>
    <row r="5593" spans="1:1">
      <c r="A5593" s="32"/>
    </row>
    <row r="5594" spans="1:1">
      <c r="A5594" s="32"/>
    </row>
    <row r="5595" spans="1:1">
      <c r="A5595" s="32"/>
    </row>
    <row r="5596" spans="1:1">
      <c r="A5596" s="32"/>
    </row>
    <row r="5597" spans="1:1">
      <c r="A5597" s="32"/>
    </row>
    <row r="5598" spans="1:1">
      <c r="A5598" s="32"/>
    </row>
    <row r="5599" spans="1:1">
      <c r="A5599" s="32"/>
    </row>
    <row r="5600" spans="1:1">
      <c r="A5600" s="32"/>
    </row>
    <row r="5601" spans="1:1">
      <c r="A5601" s="32"/>
    </row>
    <row r="5602" spans="1:1">
      <c r="A5602" s="32"/>
    </row>
    <row r="5603" spans="1:1">
      <c r="A5603" s="32"/>
    </row>
    <row r="5604" spans="1:1">
      <c r="A5604" s="32"/>
    </row>
    <row r="5605" spans="1:1">
      <c r="A5605" s="32"/>
    </row>
    <row r="5606" spans="1:1">
      <c r="A5606" s="32"/>
    </row>
    <row r="5607" spans="1:1">
      <c r="A5607" s="32"/>
    </row>
    <row r="5608" spans="1:1">
      <c r="A5608" s="32"/>
    </row>
    <row r="5609" spans="1:1">
      <c r="A5609" s="32"/>
    </row>
    <row r="5610" spans="1:1">
      <c r="A5610" s="32"/>
    </row>
    <row r="5611" spans="1:1">
      <c r="A5611" s="32"/>
    </row>
    <row r="5612" spans="1:1">
      <c r="A5612" s="32"/>
    </row>
    <row r="5613" spans="1:1">
      <c r="A5613" s="32"/>
    </row>
    <row r="5614" spans="1:1">
      <c r="A5614" s="32"/>
    </row>
    <row r="5615" spans="1:1">
      <c r="A5615" s="32"/>
    </row>
    <row r="5616" spans="1:1">
      <c r="A5616" s="32"/>
    </row>
    <row r="5617" spans="1:1">
      <c r="A5617" s="32"/>
    </row>
    <row r="5618" spans="1:1">
      <c r="A5618" s="32"/>
    </row>
    <row r="5619" spans="1:1">
      <c r="A5619" s="32"/>
    </row>
    <row r="5620" spans="1:1">
      <c r="A5620" s="32"/>
    </row>
    <row r="5621" spans="1:1">
      <c r="A5621" s="32"/>
    </row>
    <row r="5622" spans="1:1">
      <c r="A5622" s="32"/>
    </row>
    <row r="5623" spans="1:1">
      <c r="A5623" s="32"/>
    </row>
    <row r="5624" spans="1:1">
      <c r="A5624" s="32"/>
    </row>
    <row r="5625" spans="1:1">
      <c r="A5625" s="32"/>
    </row>
    <row r="5626" spans="1:1">
      <c r="A5626" s="32"/>
    </row>
    <row r="5627" spans="1:1">
      <c r="A5627" s="32"/>
    </row>
    <row r="5628" spans="1:1">
      <c r="A5628" s="32"/>
    </row>
    <row r="5629" spans="1:1">
      <c r="A5629" s="32"/>
    </row>
    <row r="5630" spans="1:1">
      <c r="A5630" s="32"/>
    </row>
    <row r="5631" spans="1:1">
      <c r="A5631" s="32"/>
    </row>
    <row r="5632" spans="1:1">
      <c r="A5632" s="32"/>
    </row>
    <row r="5633" spans="1:1">
      <c r="A5633" s="32"/>
    </row>
    <row r="5634" spans="1:1">
      <c r="A5634" s="32"/>
    </row>
    <row r="5635" spans="1:1">
      <c r="A5635" s="32"/>
    </row>
    <row r="5636" spans="1:1">
      <c r="A5636" s="32"/>
    </row>
    <row r="5637" spans="1:1">
      <c r="A5637" s="32"/>
    </row>
    <row r="5638" spans="1:1">
      <c r="A5638" s="32"/>
    </row>
    <row r="5639" spans="1:1">
      <c r="A5639" s="32"/>
    </row>
    <row r="5640" spans="1:1">
      <c r="A5640" s="32"/>
    </row>
    <row r="5641" spans="1:1">
      <c r="A5641" s="32"/>
    </row>
    <row r="5642" spans="1:1">
      <c r="A5642" s="32"/>
    </row>
    <row r="5643" spans="1:1">
      <c r="A5643" s="32"/>
    </row>
    <row r="5644" spans="1:1">
      <c r="A5644" s="32"/>
    </row>
    <row r="5645" spans="1:1">
      <c r="A5645" s="32"/>
    </row>
    <row r="5646" spans="1:1">
      <c r="A5646" s="32"/>
    </row>
    <row r="5647" spans="1:1">
      <c r="A5647" s="32"/>
    </row>
    <row r="5648" spans="1:1">
      <c r="A5648" s="32"/>
    </row>
    <row r="5649" spans="1:1">
      <c r="A5649" s="32"/>
    </row>
    <row r="5650" spans="1:1">
      <c r="A5650" s="32"/>
    </row>
    <row r="5651" spans="1:1">
      <c r="A5651" s="32"/>
    </row>
    <row r="5652" spans="1:1">
      <c r="A5652" s="32"/>
    </row>
    <row r="5653" spans="1:1">
      <c r="A5653" s="32"/>
    </row>
    <row r="5654" spans="1:1">
      <c r="A5654" s="32"/>
    </row>
    <row r="5655" spans="1:1">
      <c r="A5655" s="32"/>
    </row>
    <row r="5656" spans="1:1">
      <c r="A5656" s="32"/>
    </row>
    <row r="5657" spans="1:1">
      <c r="A5657" s="32"/>
    </row>
    <row r="5658" spans="1:1">
      <c r="A5658" s="32"/>
    </row>
    <row r="5659" spans="1:1">
      <c r="A5659" s="32"/>
    </row>
    <row r="5660" spans="1:1">
      <c r="A5660" s="32"/>
    </row>
    <row r="5661" spans="1:1">
      <c r="A5661" s="32"/>
    </row>
    <row r="5662" spans="1:1">
      <c r="A5662" s="32"/>
    </row>
    <row r="5663" spans="1:1">
      <c r="A5663" s="32"/>
    </row>
    <row r="5664" spans="1:1">
      <c r="A5664" s="32"/>
    </row>
    <row r="5665" spans="1:1">
      <c r="A5665" s="32"/>
    </row>
    <row r="5666" spans="1:1">
      <c r="A5666" s="32"/>
    </row>
    <row r="5667" spans="1:1">
      <c r="A5667" s="32"/>
    </row>
    <row r="5668" spans="1:1">
      <c r="A5668" s="32"/>
    </row>
    <row r="5669" spans="1:1">
      <c r="A5669" s="32"/>
    </row>
    <row r="5670" spans="1:1">
      <c r="A5670" s="32"/>
    </row>
    <row r="5671" spans="1:1">
      <c r="A5671" s="32"/>
    </row>
    <row r="5672" spans="1:1">
      <c r="A5672" s="32"/>
    </row>
    <row r="5673" spans="1:1">
      <c r="A5673" s="32"/>
    </row>
    <row r="5674" spans="1:1">
      <c r="A5674" s="32"/>
    </row>
    <row r="5675" spans="1:1">
      <c r="A5675" s="32"/>
    </row>
    <row r="5676" spans="1:1">
      <c r="A5676" s="32"/>
    </row>
    <row r="5677" spans="1:1">
      <c r="A5677" s="32"/>
    </row>
    <row r="5678" spans="1:1">
      <c r="A5678" s="32"/>
    </row>
    <row r="5679" spans="1:1">
      <c r="A5679" s="32"/>
    </row>
    <row r="5680" spans="1:1">
      <c r="A5680" s="32"/>
    </row>
    <row r="5681" spans="1:1">
      <c r="A5681" s="32"/>
    </row>
    <row r="5682" spans="1:1">
      <c r="A5682" s="32"/>
    </row>
    <row r="5683" spans="1:1">
      <c r="A5683" s="32"/>
    </row>
    <row r="5684" spans="1:1">
      <c r="A5684" s="32"/>
    </row>
    <row r="5685" spans="1:1">
      <c r="A5685" s="32"/>
    </row>
    <row r="5686" spans="1:1">
      <c r="A5686" s="32"/>
    </row>
    <row r="5687" spans="1:1">
      <c r="A5687" s="32"/>
    </row>
    <row r="5688" spans="1:1">
      <c r="A5688" s="32"/>
    </row>
    <row r="5689" spans="1:1">
      <c r="A5689" s="32"/>
    </row>
    <row r="5690" spans="1:1">
      <c r="A5690" s="32"/>
    </row>
    <row r="5691" spans="1:1">
      <c r="A5691" s="32"/>
    </row>
    <row r="5692" spans="1:1">
      <c r="A5692" s="32"/>
    </row>
    <row r="5693" spans="1:1">
      <c r="A5693" s="32"/>
    </row>
    <row r="5694" spans="1:1">
      <c r="A5694" s="32"/>
    </row>
    <row r="5695" spans="1:1">
      <c r="A5695" s="32"/>
    </row>
    <row r="5696" spans="1:1">
      <c r="A5696" s="32"/>
    </row>
    <row r="5697" spans="1:1">
      <c r="A5697" s="32"/>
    </row>
    <row r="5698" spans="1:1">
      <c r="A5698" s="32"/>
    </row>
    <row r="5699" spans="1:1">
      <c r="A5699" s="32"/>
    </row>
    <row r="5700" spans="1:1">
      <c r="A5700" s="32"/>
    </row>
    <row r="5701" spans="1:1">
      <c r="A5701" s="32"/>
    </row>
    <row r="5702" spans="1:1">
      <c r="A5702" s="32"/>
    </row>
    <row r="5703" spans="1:1">
      <c r="A5703" s="32"/>
    </row>
    <row r="5704" spans="1:1">
      <c r="A5704" s="32"/>
    </row>
    <row r="5705" spans="1:1">
      <c r="A5705" s="32"/>
    </row>
    <row r="5706" spans="1:1">
      <c r="A5706" s="32"/>
    </row>
    <row r="5707" spans="1:1">
      <c r="A5707" s="32"/>
    </row>
    <row r="5708" spans="1:1">
      <c r="A5708" s="32"/>
    </row>
    <row r="5709" spans="1:1">
      <c r="A5709" s="32"/>
    </row>
    <row r="5710" spans="1:1">
      <c r="A5710" s="32"/>
    </row>
    <row r="5711" spans="1:1">
      <c r="A5711" s="32"/>
    </row>
    <row r="5712" spans="1:1">
      <c r="A5712" s="32"/>
    </row>
    <row r="5713" spans="1:1">
      <c r="A5713" s="32"/>
    </row>
    <row r="5714" spans="1:1">
      <c r="A5714" s="32"/>
    </row>
    <row r="5715" spans="1:1">
      <c r="A5715" s="32"/>
    </row>
    <row r="5716" spans="1:1">
      <c r="A5716" s="32"/>
    </row>
    <row r="5717" spans="1:1">
      <c r="A5717" s="32"/>
    </row>
    <row r="5718" spans="1:1">
      <c r="A5718" s="32"/>
    </row>
    <row r="5719" spans="1:1">
      <c r="A5719" s="32"/>
    </row>
    <row r="5720" spans="1:1">
      <c r="A5720" s="32"/>
    </row>
    <row r="5721" spans="1:1">
      <c r="A5721" s="32"/>
    </row>
    <row r="5722" spans="1:1">
      <c r="A5722" s="32"/>
    </row>
    <row r="5723" spans="1:1">
      <c r="A5723" s="32"/>
    </row>
    <row r="5724" spans="1:1">
      <c r="A5724" s="32"/>
    </row>
    <row r="5725" spans="1:1">
      <c r="A5725" s="32"/>
    </row>
    <row r="5726" spans="1:1">
      <c r="A5726" s="32"/>
    </row>
    <row r="5727" spans="1:1">
      <c r="A5727" s="32"/>
    </row>
    <row r="5728" spans="1:1">
      <c r="A5728" s="32"/>
    </row>
    <row r="5729" spans="1:1">
      <c r="A5729" s="32"/>
    </row>
    <row r="5730" spans="1:1">
      <c r="A5730" s="32"/>
    </row>
    <row r="5731" spans="1:1">
      <c r="A5731" s="32"/>
    </row>
    <row r="5732" spans="1:1">
      <c r="A5732" s="32"/>
    </row>
    <row r="5733" spans="1:1">
      <c r="A5733" s="32"/>
    </row>
    <row r="5734" spans="1:1">
      <c r="A5734" s="32"/>
    </row>
    <row r="5735" spans="1:1">
      <c r="A5735" s="32"/>
    </row>
    <row r="5736" spans="1:1">
      <c r="A5736" s="32"/>
    </row>
    <row r="5737" spans="1:1">
      <c r="A5737" s="32"/>
    </row>
    <row r="5738" spans="1:1">
      <c r="A5738" s="32"/>
    </row>
    <row r="5739" spans="1:1">
      <c r="A5739" s="32"/>
    </row>
    <row r="5740" spans="1:1">
      <c r="A5740" s="32"/>
    </row>
    <row r="5741" spans="1:1">
      <c r="A5741" s="32"/>
    </row>
    <row r="5742" spans="1:1">
      <c r="A5742" s="32"/>
    </row>
    <row r="5743" spans="1:1">
      <c r="A5743" s="32"/>
    </row>
    <row r="5744" spans="1:1">
      <c r="A5744" s="32"/>
    </row>
    <row r="5745" spans="1:1">
      <c r="A5745" s="32"/>
    </row>
    <row r="5746" spans="1:1">
      <c r="A5746" s="32"/>
    </row>
    <row r="5747" spans="1:1">
      <c r="A5747" s="32"/>
    </row>
    <row r="5748" spans="1:1">
      <c r="A5748" s="32"/>
    </row>
    <row r="5749" spans="1:1">
      <c r="A5749" s="32"/>
    </row>
    <row r="5750" spans="1:1">
      <c r="A5750" s="32"/>
    </row>
    <row r="5751" spans="1:1">
      <c r="A5751" s="32"/>
    </row>
    <row r="5752" spans="1:1">
      <c r="A5752" s="32"/>
    </row>
    <row r="5753" spans="1:1">
      <c r="A5753" s="32"/>
    </row>
    <row r="5754" spans="1:1">
      <c r="A5754" s="32"/>
    </row>
    <row r="5755" spans="1:1">
      <c r="A5755" s="32"/>
    </row>
    <row r="5756" spans="1:1">
      <c r="A5756" s="32"/>
    </row>
    <row r="5757" spans="1:1">
      <c r="A5757" s="32"/>
    </row>
    <row r="5758" spans="1:1">
      <c r="A5758" s="32"/>
    </row>
    <row r="5759" spans="1:1">
      <c r="A5759" s="32"/>
    </row>
    <row r="5760" spans="1:1">
      <c r="A5760" s="32"/>
    </row>
    <row r="5761" spans="1:1">
      <c r="A5761" s="32"/>
    </row>
    <row r="5762" spans="1:1">
      <c r="A5762" s="32"/>
    </row>
    <row r="5763" spans="1:1">
      <c r="A5763" s="32"/>
    </row>
    <row r="5764" spans="1:1">
      <c r="A5764" s="32"/>
    </row>
    <row r="5765" spans="1:1">
      <c r="A5765" s="32"/>
    </row>
    <row r="5766" spans="1:1">
      <c r="A5766" s="32"/>
    </row>
    <row r="5767" spans="1:1">
      <c r="A5767" s="32"/>
    </row>
    <row r="5768" spans="1:1">
      <c r="A5768" s="32"/>
    </row>
    <row r="5769" spans="1:1">
      <c r="A5769" s="32"/>
    </row>
    <row r="5770" spans="1:1">
      <c r="A5770" s="32"/>
    </row>
    <row r="5771" spans="1:1">
      <c r="A5771" s="32"/>
    </row>
    <row r="5772" spans="1:1">
      <c r="A5772" s="32"/>
    </row>
    <row r="5773" spans="1:1">
      <c r="A5773" s="32"/>
    </row>
    <row r="5774" spans="1:1">
      <c r="A5774" s="32"/>
    </row>
    <row r="5775" spans="1:1">
      <c r="A5775" s="32"/>
    </row>
    <row r="5776" spans="1:1">
      <c r="A5776" s="32"/>
    </row>
    <row r="5777" spans="1:1">
      <c r="A5777" s="32"/>
    </row>
    <row r="5778" spans="1:1">
      <c r="A5778" s="32"/>
    </row>
    <row r="5779" spans="1:1">
      <c r="A5779" s="32"/>
    </row>
    <row r="5780" spans="1:1">
      <c r="A5780" s="32"/>
    </row>
    <row r="5781" spans="1:1">
      <c r="A5781" s="32"/>
    </row>
    <row r="5782" spans="1:1">
      <c r="A5782" s="32"/>
    </row>
    <row r="5783" spans="1:1">
      <c r="A5783" s="32"/>
    </row>
    <row r="5784" spans="1:1">
      <c r="A5784" s="32"/>
    </row>
    <row r="5785" spans="1:1">
      <c r="A5785" s="32"/>
    </row>
    <row r="5786" spans="1:1">
      <c r="A5786" s="32"/>
    </row>
    <row r="5787" spans="1:1">
      <c r="A5787" s="32"/>
    </row>
    <row r="5788" spans="1:1">
      <c r="A5788" s="32"/>
    </row>
    <row r="5789" spans="1:1">
      <c r="A5789" s="32"/>
    </row>
    <row r="5790" spans="1:1">
      <c r="A5790" s="32"/>
    </row>
    <row r="5791" spans="1:1">
      <c r="A5791" s="32"/>
    </row>
    <row r="5792" spans="1:1">
      <c r="A5792" s="32"/>
    </row>
    <row r="5793" spans="1:1">
      <c r="A5793" s="32"/>
    </row>
    <row r="5794" spans="1:1">
      <c r="A5794" s="32"/>
    </row>
    <row r="5795" spans="1:1">
      <c r="A5795" s="32"/>
    </row>
    <row r="5796" spans="1:1">
      <c r="A5796" s="32"/>
    </row>
    <row r="5797" spans="1:1">
      <c r="A5797" s="32"/>
    </row>
    <row r="5798" spans="1:1">
      <c r="A5798" s="32"/>
    </row>
    <row r="5799" spans="1:1">
      <c r="A5799" s="32"/>
    </row>
    <row r="5800" spans="1:1">
      <c r="A5800" s="32"/>
    </row>
    <row r="5801" spans="1:1">
      <c r="A5801" s="32"/>
    </row>
    <row r="5802" spans="1:1">
      <c r="A5802" s="32"/>
    </row>
    <row r="5803" spans="1:1">
      <c r="A5803" s="32"/>
    </row>
    <row r="5804" spans="1:1">
      <c r="A5804" s="32"/>
    </row>
    <row r="5805" spans="1:1">
      <c r="A5805" s="32"/>
    </row>
    <row r="5806" spans="1:1">
      <c r="A5806" s="32"/>
    </row>
    <row r="5807" spans="1:1">
      <c r="A5807" s="32"/>
    </row>
    <row r="5808" spans="1:1">
      <c r="A5808" s="32"/>
    </row>
    <row r="5809" spans="1:1">
      <c r="A5809" s="32"/>
    </row>
    <row r="5810" spans="1:1">
      <c r="A5810" s="32"/>
    </row>
    <row r="5811" spans="1:1">
      <c r="A5811" s="32"/>
    </row>
    <row r="5812" spans="1:1">
      <c r="A5812" s="32"/>
    </row>
    <row r="5813" spans="1:1">
      <c r="A5813" s="32"/>
    </row>
    <row r="5814" spans="1:1">
      <c r="A5814" s="32"/>
    </row>
    <row r="5815" spans="1:1">
      <c r="A5815" s="32"/>
    </row>
    <row r="5816" spans="1:1">
      <c r="A5816" s="32"/>
    </row>
    <row r="5817" spans="1:1">
      <c r="A5817" s="32"/>
    </row>
    <row r="5818" spans="1:1">
      <c r="A5818" s="32"/>
    </row>
    <row r="5819" spans="1:1">
      <c r="A5819" s="32"/>
    </row>
    <row r="5820" spans="1:1">
      <c r="A5820" s="32"/>
    </row>
    <row r="5821" spans="1:1">
      <c r="A5821" s="32"/>
    </row>
    <row r="5822" spans="1:1">
      <c r="A5822" s="32"/>
    </row>
    <row r="5823" spans="1:1">
      <c r="A5823" s="32"/>
    </row>
    <row r="5824" spans="1:1">
      <c r="A5824" s="32"/>
    </row>
    <row r="5825" spans="1:1">
      <c r="A5825" s="32"/>
    </row>
    <row r="5826" spans="1:1">
      <c r="A5826" s="32"/>
    </row>
    <row r="5827" spans="1:1">
      <c r="A5827" s="32"/>
    </row>
    <row r="5828" spans="1:1">
      <c r="A5828" s="32"/>
    </row>
    <row r="5829" spans="1:1">
      <c r="A5829" s="32"/>
    </row>
    <row r="5830" spans="1:1">
      <c r="A5830" s="32"/>
    </row>
    <row r="5831" spans="1:1">
      <c r="A5831" s="32"/>
    </row>
    <row r="5832" spans="1:1">
      <c r="A5832" s="32"/>
    </row>
    <row r="5833" spans="1:1">
      <c r="A5833" s="32"/>
    </row>
    <row r="5834" spans="1:1">
      <c r="A5834" s="32"/>
    </row>
    <row r="5835" spans="1:1">
      <c r="A5835" s="32"/>
    </row>
    <row r="5836" spans="1:1">
      <c r="A5836" s="32"/>
    </row>
    <row r="5837" spans="1:1">
      <c r="A5837" s="32"/>
    </row>
    <row r="5838" spans="1:1">
      <c r="A5838" s="32"/>
    </row>
    <row r="5839" spans="1:1">
      <c r="A5839" s="32"/>
    </row>
    <row r="5840" spans="1:1">
      <c r="A5840" s="32"/>
    </row>
    <row r="5841" spans="1:1">
      <c r="A5841" s="32"/>
    </row>
    <row r="5842" spans="1:1">
      <c r="A5842" s="32"/>
    </row>
    <row r="5843" spans="1:1">
      <c r="A5843" s="32"/>
    </row>
    <row r="5844" spans="1:1">
      <c r="A5844" s="32"/>
    </row>
    <row r="5845" spans="1:1">
      <c r="A5845" s="32"/>
    </row>
    <row r="5846" spans="1:1">
      <c r="A5846" s="32"/>
    </row>
    <row r="5847" spans="1:1">
      <c r="A5847" s="32"/>
    </row>
    <row r="5848" spans="1:1">
      <c r="A5848" s="32"/>
    </row>
    <row r="5849" spans="1:1">
      <c r="A5849" s="32"/>
    </row>
    <row r="5850" spans="1:1">
      <c r="A5850" s="32"/>
    </row>
    <row r="5851" spans="1:1">
      <c r="A5851" s="32"/>
    </row>
    <row r="5852" spans="1:1">
      <c r="A5852" s="32"/>
    </row>
    <row r="5853" spans="1:1">
      <c r="A5853" s="32"/>
    </row>
    <row r="5854" spans="1:1">
      <c r="A5854" s="32"/>
    </row>
    <row r="5855" spans="1:1">
      <c r="A5855" s="32"/>
    </row>
    <row r="5856" spans="1:1">
      <c r="A5856" s="32"/>
    </row>
    <row r="5857" spans="1:1">
      <c r="A5857" s="32"/>
    </row>
    <row r="5858" spans="1:1">
      <c r="A5858" s="32"/>
    </row>
    <row r="5859" spans="1:1">
      <c r="A5859" s="32"/>
    </row>
    <row r="5860" spans="1:1">
      <c r="A5860" s="32"/>
    </row>
    <row r="5861" spans="1:1">
      <c r="A5861" s="32"/>
    </row>
    <row r="5862" spans="1:1">
      <c r="A5862" s="32"/>
    </row>
    <row r="5863" spans="1:1">
      <c r="A5863" s="32"/>
    </row>
    <row r="5864" spans="1:1">
      <c r="A5864" s="32"/>
    </row>
    <row r="5865" spans="1:1">
      <c r="A5865" s="32"/>
    </row>
    <row r="5866" spans="1:1">
      <c r="A5866" s="32"/>
    </row>
    <row r="5867" spans="1:1">
      <c r="A5867" s="32"/>
    </row>
    <row r="5868" spans="1:1">
      <c r="A5868" s="32"/>
    </row>
    <row r="5869" spans="1:1">
      <c r="A5869" s="32"/>
    </row>
    <row r="5870" spans="1:1">
      <c r="A5870" s="32"/>
    </row>
    <row r="5871" spans="1:1">
      <c r="A5871" s="32"/>
    </row>
    <row r="5872" spans="1:1">
      <c r="A5872" s="32"/>
    </row>
    <row r="5873" spans="1:1">
      <c r="A5873" s="32"/>
    </row>
    <row r="5874" spans="1:1">
      <c r="A5874" s="32"/>
    </row>
    <row r="5875" spans="1:1">
      <c r="A5875" s="32"/>
    </row>
    <row r="5876" spans="1:1">
      <c r="A5876" s="32"/>
    </row>
    <row r="5877" spans="1:1">
      <c r="A5877" s="32"/>
    </row>
    <row r="5878" spans="1:1">
      <c r="A5878" s="32"/>
    </row>
    <row r="5879" spans="1:1">
      <c r="A5879" s="32"/>
    </row>
    <row r="5880" spans="1:1">
      <c r="A5880" s="32"/>
    </row>
    <row r="5881" spans="1:1">
      <c r="A5881" s="32"/>
    </row>
    <row r="5882" spans="1:1">
      <c r="A5882" s="32"/>
    </row>
    <row r="5883" spans="1:1">
      <c r="A5883" s="32"/>
    </row>
    <row r="5884" spans="1:1">
      <c r="A5884" s="32"/>
    </row>
    <row r="5885" spans="1:1">
      <c r="A5885" s="32"/>
    </row>
    <row r="5886" spans="1:1">
      <c r="A5886" s="32"/>
    </row>
    <row r="5887" spans="1:1">
      <c r="A5887" s="32"/>
    </row>
    <row r="5888" spans="1:1">
      <c r="A5888" s="32"/>
    </row>
    <row r="5889" spans="1:1">
      <c r="A5889" s="32"/>
    </row>
    <row r="5890" spans="1:1">
      <c r="A5890" s="32"/>
    </row>
    <row r="5891" spans="1:1">
      <c r="A5891" s="32"/>
    </row>
    <row r="5892" spans="1:1">
      <c r="A5892" s="32"/>
    </row>
    <row r="5893" spans="1:1">
      <c r="A5893" s="32"/>
    </row>
    <row r="5894" spans="1:1">
      <c r="A5894" s="32"/>
    </row>
    <row r="5895" spans="1:1">
      <c r="A5895" s="32"/>
    </row>
    <row r="5896" spans="1:1">
      <c r="A5896" s="32"/>
    </row>
    <row r="5897" spans="1:1">
      <c r="A5897" s="32"/>
    </row>
    <row r="5898" spans="1:1">
      <c r="A5898" s="32"/>
    </row>
    <row r="5899" spans="1:1">
      <c r="A5899" s="32"/>
    </row>
    <row r="5900" spans="1:1">
      <c r="A5900" s="32"/>
    </row>
    <row r="5901" spans="1:1">
      <c r="A5901" s="32"/>
    </row>
    <row r="5902" spans="1:1">
      <c r="A5902" s="32"/>
    </row>
    <row r="5903" spans="1:1">
      <c r="A5903" s="32"/>
    </row>
    <row r="5904" spans="1:1">
      <c r="A5904" s="32"/>
    </row>
    <row r="5905" spans="1:1">
      <c r="A5905" s="32"/>
    </row>
    <row r="5906" spans="1:1">
      <c r="A5906" s="32"/>
    </row>
    <row r="5907" spans="1:1">
      <c r="A5907" s="32"/>
    </row>
    <row r="5908" spans="1:1">
      <c r="A5908" s="32"/>
    </row>
    <row r="5909" spans="1:1">
      <c r="A5909" s="32"/>
    </row>
    <row r="5910" spans="1:1">
      <c r="A5910" s="32"/>
    </row>
    <row r="5911" spans="1:1">
      <c r="A5911" s="32"/>
    </row>
    <row r="5912" spans="1:1">
      <c r="A5912" s="32"/>
    </row>
    <row r="5913" spans="1:1">
      <c r="A5913" s="32"/>
    </row>
    <row r="5914" spans="1:1">
      <c r="A5914" s="32"/>
    </row>
    <row r="5915" spans="1:1">
      <c r="A5915" s="32"/>
    </row>
    <row r="5916" spans="1:1">
      <c r="A5916" s="32"/>
    </row>
    <row r="5917" spans="1:1">
      <c r="A5917" s="32"/>
    </row>
    <row r="5918" spans="1:1">
      <c r="A5918" s="32"/>
    </row>
    <row r="5919" spans="1:1">
      <c r="A5919" s="32"/>
    </row>
    <row r="5920" spans="1:1">
      <c r="A5920" s="32"/>
    </row>
    <row r="5921" spans="1:1">
      <c r="A5921" s="32"/>
    </row>
    <row r="5922" spans="1:1">
      <c r="A5922" s="32"/>
    </row>
    <row r="5923" spans="1:1">
      <c r="A5923" s="32"/>
    </row>
    <row r="5924" spans="1:1">
      <c r="A5924" s="32"/>
    </row>
    <row r="5925" spans="1:1">
      <c r="A5925" s="32"/>
    </row>
    <row r="5926" spans="1:1">
      <c r="A5926" s="32"/>
    </row>
    <row r="5927" spans="1:1">
      <c r="A5927" s="32"/>
    </row>
    <row r="5928" spans="1:1">
      <c r="A5928" s="32"/>
    </row>
    <row r="5929" spans="1:1">
      <c r="A5929" s="32"/>
    </row>
    <row r="5930" spans="1:1">
      <c r="A5930" s="32"/>
    </row>
    <row r="5931" spans="1:1">
      <c r="A5931" s="32"/>
    </row>
    <row r="5932" spans="1:1">
      <c r="A5932" s="32"/>
    </row>
    <row r="5933" spans="1:1">
      <c r="A5933" s="32"/>
    </row>
    <row r="5934" spans="1:1">
      <c r="A5934" s="32"/>
    </row>
    <row r="5935" spans="1:1">
      <c r="A5935" s="32"/>
    </row>
    <row r="5936" spans="1:1">
      <c r="A5936" s="32"/>
    </row>
    <row r="5937" spans="1:1">
      <c r="A5937" s="32"/>
    </row>
    <row r="5938" spans="1:1">
      <c r="A5938" s="32"/>
    </row>
    <row r="5939" spans="1:1">
      <c r="A5939" s="32"/>
    </row>
    <row r="5940" spans="1:1">
      <c r="A5940" s="32"/>
    </row>
    <row r="5941" spans="1:1">
      <c r="A5941" s="32"/>
    </row>
    <row r="5942" spans="1:1">
      <c r="A5942" s="32"/>
    </row>
    <row r="5943" spans="1:1">
      <c r="A5943" s="32"/>
    </row>
    <row r="5944" spans="1:1">
      <c r="A5944" s="32"/>
    </row>
    <row r="5945" spans="1:1">
      <c r="A5945" s="32"/>
    </row>
    <row r="5946" spans="1:1">
      <c r="A5946" s="32"/>
    </row>
    <row r="5947" spans="1:1">
      <c r="A5947" s="32"/>
    </row>
    <row r="5948" spans="1:1">
      <c r="A5948" s="32"/>
    </row>
    <row r="5949" spans="1:1">
      <c r="A5949" s="32"/>
    </row>
    <row r="5950" spans="1:1">
      <c r="A5950" s="32"/>
    </row>
    <row r="5951" spans="1:1">
      <c r="A5951" s="32"/>
    </row>
    <row r="5952" spans="1:1">
      <c r="A5952" s="32"/>
    </row>
    <row r="5953" spans="1:1">
      <c r="A5953" s="32"/>
    </row>
    <row r="5954" spans="1:1">
      <c r="A5954" s="32"/>
    </row>
    <row r="5955" spans="1:1">
      <c r="A5955" s="32"/>
    </row>
    <row r="5956" spans="1:1">
      <c r="A5956" s="32"/>
    </row>
    <row r="5957" spans="1:1">
      <c r="A5957" s="32"/>
    </row>
    <row r="5958" spans="1:1">
      <c r="A5958" s="32"/>
    </row>
    <row r="5959" spans="1:1">
      <c r="A5959" s="32"/>
    </row>
    <row r="5960" spans="1:1">
      <c r="A5960" s="32"/>
    </row>
    <row r="5961" spans="1:1">
      <c r="A5961" s="32"/>
    </row>
    <row r="5962" spans="1:1">
      <c r="A5962" s="32"/>
    </row>
    <row r="5963" spans="1:1">
      <c r="A5963" s="32"/>
    </row>
    <row r="5964" spans="1:1">
      <c r="A5964" s="32"/>
    </row>
    <row r="5965" spans="1:1">
      <c r="A5965" s="32"/>
    </row>
    <row r="5966" spans="1:1">
      <c r="A5966" s="32"/>
    </row>
    <row r="5967" spans="1:1">
      <c r="A5967" s="32"/>
    </row>
    <row r="5968" spans="1:1">
      <c r="A5968" s="32"/>
    </row>
    <row r="5969" spans="1:1">
      <c r="A5969" s="32"/>
    </row>
    <row r="5970" spans="1:1">
      <c r="A5970" s="32"/>
    </row>
    <row r="5971" spans="1:1">
      <c r="A5971" s="32"/>
    </row>
    <row r="5972" spans="1:1">
      <c r="A5972" s="32"/>
    </row>
    <row r="5973" spans="1:1">
      <c r="A5973" s="32"/>
    </row>
    <row r="5974" spans="1:1">
      <c r="A5974" s="32"/>
    </row>
    <row r="5975" spans="1:1">
      <c r="A5975" s="32"/>
    </row>
    <row r="5976" spans="1:1">
      <c r="A5976" s="32"/>
    </row>
    <row r="5977" spans="1:1">
      <c r="A5977" s="32"/>
    </row>
    <row r="5978" spans="1:1">
      <c r="A5978" s="32"/>
    </row>
    <row r="5979" spans="1:1">
      <c r="A5979" s="32"/>
    </row>
    <row r="5980" spans="1:1">
      <c r="A5980" s="32"/>
    </row>
    <row r="5981" spans="1:1">
      <c r="A5981" s="32"/>
    </row>
    <row r="5982" spans="1:1">
      <c r="A5982" s="32"/>
    </row>
    <row r="5983" spans="1:1">
      <c r="A5983" s="32"/>
    </row>
    <row r="5984" spans="1:1">
      <c r="A5984" s="32"/>
    </row>
    <row r="5985" spans="1:1">
      <c r="A5985" s="32"/>
    </row>
    <row r="5986" spans="1:1">
      <c r="A5986" s="32"/>
    </row>
    <row r="5987" spans="1:1">
      <c r="A5987" s="32"/>
    </row>
    <row r="5988" spans="1:1">
      <c r="A5988" s="32"/>
    </row>
    <row r="5989" spans="1:1">
      <c r="A5989" s="32"/>
    </row>
    <row r="5990" spans="1:1">
      <c r="A5990" s="32"/>
    </row>
    <row r="5991" spans="1:1">
      <c r="A5991" s="32"/>
    </row>
    <row r="5992" spans="1:1">
      <c r="A5992" s="32"/>
    </row>
    <row r="5993" spans="1:1">
      <c r="A5993" s="32"/>
    </row>
    <row r="5994" spans="1:1">
      <c r="A5994" s="32"/>
    </row>
    <row r="5995" spans="1:1">
      <c r="A5995" s="32"/>
    </row>
    <row r="5996" spans="1:1">
      <c r="A5996" s="32"/>
    </row>
    <row r="5997" spans="1:1">
      <c r="A5997" s="32"/>
    </row>
    <row r="5998" spans="1:1">
      <c r="A5998" s="32"/>
    </row>
    <row r="5999" spans="1:1">
      <c r="A5999" s="32"/>
    </row>
    <row r="6000" spans="1:1">
      <c r="A6000" s="32"/>
    </row>
    <row r="6001" spans="1:1">
      <c r="A6001" s="32"/>
    </row>
    <row r="6002" spans="1:1">
      <c r="A6002" s="32"/>
    </row>
    <row r="6003" spans="1:1">
      <c r="A6003" s="32"/>
    </row>
    <row r="6004" spans="1:1">
      <c r="A6004" s="32"/>
    </row>
    <row r="6005" spans="1:1">
      <c r="A6005" s="32"/>
    </row>
    <row r="6006" spans="1:1">
      <c r="A6006" s="32"/>
    </row>
    <row r="6007" spans="1:1">
      <c r="A6007" s="32"/>
    </row>
    <row r="6008" spans="1:1">
      <c r="A6008" s="32"/>
    </row>
    <row r="6009" spans="1:1">
      <c r="A6009" s="32"/>
    </row>
    <row r="6010" spans="1:1">
      <c r="A6010" s="32"/>
    </row>
    <row r="6011" spans="1:1">
      <c r="A6011" s="32"/>
    </row>
    <row r="6012" spans="1:1">
      <c r="A6012" s="32"/>
    </row>
    <row r="6013" spans="1:1">
      <c r="A6013" s="32"/>
    </row>
    <row r="6014" spans="1:1">
      <c r="A6014" s="32"/>
    </row>
    <row r="6015" spans="1:1">
      <c r="A6015" s="32"/>
    </row>
    <row r="6016" spans="1:1">
      <c r="A6016" s="32"/>
    </row>
    <row r="6017" spans="1:1">
      <c r="A6017" s="32"/>
    </row>
    <row r="6018" spans="1:1">
      <c r="A6018" s="32"/>
    </row>
    <row r="6019" spans="1:1">
      <c r="A6019" s="32"/>
    </row>
    <row r="6020" spans="1:1">
      <c r="A6020" s="32"/>
    </row>
    <row r="6021" spans="1:1">
      <c r="A6021" s="32"/>
    </row>
    <row r="6022" spans="1:1">
      <c r="A6022" s="32"/>
    </row>
    <row r="6023" spans="1:1">
      <c r="A6023" s="32"/>
    </row>
    <row r="6024" spans="1:1">
      <c r="A6024" s="32"/>
    </row>
    <row r="6025" spans="1:1">
      <c r="A6025" s="32"/>
    </row>
    <row r="6026" spans="1:1">
      <c r="A6026" s="32"/>
    </row>
    <row r="6027" spans="1:1">
      <c r="A6027" s="32"/>
    </row>
    <row r="6028" spans="1:1">
      <c r="A6028" s="32"/>
    </row>
    <row r="6029" spans="1:1">
      <c r="A6029" s="32"/>
    </row>
    <row r="6030" spans="1:1">
      <c r="A6030" s="32"/>
    </row>
    <row r="6031" spans="1:1">
      <c r="A6031" s="32"/>
    </row>
    <row r="6032" spans="1:1">
      <c r="A6032" s="32"/>
    </row>
    <row r="6033" spans="1:1">
      <c r="A6033" s="32"/>
    </row>
    <row r="6034" spans="1:1">
      <c r="A6034" s="32"/>
    </row>
    <row r="6035" spans="1:1">
      <c r="A6035" s="32"/>
    </row>
    <row r="6036" spans="1:1">
      <c r="A6036" s="32"/>
    </row>
    <row r="6037" spans="1:1">
      <c r="A6037" s="32"/>
    </row>
    <row r="6038" spans="1:1">
      <c r="A6038" s="32"/>
    </row>
    <row r="6039" spans="1:1">
      <c r="A6039" s="32"/>
    </row>
    <row r="6040" spans="1:1">
      <c r="A6040" s="32"/>
    </row>
    <row r="6041" spans="1:1">
      <c r="A6041" s="32"/>
    </row>
    <row r="6042" spans="1:1">
      <c r="A6042" s="32"/>
    </row>
    <row r="6043" spans="1:1">
      <c r="A6043" s="32"/>
    </row>
    <row r="6044" spans="1:1">
      <c r="A6044" s="32"/>
    </row>
    <row r="6045" spans="1:1">
      <c r="A6045" s="32"/>
    </row>
    <row r="6046" spans="1:1">
      <c r="A6046" s="32"/>
    </row>
    <row r="6047" spans="1:1">
      <c r="A6047" s="32"/>
    </row>
    <row r="6048" spans="1:1">
      <c r="A6048" s="32"/>
    </row>
    <row r="6049" spans="1:1">
      <c r="A6049" s="32"/>
    </row>
    <row r="6050" spans="1:1">
      <c r="A6050" s="32"/>
    </row>
    <row r="6051" spans="1:1">
      <c r="A6051" s="32"/>
    </row>
    <row r="6052" spans="1:1">
      <c r="A6052" s="32"/>
    </row>
    <row r="6053" spans="1:1">
      <c r="A6053" s="32"/>
    </row>
    <row r="6054" spans="1:1">
      <c r="A6054" s="32"/>
    </row>
    <row r="6055" spans="1:1">
      <c r="A6055" s="32"/>
    </row>
    <row r="6056" spans="1:1">
      <c r="A6056" s="32"/>
    </row>
    <row r="6057" spans="1:1">
      <c r="A6057" s="32"/>
    </row>
    <row r="6058" spans="1:1">
      <c r="A6058" s="32"/>
    </row>
    <row r="6059" spans="1:1">
      <c r="A6059" s="32"/>
    </row>
    <row r="6060" spans="1:1">
      <c r="A6060" s="32"/>
    </row>
    <row r="6061" spans="1:1">
      <c r="A6061" s="32"/>
    </row>
    <row r="6062" spans="1:1">
      <c r="A6062" s="32"/>
    </row>
    <row r="6063" spans="1:1">
      <c r="A6063" s="32"/>
    </row>
    <row r="6064" spans="1:1">
      <c r="A6064" s="32"/>
    </row>
    <row r="6065" spans="1:1">
      <c r="A6065" s="32"/>
    </row>
    <row r="6066" spans="1:1">
      <c r="A6066" s="32"/>
    </row>
    <row r="6067" spans="1:1">
      <c r="A6067" s="32"/>
    </row>
    <row r="6068" spans="1:1">
      <c r="A6068" s="32"/>
    </row>
    <row r="6069" spans="1:1">
      <c r="A6069" s="32"/>
    </row>
    <row r="6070" spans="1:1">
      <c r="A6070" s="32"/>
    </row>
    <row r="6071" spans="1:1">
      <c r="A6071" s="32"/>
    </row>
    <row r="6072" spans="1:1">
      <c r="A6072" s="32"/>
    </row>
    <row r="6073" spans="1:1">
      <c r="A6073" s="32"/>
    </row>
    <row r="6074" spans="1:1">
      <c r="A6074" s="32"/>
    </row>
    <row r="6075" spans="1:1">
      <c r="A6075" s="32"/>
    </row>
    <row r="6076" spans="1:1">
      <c r="A6076" s="32"/>
    </row>
    <row r="6077" spans="1:1">
      <c r="A6077" s="32"/>
    </row>
    <row r="6078" spans="1:1">
      <c r="A6078" s="32"/>
    </row>
    <row r="6079" spans="1:1">
      <c r="A6079" s="32"/>
    </row>
    <row r="6080" spans="1:1">
      <c r="A6080" s="32"/>
    </row>
    <row r="6081" spans="1:1">
      <c r="A6081" s="32"/>
    </row>
    <row r="6082" spans="1:1">
      <c r="A6082" s="32"/>
    </row>
    <row r="6083" spans="1:1">
      <c r="A6083" s="32"/>
    </row>
    <row r="6084" spans="1:1">
      <c r="A6084" s="32"/>
    </row>
    <row r="6085" spans="1:1">
      <c r="A6085" s="32"/>
    </row>
    <row r="6086" spans="1:1">
      <c r="A6086" s="32"/>
    </row>
    <row r="6087" spans="1:1">
      <c r="A6087" s="32"/>
    </row>
    <row r="6088" spans="1:1">
      <c r="A6088" s="32"/>
    </row>
    <row r="6089" spans="1:1">
      <c r="A6089" s="32"/>
    </row>
    <row r="6090" spans="1:1">
      <c r="A6090" s="32"/>
    </row>
    <row r="6091" spans="1:1">
      <c r="A6091" s="32"/>
    </row>
    <row r="6092" spans="1:1">
      <c r="A6092" s="32"/>
    </row>
    <row r="6093" spans="1:1">
      <c r="A6093" s="32"/>
    </row>
    <row r="6094" spans="1:1">
      <c r="A6094" s="32"/>
    </row>
    <row r="6095" spans="1:1">
      <c r="A6095" s="32"/>
    </row>
    <row r="6096" spans="1:1">
      <c r="A6096" s="32"/>
    </row>
    <row r="6097" spans="1:1">
      <c r="A6097" s="32"/>
    </row>
    <row r="6098" spans="1:1">
      <c r="A6098" s="32"/>
    </row>
    <row r="6099" spans="1:1">
      <c r="A6099" s="32"/>
    </row>
    <row r="6100" spans="1:1">
      <c r="A6100" s="32"/>
    </row>
    <row r="6101" spans="1:1">
      <c r="A6101" s="32"/>
    </row>
    <row r="6102" spans="1:1">
      <c r="A6102" s="32"/>
    </row>
    <row r="6103" spans="1:1">
      <c r="A6103" s="32"/>
    </row>
    <row r="6104" spans="1:1">
      <c r="A6104" s="32"/>
    </row>
    <row r="6105" spans="1:1">
      <c r="A6105" s="32"/>
    </row>
    <row r="6106" spans="1:1">
      <c r="A6106" s="32"/>
    </row>
    <row r="6107" spans="1:1">
      <c r="A6107" s="32"/>
    </row>
    <row r="6108" spans="1:1">
      <c r="A6108" s="32"/>
    </row>
    <row r="6109" spans="1:1">
      <c r="A6109" s="32"/>
    </row>
    <row r="6110" spans="1:1">
      <c r="A6110" s="32"/>
    </row>
    <row r="6111" spans="1:1">
      <c r="A6111" s="32"/>
    </row>
    <row r="6112" spans="1:1">
      <c r="A6112" s="32"/>
    </row>
    <row r="6113" spans="1:1">
      <c r="A6113" s="32"/>
    </row>
    <row r="6114" spans="1:1">
      <c r="A6114" s="32"/>
    </row>
    <row r="6115" spans="1:1">
      <c r="A6115" s="32"/>
    </row>
    <row r="6116" spans="1:1">
      <c r="A6116" s="32"/>
    </row>
    <row r="6117" spans="1:1">
      <c r="A6117" s="32"/>
    </row>
    <row r="6118" spans="1:1">
      <c r="A6118" s="32"/>
    </row>
    <row r="6119" spans="1:1">
      <c r="A6119" s="32"/>
    </row>
    <row r="6120" spans="1:1">
      <c r="A6120" s="32"/>
    </row>
    <row r="6121" spans="1:1">
      <c r="A6121" s="32"/>
    </row>
    <row r="6122" spans="1:1">
      <c r="A6122" s="32"/>
    </row>
    <row r="6123" spans="1:1">
      <c r="A6123" s="32"/>
    </row>
    <row r="6124" spans="1:1">
      <c r="A6124" s="32"/>
    </row>
    <row r="6125" spans="1:1">
      <c r="A6125" s="32"/>
    </row>
    <row r="6126" spans="1:1">
      <c r="A6126" s="32"/>
    </row>
    <row r="6127" spans="1:1">
      <c r="A6127" s="32"/>
    </row>
    <row r="6128" spans="1:1">
      <c r="A6128" s="32"/>
    </row>
    <row r="6129" spans="1:1">
      <c r="A6129" s="32"/>
    </row>
    <row r="6130" spans="1:1">
      <c r="A6130" s="32"/>
    </row>
    <row r="6131" spans="1:1">
      <c r="A6131" s="32"/>
    </row>
    <row r="6132" spans="1:1">
      <c r="A6132" s="32"/>
    </row>
    <row r="6133" spans="1:1">
      <c r="A6133" s="32"/>
    </row>
    <row r="6134" spans="1:1">
      <c r="A6134" s="32"/>
    </row>
    <row r="6135" spans="1:1">
      <c r="A6135" s="32"/>
    </row>
    <row r="6136" spans="1:1">
      <c r="A6136" s="32"/>
    </row>
    <row r="6137" spans="1:1">
      <c r="A6137" s="32"/>
    </row>
    <row r="6138" spans="1:1">
      <c r="A6138" s="32"/>
    </row>
    <row r="6139" spans="1:1">
      <c r="A6139" s="32"/>
    </row>
    <row r="6140" spans="1:1">
      <c r="A6140" s="32"/>
    </row>
    <row r="6141" spans="1:1">
      <c r="A6141" s="32"/>
    </row>
    <row r="6142" spans="1:1">
      <c r="A6142" s="32"/>
    </row>
    <row r="6143" spans="1:1">
      <c r="A6143" s="32"/>
    </row>
    <row r="6144" spans="1:1">
      <c r="A6144" s="32"/>
    </row>
    <row r="6145" spans="1:1">
      <c r="A6145" s="32"/>
    </row>
    <row r="6146" spans="1:1">
      <c r="A6146" s="32"/>
    </row>
    <row r="6147" spans="1:1">
      <c r="A6147" s="32"/>
    </row>
    <row r="6148" spans="1:1">
      <c r="A6148" s="32"/>
    </row>
    <row r="6149" spans="1:1">
      <c r="A6149" s="32"/>
    </row>
    <row r="6150" spans="1:1">
      <c r="A6150" s="32"/>
    </row>
    <row r="6151" spans="1:1">
      <c r="A6151" s="32"/>
    </row>
    <row r="6152" spans="1:1">
      <c r="A6152" s="32"/>
    </row>
    <row r="6153" spans="1:1">
      <c r="A6153" s="32"/>
    </row>
    <row r="6154" spans="1:1">
      <c r="A6154" s="32"/>
    </row>
    <row r="6155" spans="1:1">
      <c r="A6155" s="32"/>
    </row>
    <row r="6156" spans="1:1">
      <c r="A6156" s="32"/>
    </row>
    <row r="6157" spans="1:1">
      <c r="A6157" s="32"/>
    </row>
    <row r="6158" spans="1:1">
      <c r="A6158" s="32"/>
    </row>
    <row r="6159" spans="1:1">
      <c r="A6159" s="32"/>
    </row>
    <row r="6160" spans="1:1">
      <c r="A6160" s="32"/>
    </row>
    <row r="6161" spans="1:1">
      <c r="A6161" s="32"/>
    </row>
    <row r="6162" spans="1:1">
      <c r="A6162" s="32"/>
    </row>
    <row r="6163" spans="1:1">
      <c r="A6163" s="32"/>
    </row>
    <row r="6164" spans="1:1">
      <c r="A6164" s="32"/>
    </row>
    <row r="6165" spans="1:1">
      <c r="A6165" s="32"/>
    </row>
    <row r="6166" spans="1:1">
      <c r="A6166" s="32"/>
    </row>
    <row r="6167" spans="1:1">
      <c r="A6167" s="32"/>
    </row>
    <row r="6168" spans="1:1">
      <c r="A6168" s="32"/>
    </row>
    <row r="6169" spans="1:1">
      <c r="A6169" s="32"/>
    </row>
    <row r="6170" spans="1:1">
      <c r="A6170" s="32"/>
    </row>
    <row r="6171" spans="1:1">
      <c r="A6171" s="32"/>
    </row>
    <row r="6172" spans="1:1">
      <c r="A6172" s="32"/>
    </row>
    <row r="6173" spans="1:1">
      <c r="A6173" s="32"/>
    </row>
    <row r="6174" spans="1:1">
      <c r="A6174" s="32"/>
    </row>
    <row r="6175" spans="1:1">
      <c r="A6175" s="32"/>
    </row>
    <row r="6176" spans="1:1">
      <c r="A6176" s="32"/>
    </row>
    <row r="6177" spans="1:1">
      <c r="A6177" s="32"/>
    </row>
    <row r="6178" spans="1:1">
      <c r="A6178" s="32"/>
    </row>
    <row r="6179" spans="1:1">
      <c r="A6179" s="32"/>
    </row>
    <row r="6180" spans="1:1">
      <c r="A6180" s="32"/>
    </row>
    <row r="6181" spans="1:1">
      <c r="A6181" s="32"/>
    </row>
    <row r="6182" spans="1:1">
      <c r="A6182" s="32"/>
    </row>
    <row r="6183" spans="1:1">
      <c r="A6183" s="32"/>
    </row>
    <row r="6184" spans="1:1">
      <c r="A6184" s="32"/>
    </row>
    <row r="6185" spans="1:1">
      <c r="A6185" s="32"/>
    </row>
    <row r="6186" spans="1:1">
      <c r="A6186" s="32"/>
    </row>
    <row r="6187" spans="1:1">
      <c r="A6187" s="32"/>
    </row>
    <row r="6188" spans="1:1">
      <c r="A6188" s="32"/>
    </row>
    <row r="6189" spans="1:1">
      <c r="A6189" s="32"/>
    </row>
    <row r="6190" spans="1:1">
      <c r="A6190" s="32"/>
    </row>
    <row r="6191" spans="1:1">
      <c r="A6191" s="32"/>
    </row>
    <row r="6192" spans="1:1">
      <c r="A6192" s="32"/>
    </row>
    <row r="6193" spans="1:1">
      <c r="A6193" s="32"/>
    </row>
    <row r="6194" spans="1:1">
      <c r="A6194" s="32"/>
    </row>
    <row r="6195" spans="1:1">
      <c r="A6195" s="32"/>
    </row>
    <row r="6196" spans="1:1">
      <c r="A6196" s="32"/>
    </row>
    <row r="6197" spans="1:1">
      <c r="A6197" s="32"/>
    </row>
    <row r="6198" spans="1:1">
      <c r="A6198" s="32"/>
    </row>
    <row r="6199" spans="1:1">
      <c r="A6199" s="32"/>
    </row>
    <row r="6200" spans="1:1">
      <c r="A6200" s="32"/>
    </row>
    <row r="6201" spans="1:1">
      <c r="A6201" s="32"/>
    </row>
    <row r="6202" spans="1:1">
      <c r="A6202" s="32"/>
    </row>
    <row r="6203" spans="1:1">
      <c r="A6203" s="32"/>
    </row>
    <row r="6204" spans="1:1">
      <c r="A6204" s="32"/>
    </row>
    <row r="6205" spans="1:1">
      <c r="A6205" s="32"/>
    </row>
    <row r="6206" spans="1:1">
      <c r="A6206" s="32"/>
    </row>
    <row r="6207" spans="1:1">
      <c r="A6207" s="32"/>
    </row>
    <row r="6208" spans="1:1">
      <c r="A6208" s="32"/>
    </row>
    <row r="6209" spans="1:1">
      <c r="A6209" s="32"/>
    </row>
    <row r="6210" spans="1:1">
      <c r="A6210" s="32"/>
    </row>
    <row r="6211" spans="1:1">
      <c r="A6211" s="32"/>
    </row>
    <row r="6212" spans="1:1">
      <c r="A6212" s="32"/>
    </row>
    <row r="6213" spans="1:1">
      <c r="A6213" s="32"/>
    </row>
    <row r="6214" spans="1:1">
      <c r="A6214" s="32"/>
    </row>
    <row r="6215" spans="1:1">
      <c r="A6215" s="32"/>
    </row>
    <row r="6216" spans="1:1">
      <c r="A6216" s="32"/>
    </row>
    <row r="6217" spans="1:1">
      <c r="A6217" s="32"/>
    </row>
    <row r="6218" spans="1:1">
      <c r="A6218" s="32"/>
    </row>
    <row r="6219" spans="1:1">
      <c r="A6219" s="32"/>
    </row>
    <row r="6220" spans="1:1">
      <c r="A6220" s="32"/>
    </row>
    <row r="6221" spans="1:1">
      <c r="A6221" s="32"/>
    </row>
    <row r="6222" spans="1:1">
      <c r="A6222" s="32"/>
    </row>
    <row r="6223" spans="1:1">
      <c r="A6223" s="32"/>
    </row>
    <row r="6224" spans="1:1">
      <c r="A6224" s="32"/>
    </row>
    <row r="6225" spans="1:1">
      <c r="A6225" s="32"/>
    </row>
    <row r="6226" spans="1:1">
      <c r="A6226" s="32"/>
    </row>
    <row r="6227" spans="1:1">
      <c r="A6227" s="32"/>
    </row>
    <row r="6228" spans="1:1">
      <c r="A6228" s="32"/>
    </row>
    <row r="6229" spans="1:1">
      <c r="A6229" s="32"/>
    </row>
    <row r="6230" spans="1:1">
      <c r="A6230" s="32"/>
    </row>
    <row r="6231" spans="1:1">
      <c r="A6231" s="32"/>
    </row>
    <row r="6232" spans="1:1">
      <c r="A6232" s="32"/>
    </row>
    <row r="6233" spans="1:1">
      <c r="A6233" s="32"/>
    </row>
    <row r="6234" spans="1:1">
      <c r="A6234" s="32"/>
    </row>
    <row r="6235" spans="1:1">
      <c r="A6235" s="32"/>
    </row>
    <row r="6236" spans="1:1">
      <c r="A6236" s="32"/>
    </row>
    <row r="6237" spans="1:1">
      <c r="A6237" s="32"/>
    </row>
    <row r="6238" spans="1:1">
      <c r="A6238" s="32"/>
    </row>
    <row r="6239" spans="1:1">
      <c r="A6239" s="32"/>
    </row>
    <row r="6240" spans="1:1">
      <c r="A6240" s="32"/>
    </row>
    <row r="6241" spans="1:1">
      <c r="A6241" s="32"/>
    </row>
    <row r="6242" spans="1:1">
      <c r="A6242" s="32"/>
    </row>
    <row r="6243" spans="1:1">
      <c r="A6243" s="32"/>
    </row>
    <row r="6244" spans="1:1">
      <c r="A6244" s="32"/>
    </row>
    <row r="6245" spans="1:1">
      <c r="A6245" s="32"/>
    </row>
    <row r="6246" spans="1:1">
      <c r="A6246" s="32"/>
    </row>
    <row r="6247" spans="1:1">
      <c r="A6247" s="32"/>
    </row>
    <row r="6248" spans="1:1">
      <c r="A6248" s="32"/>
    </row>
    <row r="6249" spans="1:1">
      <c r="A6249" s="32"/>
    </row>
    <row r="6250" spans="1:1">
      <c r="A6250" s="32"/>
    </row>
    <row r="6251" spans="1:1">
      <c r="A6251" s="32"/>
    </row>
    <row r="6252" spans="1:1">
      <c r="A6252" s="32"/>
    </row>
    <row r="6253" spans="1:1">
      <c r="A6253" s="32"/>
    </row>
    <row r="6254" spans="1:1">
      <c r="A6254" s="32"/>
    </row>
    <row r="6255" spans="1:1">
      <c r="A6255" s="32"/>
    </row>
    <row r="6256" spans="1:1">
      <c r="A6256" s="32"/>
    </row>
    <row r="6257" spans="1:1">
      <c r="A6257" s="32"/>
    </row>
    <row r="6258" spans="1:1">
      <c r="A6258" s="32"/>
    </row>
    <row r="6259" spans="1:1">
      <c r="A6259" s="32"/>
    </row>
    <row r="6260" spans="1:1">
      <c r="A6260" s="32"/>
    </row>
    <row r="6261" spans="1:1">
      <c r="A6261" s="32"/>
    </row>
    <row r="6262" spans="1:1">
      <c r="A6262" s="32"/>
    </row>
    <row r="6263" spans="1:1">
      <c r="A6263" s="32"/>
    </row>
    <row r="6264" spans="1:1">
      <c r="A6264" s="32"/>
    </row>
    <row r="6265" spans="1:1">
      <c r="A6265" s="32"/>
    </row>
    <row r="6266" spans="1:1">
      <c r="A6266" s="32"/>
    </row>
    <row r="6267" spans="1:1">
      <c r="A6267" s="32"/>
    </row>
    <row r="6268" spans="1:1">
      <c r="A6268" s="32"/>
    </row>
    <row r="6269" spans="1:1">
      <c r="A6269" s="32"/>
    </row>
    <row r="6270" spans="1:1">
      <c r="A6270" s="32"/>
    </row>
    <row r="6271" spans="1:1">
      <c r="A6271" s="32"/>
    </row>
    <row r="6272" spans="1:1">
      <c r="A6272" s="32"/>
    </row>
    <row r="6273" spans="1:1">
      <c r="A6273" s="32"/>
    </row>
    <row r="6274" spans="1:1">
      <c r="A6274" s="32"/>
    </row>
    <row r="6275" spans="1:1">
      <c r="A6275" s="32"/>
    </row>
    <row r="6276" spans="1:1">
      <c r="A6276" s="32"/>
    </row>
    <row r="6277" spans="1:1">
      <c r="A6277" s="32"/>
    </row>
    <row r="6278" spans="1:1">
      <c r="A6278" s="32"/>
    </row>
    <row r="6279" spans="1:1">
      <c r="A6279" s="32"/>
    </row>
    <row r="6280" spans="1:1">
      <c r="A6280" s="32"/>
    </row>
    <row r="6281" spans="1:1">
      <c r="A6281" s="32"/>
    </row>
    <row r="6282" spans="1:1">
      <c r="A6282" s="32"/>
    </row>
    <row r="6283" spans="1:1">
      <c r="A6283" s="32"/>
    </row>
    <row r="6284" spans="1:1">
      <c r="A6284" s="32"/>
    </row>
    <row r="6285" spans="1:1">
      <c r="A6285" s="32"/>
    </row>
    <row r="6286" spans="1:1">
      <c r="A6286" s="32"/>
    </row>
    <row r="6287" spans="1:1">
      <c r="A6287" s="32"/>
    </row>
    <row r="6288" spans="1:1">
      <c r="A6288" s="32"/>
    </row>
    <row r="6289" spans="1:1">
      <c r="A6289" s="32"/>
    </row>
    <row r="6290" spans="1:1">
      <c r="A6290" s="32"/>
    </row>
    <row r="6291" spans="1:1">
      <c r="A6291" s="32"/>
    </row>
    <row r="6292" spans="1:1">
      <c r="A6292" s="32"/>
    </row>
    <row r="6293" spans="1:1">
      <c r="A6293" s="32"/>
    </row>
    <row r="6294" spans="1:1">
      <c r="A6294" s="32"/>
    </row>
    <row r="6295" spans="1:1">
      <c r="A6295" s="32"/>
    </row>
    <row r="6296" spans="1:1">
      <c r="A6296" s="32"/>
    </row>
    <row r="6297" spans="1:1">
      <c r="A6297" s="32"/>
    </row>
    <row r="6298" spans="1:1">
      <c r="A6298" s="32"/>
    </row>
    <row r="6299" spans="1:1">
      <c r="A6299" s="32"/>
    </row>
    <row r="6300" spans="1:1">
      <c r="A6300" s="32"/>
    </row>
    <row r="6301" spans="1:1">
      <c r="A6301" s="32"/>
    </row>
    <row r="6302" spans="1:1">
      <c r="A6302" s="32"/>
    </row>
    <row r="6303" spans="1:1">
      <c r="A6303" s="32"/>
    </row>
    <row r="6304" spans="1:1">
      <c r="A6304" s="32"/>
    </row>
    <row r="6305" spans="1:1">
      <c r="A6305" s="32"/>
    </row>
    <row r="6306" spans="1:1">
      <c r="A6306" s="32"/>
    </row>
    <row r="6307" spans="1:1">
      <c r="A6307" s="32"/>
    </row>
    <row r="6308" spans="1:1">
      <c r="A6308" s="32"/>
    </row>
    <row r="6309" spans="1:1">
      <c r="A6309" s="32"/>
    </row>
    <row r="6310" spans="1:1">
      <c r="A6310" s="32"/>
    </row>
    <row r="6311" spans="1:1">
      <c r="A6311" s="32"/>
    </row>
    <row r="6312" spans="1:1">
      <c r="A6312" s="32"/>
    </row>
    <row r="6313" spans="1:1">
      <c r="A6313" s="32"/>
    </row>
    <row r="6314" spans="1:1">
      <c r="A6314" s="32"/>
    </row>
    <row r="6315" spans="1:1">
      <c r="A6315" s="32"/>
    </row>
    <row r="6316" spans="1:1">
      <c r="A6316" s="32"/>
    </row>
    <row r="6317" spans="1:1">
      <c r="A6317" s="32"/>
    </row>
    <row r="6318" spans="1:1">
      <c r="A6318" s="32"/>
    </row>
    <row r="6319" spans="1:1">
      <c r="A6319" s="32"/>
    </row>
    <row r="6320" spans="1:1">
      <c r="A6320" s="32"/>
    </row>
    <row r="6321" spans="1:1">
      <c r="A6321" s="32"/>
    </row>
    <row r="6322" spans="1:1">
      <c r="A6322" s="32"/>
    </row>
    <row r="6323" spans="1:1">
      <c r="A6323" s="32"/>
    </row>
    <row r="6324" spans="1:1">
      <c r="A6324" s="32"/>
    </row>
    <row r="6325" spans="1:1">
      <c r="A6325" s="32"/>
    </row>
    <row r="6326" spans="1:1">
      <c r="A6326" s="32"/>
    </row>
    <row r="6327" spans="1:1">
      <c r="A6327" s="32"/>
    </row>
    <row r="6328" spans="1:1">
      <c r="A6328" s="32"/>
    </row>
    <row r="6329" spans="1:1">
      <c r="A6329" s="32"/>
    </row>
    <row r="6330" spans="1:1">
      <c r="A6330" s="32"/>
    </row>
    <row r="6331" spans="1:1">
      <c r="A6331" s="32"/>
    </row>
    <row r="6332" spans="1:1">
      <c r="A6332" s="32"/>
    </row>
    <row r="6333" spans="1:1">
      <c r="A6333" s="32"/>
    </row>
    <row r="6334" spans="1:1">
      <c r="A6334" s="32"/>
    </row>
    <row r="6335" spans="1:1">
      <c r="A6335" s="32"/>
    </row>
    <row r="6336" spans="1:1">
      <c r="A6336" s="32"/>
    </row>
    <row r="6337" spans="1:1">
      <c r="A6337" s="32"/>
    </row>
    <row r="6338" spans="1:1">
      <c r="A6338" s="32"/>
    </row>
    <row r="6339" spans="1:1">
      <c r="A6339" s="32"/>
    </row>
    <row r="6340" spans="1:1">
      <c r="A6340" s="32"/>
    </row>
    <row r="6341" spans="1:1">
      <c r="A6341" s="32"/>
    </row>
    <row r="6342" spans="1:1">
      <c r="A6342" s="32"/>
    </row>
    <row r="6343" spans="1:1">
      <c r="A6343" s="32"/>
    </row>
    <row r="6344" spans="1:1">
      <c r="A6344" s="32"/>
    </row>
    <row r="6345" spans="1:1">
      <c r="A6345" s="32"/>
    </row>
    <row r="6346" spans="1:1">
      <c r="A6346" s="32"/>
    </row>
    <row r="6347" spans="1:1">
      <c r="A6347" s="32"/>
    </row>
    <row r="6348" spans="1:1">
      <c r="A6348" s="32"/>
    </row>
    <row r="6349" spans="1:1">
      <c r="A6349" s="32"/>
    </row>
    <row r="6350" spans="1:1">
      <c r="A6350" s="32"/>
    </row>
    <row r="6351" spans="1:1">
      <c r="A6351" s="32"/>
    </row>
    <row r="6352" spans="1:1">
      <c r="A6352" s="32"/>
    </row>
    <row r="6353" spans="1:1">
      <c r="A6353" s="32"/>
    </row>
    <row r="6354" spans="1:1">
      <c r="A6354" s="32"/>
    </row>
    <row r="6355" spans="1:1">
      <c r="A6355" s="32"/>
    </row>
    <row r="6356" spans="1:1">
      <c r="A6356" s="32"/>
    </row>
    <row r="6357" spans="1:1">
      <c r="A6357" s="32"/>
    </row>
    <row r="6358" spans="1:1">
      <c r="A6358" s="32"/>
    </row>
    <row r="6359" spans="1:1">
      <c r="A6359" s="32"/>
    </row>
    <row r="6360" spans="1:1">
      <c r="A6360" s="32"/>
    </row>
    <row r="6361" spans="1:1">
      <c r="A6361" s="32"/>
    </row>
    <row r="6362" spans="1:1">
      <c r="A6362" s="32"/>
    </row>
    <row r="6363" spans="1:1">
      <c r="A6363" s="32"/>
    </row>
    <row r="6364" spans="1:1">
      <c r="A6364" s="32"/>
    </row>
    <row r="6365" spans="1:1">
      <c r="A6365" s="32"/>
    </row>
    <row r="6366" spans="1:1">
      <c r="A6366" s="32"/>
    </row>
    <row r="6367" spans="1:1">
      <c r="A6367" s="32"/>
    </row>
    <row r="6368" spans="1:1">
      <c r="A6368" s="32"/>
    </row>
    <row r="6369" spans="1:1">
      <c r="A6369" s="32"/>
    </row>
    <row r="6370" spans="1:1">
      <c r="A6370" s="32"/>
    </row>
    <row r="6371" spans="1:1">
      <c r="A6371" s="32"/>
    </row>
    <row r="6372" spans="1:1">
      <c r="A6372" s="32"/>
    </row>
    <row r="6373" spans="1:1">
      <c r="A6373" s="32"/>
    </row>
    <row r="6374" spans="1:1">
      <c r="A6374" s="32"/>
    </row>
    <row r="6375" spans="1:1">
      <c r="A6375" s="32"/>
    </row>
    <row r="6376" spans="1:1">
      <c r="A6376" s="32"/>
    </row>
    <row r="6377" spans="1:1">
      <c r="A6377" s="32"/>
    </row>
    <row r="6378" spans="1:1">
      <c r="A6378" s="32"/>
    </row>
    <row r="6379" spans="1:1">
      <c r="A6379" s="32"/>
    </row>
    <row r="6380" spans="1:1">
      <c r="A6380" s="32"/>
    </row>
    <row r="6381" spans="1:1">
      <c r="A6381" s="32"/>
    </row>
    <row r="6382" spans="1:1">
      <c r="A6382" s="32"/>
    </row>
    <row r="6383" spans="1:1">
      <c r="A6383" s="32"/>
    </row>
    <row r="6384" spans="1:1">
      <c r="A6384" s="32"/>
    </row>
    <row r="6385" spans="1:1">
      <c r="A6385" s="32"/>
    </row>
    <row r="6386" spans="1:1">
      <c r="A6386" s="32"/>
    </row>
    <row r="6387" spans="1:1">
      <c r="A6387" s="32"/>
    </row>
    <row r="6388" spans="1:1">
      <c r="A6388" s="32"/>
    </row>
    <row r="6389" spans="1:1">
      <c r="A6389" s="32"/>
    </row>
    <row r="6390" spans="1:1">
      <c r="A6390" s="32"/>
    </row>
    <row r="6391" spans="1:1">
      <c r="A6391" s="32"/>
    </row>
    <row r="6392" spans="1:1">
      <c r="A6392" s="32"/>
    </row>
    <row r="6393" spans="1:1">
      <c r="A6393" s="32"/>
    </row>
    <row r="6394" spans="1:1">
      <c r="A6394" s="32"/>
    </row>
    <row r="6395" spans="1:1">
      <c r="A6395" s="32"/>
    </row>
    <row r="6396" spans="1:1">
      <c r="A6396" s="32"/>
    </row>
    <row r="6397" spans="1:1">
      <c r="A6397" s="32"/>
    </row>
    <row r="6398" spans="1:1">
      <c r="A6398" s="32"/>
    </row>
    <row r="6399" spans="1:1">
      <c r="A6399" s="32"/>
    </row>
    <row r="6400" spans="1:1">
      <c r="A6400" s="32"/>
    </row>
    <row r="6401" spans="1:1">
      <c r="A6401" s="32"/>
    </row>
    <row r="6402" spans="1:1">
      <c r="A6402" s="32"/>
    </row>
    <row r="6403" spans="1:1">
      <c r="A6403" s="32"/>
    </row>
    <row r="6404" spans="1:1">
      <c r="A6404" s="32"/>
    </row>
    <row r="6405" spans="1:1">
      <c r="A6405" s="32"/>
    </row>
    <row r="6406" spans="1:1">
      <c r="A6406" s="32"/>
    </row>
    <row r="6407" spans="1:1">
      <c r="A6407" s="32"/>
    </row>
    <row r="6408" spans="1:1">
      <c r="A6408" s="32"/>
    </row>
    <row r="6409" spans="1:1">
      <c r="A6409" s="32"/>
    </row>
    <row r="6410" spans="1:1">
      <c r="A6410" s="32"/>
    </row>
    <row r="6411" spans="1:1">
      <c r="A6411" s="32"/>
    </row>
    <row r="6412" spans="1:1">
      <c r="A6412" s="32"/>
    </row>
    <row r="6413" spans="1:1">
      <c r="A6413" s="32"/>
    </row>
    <row r="6414" spans="1:1">
      <c r="A6414" s="32"/>
    </row>
    <row r="6415" spans="1:1">
      <c r="A6415" s="32"/>
    </row>
    <row r="6416" spans="1:1">
      <c r="A6416" s="32"/>
    </row>
    <row r="6417" spans="1:1">
      <c r="A6417" s="32"/>
    </row>
    <row r="6418" spans="1:1">
      <c r="A6418" s="32"/>
    </row>
    <row r="6419" spans="1:1">
      <c r="A6419" s="32"/>
    </row>
    <row r="6420" spans="1:1">
      <c r="A6420" s="32"/>
    </row>
    <row r="6421" spans="1:1">
      <c r="A6421" s="32"/>
    </row>
    <row r="6422" spans="1:1">
      <c r="A6422" s="32"/>
    </row>
    <row r="6423" spans="1:1">
      <c r="A6423" s="32"/>
    </row>
    <row r="6424" spans="1:1">
      <c r="A6424" s="32"/>
    </row>
    <row r="6425" spans="1:1">
      <c r="A6425" s="32"/>
    </row>
    <row r="6426" spans="1:1">
      <c r="A6426" s="32"/>
    </row>
    <row r="6427" spans="1:1">
      <c r="A6427" s="32"/>
    </row>
    <row r="6428" spans="1:1">
      <c r="A6428" s="32"/>
    </row>
    <row r="6429" spans="1:1">
      <c r="A6429" s="32"/>
    </row>
    <row r="6430" spans="1:1">
      <c r="A6430" s="32"/>
    </row>
    <row r="6431" spans="1:1">
      <c r="A6431" s="32"/>
    </row>
    <row r="6432" spans="1:1">
      <c r="A6432" s="32"/>
    </row>
    <row r="6433" spans="1:1">
      <c r="A6433" s="32"/>
    </row>
    <row r="6434" spans="1:1">
      <c r="A6434" s="32"/>
    </row>
    <row r="6435" spans="1:1">
      <c r="A6435" s="32"/>
    </row>
    <row r="6436" spans="1:1">
      <c r="A6436" s="32"/>
    </row>
    <row r="6437" spans="1:1">
      <c r="A6437" s="32"/>
    </row>
    <row r="6438" spans="1:1">
      <c r="A6438" s="32"/>
    </row>
    <row r="6439" spans="1:1">
      <c r="A6439" s="32"/>
    </row>
    <row r="6440" spans="1:1">
      <c r="A6440" s="32"/>
    </row>
    <row r="6441" spans="1:1">
      <c r="A6441" s="32"/>
    </row>
    <row r="6442" spans="1:1">
      <c r="A6442" s="32"/>
    </row>
    <row r="6443" spans="1:1">
      <c r="A6443" s="32"/>
    </row>
    <row r="6444" spans="1:1">
      <c r="A6444" s="32"/>
    </row>
    <row r="6445" spans="1:1">
      <c r="A6445" s="32"/>
    </row>
    <row r="6446" spans="1:1">
      <c r="A6446" s="32"/>
    </row>
    <row r="6447" spans="1:1">
      <c r="A6447" s="32"/>
    </row>
    <row r="6448" spans="1:1">
      <c r="A6448" s="32"/>
    </row>
    <row r="6449" spans="1:1">
      <c r="A6449" s="32"/>
    </row>
    <row r="6450" spans="1:1">
      <c r="A6450" s="32"/>
    </row>
    <row r="6451" spans="1:1">
      <c r="A6451" s="32"/>
    </row>
    <row r="6452" spans="1:1">
      <c r="A6452" s="32"/>
    </row>
    <row r="6453" spans="1:1">
      <c r="A6453" s="32"/>
    </row>
    <row r="6454" spans="1:1">
      <c r="A6454" s="32"/>
    </row>
    <row r="6455" spans="1:1">
      <c r="A6455" s="32"/>
    </row>
    <row r="6456" spans="1:1">
      <c r="A6456" s="32"/>
    </row>
    <row r="6457" spans="1:1">
      <c r="A6457" s="32"/>
    </row>
    <row r="6458" spans="1:1">
      <c r="A6458" s="32"/>
    </row>
    <row r="6459" spans="1:1">
      <c r="A6459" s="32"/>
    </row>
    <row r="6460" spans="1:1">
      <c r="A6460" s="32"/>
    </row>
    <row r="6461" spans="1:1">
      <c r="A6461" s="32"/>
    </row>
    <row r="6462" spans="1:1">
      <c r="A6462" s="32"/>
    </row>
    <row r="6463" spans="1:1">
      <c r="A6463" s="32"/>
    </row>
    <row r="6464" spans="1:1">
      <c r="A6464" s="32"/>
    </row>
    <row r="6465" spans="1:1">
      <c r="A6465" s="32"/>
    </row>
    <row r="6466" spans="1:1">
      <c r="A6466" s="32"/>
    </row>
    <row r="6467" spans="1:1">
      <c r="A6467" s="32"/>
    </row>
    <row r="6468" spans="1:1">
      <c r="A6468" s="32"/>
    </row>
    <row r="6469" spans="1:1">
      <c r="A6469" s="32"/>
    </row>
    <row r="6470" spans="1:1">
      <c r="A6470" s="32"/>
    </row>
    <row r="6471" spans="1:1">
      <c r="A6471" s="32"/>
    </row>
    <row r="6472" spans="1:1">
      <c r="A6472" s="32"/>
    </row>
    <row r="6473" spans="1:1">
      <c r="A6473" s="32"/>
    </row>
    <row r="6474" spans="1:1">
      <c r="A6474" s="32"/>
    </row>
    <row r="6475" spans="1:1">
      <c r="A6475" s="32"/>
    </row>
    <row r="6476" spans="1:1">
      <c r="A6476" s="32"/>
    </row>
    <row r="6477" spans="1:1">
      <c r="A6477" s="32"/>
    </row>
    <row r="6478" spans="1:1">
      <c r="A6478" s="32"/>
    </row>
    <row r="6479" spans="1:1">
      <c r="A6479" s="32"/>
    </row>
    <row r="6480" spans="1:1">
      <c r="A6480" s="32"/>
    </row>
    <row r="6481" spans="1:1">
      <c r="A6481" s="32"/>
    </row>
    <row r="6482" spans="1:1">
      <c r="A6482" s="32"/>
    </row>
    <row r="6483" spans="1:1">
      <c r="A6483" s="32"/>
    </row>
    <row r="6484" spans="1:1">
      <c r="A6484" s="32"/>
    </row>
    <row r="6485" spans="1:1">
      <c r="A6485" s="32"/>
    </row>
    <row r="6486" spans="1:1">
      <c r="A6486" s="32"/>
    </row>
    <row r="6487" spans="1:1">
      <c r="A6487" s="32"/>
    </row>
    <row r="6488" spans="1:1">
      <c r="A6488" s="32"/>
    </row>
    <row r="6489" spans="1:1">
      <c r="A6489" s="32"/>
    </row>
    <row r="6490" spans="1:1">
      <c r="A6490" s="32"/>
    </row>
    <row r="6491" spans="1:1">
      <c r="A6491" s="32"/>
    </row>
    <row r="6492" spans="1:1">
      <c r="A6492" s="32"/>
    </row>
    <row r="6493" spans="1:1">
      <c r="A6493" s="32"/>
    </row>
    <row r="6494" spans="1:1">
      <c r="A6494" s="32"/>
    </row>
    <row r="6495" spans="1:1">
      <c r="A6495" s="32"/>
    </row>
    <row r="6496" spans="1:1">
      <c r="A6496" s="32"/>
    </row>
    <row r="6497" spans="1:1">
      <c r="A6497" s="32"/>
    </row>
    <row r="6498" spans="1:1">
      <c r="A6498" s="32"/>
    </row>
    <row r="6499" spans="1:1">
      <c r="A6499" s="32"/>
    </row>
    <row r="6500" spans="1:1">
      <c r="A6500" s="32"/>
    </row>
    <row r="6501" spans="1:1">
      <c r="A6501" s="32"/>
    </row>
    <row r="6502" spans="1:1">
      <c r="A6502" s="32"/>
    </row>
    <row r="6503" spans="1:1">
      <c r="A6503" s="32"/>
    </row>
    <row r="6504" spans="1:1">
      <c r="A6504" s="32"/>
    </row>
    <row r="6505" spans="1:1">
      <c r="A6505" s="32"/>
    </row>
    <row r="6506" spans="1:1">
      <c r="A6506" s="32"/>
    </row>
    <row r="6507" spans="1:1">
      <c r="A6507" s="32"/>
    </row>
    <row r="6508" spans="1:1">
      <c r="A6508" s="32"/>
    </row>
    <row r="6509" spans="1:1">
      <c r="A6509" s="32"/>
    </row>
    <row r="6510" spans="1:1">
      <c r="A6510" s="32"/>
    </row>
    <row r="6511" spans="1:1">
      <c r="A6511" s="32"/>
    </row>
    <row r="6512" spans="1:1">
      <c r="A6512" s="32"/>
    </row>
    <row r="6513" spans="1:1">
      <c r="A6513" s="32"/>
    </row>
    <row r="6514" spans="1:1">
      <c r="A6514" s="32"/>
    </row>
    <row r="6515" spans="1:1">
      <c r="A6515" s="32"/>
    </row>
    <row r="6516" spans="1:1">
      <c r="A6516" s="32"/>
    </row>
    <row r="6517" spans="1:1">
      <c r="A6517" s="32"/>
    </row>
    <row r="6518" spans="1:1">
      <c r="A6518" s="32"/>
    </row>
    <row r="6519" spans="1:1">
      <c r="A6519" s="32"/>
    </row>
    <row r="6520" spans="1:1">
      <c r="A6520" s="32"/>
    </row>
    <row r="6521" spans="1:1">
      <c r="A6521" s="32"/>
    </row>
    <row r="6522" spans="1:1">
      <c r="A6522" s="32"/>
    </row>
    <row r="6523" spans="1:1">
      <c r="A6523" s="32"/>
    </row>
    <row r="6524" spans="1:1">
      <c r="A6524" s="32"/>
    </row>
    <row r="6525" spans="1:1">
      <c r="A6525" s="32"/>
    </row>
    <row r="6526" spans="1:1">
      <c r="A6526" s="32"/>
    </row>
    <row r="6527" spans="1:1">
      <c r="A6527" s="32"/>
    </row>
    <row r="6528" spans="1:1">
      <c r="A6528" s="32"/>
    </row>
    <row r="6529" spans="1:1">
      <c r="A6529" s="32"/>
    </row>
    <row r="6530" spans="1:1">
      <c r="A6530" s="32"/>
    </row>
    <row r="6531" spans="1:1">
      <c r="A6531" s="32"/>
    </row>
    <row r="6532" spans="1:1">
      <c r="A6532" s="32"/>
    </row>
    <row r="6533" spans="1:1">
      <c r="A6533" s="32"/>
    </row>
    <row r="6534" spans="1:1">
      <c r="A6534" s="32"/>
    </row>
    <row r="6535" spans="1:1">
      <c r="A6535" s="32"/>
    </row>
    <row r="6536" spans="1:1">
      <c r="A6536" s="32"/>
    </row>
    <row r="6537" spans="1:1">
      <c r="A6537" s="32"/>
    </row>
    <row r="6538" spans="1:1">
      <c r="A6538" s="32"/>
    </row>
    <row r="6539" spans="1:1">
      <c r="A6539" s="32"/>
    </row>
    <row r="6540" spans="1:1">
      <c r="A6540" s="32"/>
    </row>
    <row r="6541" spans="1:1">
      <c r="A6541" s="32"/>
    </row>
    <row r="6542" spans="1:1">
      <c r="A6542" s="32"/>
    </row>
    <row r="6543" spans="1:1">
      <c r="A6543" s="32"/>
    </row>
    <row r="6544" spans="1:1">
      <c r="A6544" s="32"/>
    </row>
    <row r="6545" spans="1:1">
      <c r="A6545" s="32"/>
    </row>
    <row r="6546" spans="1:1">
      <c r="A6546" s="32"/>
    </row>
    <row r="6547" spans="1:1">
      <c r="A6547" s="32"/>
    </row>
    <row r="6548" spans="1:1">
      <c r="A6548" s="32"/>
    </row>
    <row r="6549" spans="1:1">
      <c r="A6549" s="32"/>
    </row>
    <row r="6550" spans="1:1">
      <c r="A6550" s="32"/>
    </row>
    <row r="6551" spans="1:1">
      <c r="A6551" s="32"/>
    </row>
    <row r="6552" spans="1:1">
      <c r="A6552" s="32"/>
    </row>
    <row r="6553" spans="1:1">
      <c r="A6553" s="32"/>
    </row>
    <row r="6554" spans="1:1">
      <c r="A6554" s="32"/>
    </row>
    <row r="6555" spans="1:1">
      <c r="A6555" s="32"/>
    </row>
    <row r="6556" spans="1:1">
      <c r="A6556" s="32"/>
    </row>
    <row r="6557" spans="1:1">
      <c r="A6557" s="32"/>
    </row>
    <row r="6558" spans="1:1">
      <c r="A6558" s="32"/>
    </row>
    <row r="6559" spans="1:1">
      <c r="A6559" s="32"/>
    </row>
    <row r="6560" spans="1:1">
      <c r="A6560" s="32"/>
    </row>
    <row r="6561" spans="1:1">
      <c r="A6561" s="32"/>
    </row>
    <row r="6562" spans="1:1">
      <c r="A6562" s="32"/>
    </row>
    <row r="6563" spans="1:1">
      <c r="A6563" s="32"/>
    </row>
    <row r="6564" spans="1:1">
      <c r="A6564" s="32"/>
    </row>
    <row r="6565" spans="1:1">
      <c r="A6565" s="32"/>
    </row>
    <row r="6566" spans="1:1">
      <c r="A6566" s="32"/>
    </row>
    <row r="6567" spans="1:1">
      <c r="A6567" s="32"/>
    </row>
    <row r="6568" spans="1:1">
      <c r="A6568" s="32"/>
    </row>
    <row r="6569" spans="1:1">
      <c r="A6569" s="32"/>
    </row>
    <row r="6570" spans="1:1">
      <c r="A6570" s="32"/>
    </row>
    <row r="6571" spans="1:1">
      <c r="A6571" s="32"/>
    </row>
    <row r="6572" spans="1:1">
      <c r="A6572" s="32"/>
    </row>
    <row r="6573" spans="1:1">
      <c r="A6573" s="32"/>
    </row>
    <row r="6574" spans="1:1">
      <c r="A6574" s="32"/>
    </row>
    <row r="6575" spans="1:1">
      <c r="A6575" s="32"/>
    </row>
    <row r="6576" spans="1:1">
      <c r="A6576" s="32"/>
    </row>
    <row r="6577" spans="1:1">
      <c r="A6577" s="32"/>
    </row>
    <row r="6578" spans="1:1">
      <c r="A6578" s="32"/>
    </row>
    <row r="6579" spans="1:1">
      <c r="A6579" s="32"/>
    </row>
    <row r="6580" spans="1:1">
      <c r="A6580" s="32"/>
    </row>
    <row r="6581" spans="1:1">
      <c r="A6581" s="32"/>
    </row>
    <row r="6582" spans="1:1">
      <c r="A6582" s="32"/>
    </row>
    <row r="6583" spans="1:1">
      <c r="A6583" s="32"/>
    </row>
    <row r="6584" spans="1:1">
      <c r="A6584" s="32"/>
    </row>
    <row r="6585" spans="1:1">
      <c r="A6585" s="32"/>
    </row>
    <row r="6586" spans="1:1">
      <c r="A6586" s="32"/>
    </row>
    <row r="6587" spans="1:1">
      <c r="A6587" s="32"/>
    </row>
    <row r="6588" spans="1:1">
      <c r="A6588" s="32"/>
    </row>
    <row r="6589" spans="1:1">
      <c r="A6589" s="32"/>
    </row>
    <row r="6590" spans="1:1">
      <c r="A6590" s="32"/>
    </row>
    <row r="6591" spans="1:1">
      <c r="A6591" s="32"/>
    </row>
    <row r="6592" spans="1:1">
      <c r="A6592" s="32"/>
    </row>
    <row r="6593" spans="1:1">
      <c r="A6593" s="32"/>
    </row>
    <row r="6594" spans="1:1">
      <c r="A6594" s="32"/>
    </row>
    <row r="6595" spans="1:1">
      <c r="A6595" s="32"/>
    </row>
    <row r="6596" spans="1:1">
      <c r="A6596" s="32"/>
    </row>
    <row r="6597" spans="1:1">
      <c r="A6597" s="32"/>
    </row>
    <row r="6598" spans="1:1">
      <c r="A6598" s="32"/>
    </row>
    <row r="6599" spans="1:1">
      <c r="A6599" s="32"/>
    </row>
    <row r="6600" spans="1:1">
      <c r="A6600" s="32"/>
    </row>
    <row r="6601" spans="1:1">
      <c r="A6601" s="32"/>
    </row>
    <row r="6602" spans="1:1">
      <c r="A6602" s="32"/>
    </row>
    <row r="6603" spans="1:1">
      <c r="A6603" s="32"/>
    </row>
    <row r="6604" spans="1:1">
      <c r="A6604" s="32"/>
    </row>
    <row r="6605" spans="1:1">
      <c r="A6605" s="32"/>
    </row>
    <row r="6606" spans="1:1">
      <c r="A6606" s="32"/>
    </row>
    <row r="6607" spans="1:1">
      <c r="A6607" s="32"/>
    </row>
    <row r="6608" spans="1:1">
      <c r="A6608" s="32"/>
    </row>
    <row r="6609" spans="1:1">
      <c r="A6609" s="32"/>
    </row>
    <row r="6610" spans="1:1">
      <c r="A6610" s="32"/>
    </row>
    <row r="6611" spans="1:1">
      <c r="A6611" s="32"/>
    </row>
    <row r="6612" spans="1:1">
      <c r="A6612" s="32"/>
    </row>
    <row r="6613" spans="1:1">
      <c r="A6613" s="32"/>
    </row>
    <row r="6614" spans="1:1">
      <c r="A6614" s="32"/>
    </row>
    <row r="6615" spans="1:1">
      <c r="A6615" s="32"/>
    </row>
    <row r="6616" spans="1:1">
      <c r="A6616" s="32"/>
    </row>
    <row r="6617" spans="1:1">
      <c r="A6617" s="32"/>
    </row>
    <row r="6618" spans="1:1">
      <c r="A6618" s="32"/>
    </row>
    <row r="6619" spans="1:1">
      <c r="A6619" s="32"/>
    </row>
    <row r="6620" spans="1:1">
      <c r="A6620" s="32"/>
    </row>
    <row r="6621" spans="1:1">
      <c r="A6621" s="32"/>
    </row>
    <row r="6622" spans="1:1">
      <c r="A6622" s="32"/>
    </row>
    <row r="6623" spans="1:1">
      <c r="A6623" s="32"/>
    </row>
    <row r="6624" spans="1:1">
      <c r="A6624" s="32"/>
    </row>
    <row r="6625" spans="1:1">
      <c r="A6625" s="32"/>
    </row>
    <row r="6626" spans="1:1">
      <c r="A6626" s="32"/>
    </row>
    <row r="6627" spans="1:1">
      <c r="A6627" s="32"/>
    </row>
    <row r="6628" spans="1:1">
      <c r="A6628" s="32"/>
    </row>
    <row r="6629" spans="1:1">
      <c r="A6629" s="32"/>
    </row>
    <row r="6630" spans="1:1">
      <c r="A6630" s="32"/>
    </row>
    <row r="6631" spans="1:1">
      <c r="A6631" s="32"/>
    </row>
    <row r="6632" spans="1:1">
      <c r="A6632" s="32"/>
    </row>
    <row r="6633" spans="1:1">
      <c r="A6633" s="32"/>
    </row>
    <row r="6634" spans="1:1">
      <c r="A6634" s="32"/>
    </row>
    <row r="6635" spans="1:1">
      <c r="A6635" s="32"/>
    </row>
    <row r="6636" spans="1:1">
      <c r="A6636" s="32"/>
    </row>
    <row r="6637" spans="1:1">
      <c r="A6637" s="32"/>
    </row>
    <row r="6638" spans="1:1">
      <c r="A6638" s="32"/>
    </row>
    <row r="6639" spans="1:1">
      <c r="A6639" s="32"/>
    </row>
    <row r="6640" spans="1:1">
      <c r="A6640" s="32"/>
    </row>
    <row r="6641" spans="1:1">
      <c r="A6641" s="32"/>
    </row>
    <row r="6642" spans="1:1">
      <c r="A6642" s="32"/>
    </row>
    <row r="6643" spans="1:1">
      <c r="A6643" s="32"/>
    </row>
    <row r="6644" spans="1:1">
      <c r="A6644" s="32"/>
    </row>
    <row r="6645" spans="1:1">
      <c r="A6645" s="32"/>
    </row>
    <row r="6646" spans="1:1">
      <c r="A6646" s="32"/>
    </row>
    <row r="6647" spans="1:1">
      <c r="A6647" s="32"/>
    </row>
    <row r="6648" spans="1:1">
      <c r="A6648" s="32"/>
    </row>
    <row r="6649" spans="1:1">
      <c r="A6649" s="32"/>
    </row>
    <row r="6650" spans="1:1">
      <c r="A6650" s="32"/>
    </row>
    <row r="6651" spans="1:1">
      <c r="A6651" s="32"/>
    </row>
    <row r="6652" spans="1:1">
      <c r="A6652" s="32"/>
    </row>
    <row r="6653" spans="1:1">
      <c r="A6653" s="32"/>
    </row>
    <row r="6654" spans="1:1">
      <c r="A6654" s="32"/>
    </row>
    <row r="6655" spans="1:1">
      <c r="A6655" s="32"/>
    </row>
    <row r="6656" spans="1:1">
      <c r="A6656" s="32"/>
    </row>
    <row r="6657" spans="1:1">
      <c r="A6657" s="32"/>
    </row>
    <row r="6658" spans="1:1">
      <c r="A6658" s="32"/>
    </row>
    <row r="6659" spans="1:1">
      <c r="A6659" s="32"/>
    </row>
    <row r="6660" spans="1:1">
      <c r="A6660" s="32"/>
    </row>
    <row r="6661" spans="1:1">
      <c r="A6661" s="32"/>
    </row>
    <row r="6662" spans="1:1">
      <c r="A6662" s="32"/>
    </row>
    <row r="6663" spans="1:1">
      <c r="A6663" s="32"/>
    </row>
    <row r="6664" spans="1:1">
      <c r="A6664" s="32"/>
    </row>
    <row r="6665" spans="1:1">
      <c r="A6665" s="32"/>
    </row>
    <row r="6666" spans="1:1">
      <c r="A6666" s="32"/>
    </row>
    <row r="6667" spans="1:1">
      <c r="A6667" s="32"/>
    </row>
    <row r="6668" spans="1:1">
      <c r="A6668" s="32"/>
    </row>
    <row r="6669" spans="1:1">
      <c r="A6669" s="32"/>
    </row>
    <row r="6670" spans="1:1">
      <c r="A6670" s="32"/>
    </row>
    <row r="6671" spans="1:1">
      <c r="A6671" s="32"/>
    </row>
    <row r="6672" spans="1:1">
      <c r="A6672" s="32"/>
    </row>
    <row r="6673" spans="1:1">
      <c r="A6673" s="32"/>
    </row>
    <row r="6674" spans="1:1">
      <c r="A6674" s="32"/>
    </row>
    <row r="6675" spans="1:1">
      <c r="A6675" s="32"/>
    </row>
    <row r="6676" spans="1:1">
      <c r="A6676" s="32"/>
    </row>
    <row r="6677" spans="1:1">
      <c r="A6677" s="32"/>
    </row>
    <row r="6678" spans="1:1">
      <c r="A6678" s="32"/>
    </row>
    <row r="6679" spans="1:1">
      <c r="A6679" s="32"/>
    </row>
    <row r="6680" spans="1:1">
      <c r="A6680" s="32"/>
    </row>
    <row r="6681" spans="1:1">
      <c r="A6681" s="32"/>
    </row>
    <row r="6682" spans="1:1">
      <c r="A6682" s="32"/>
    </row>
    <row r="6683" spans="1:1">
      <c r="A6683" s="32"/>
    </row>
    <row r="6684" spans="1:1">
      <c r="A6684" s="32"/>
    </row>
    <row r="6685" spans="1:1">
      <c r="A6685" s="32"/>
    </row>
    <row r="6686" spans="1:1">
      <c r="A6686" s="32"/>
    </row>
    <row r="6687" spans="1:1">
      <c r="A6687" s="32"/>
    </row>
    <row r="6688" spans="1:1">
      <c r="A6688" s="32"/>
    </row>
    <row r="6689" spans="1:1">
      <c r="A6689" s="32"/>
    </row>
    <row r="6690" spans="1:1">
      <c r="A6690" s="32"/>
    </row>
    <row r="6691" spans="1:1">
      <c r="A6691" s="32"/>
    </row>
    <row r="6692" spans="1:1">
      <c r="A6692" s="32"/>
    </row>
    <row r="6693" spans="1:1">
      <c r="A6693" s="32"/>
    </row>
    <row r="6694" spans="1:1">
      <c r="A6694" s="32"/>
    </row>
    <row r="6695" spans="1:1">
      <c r="A6695" s="32"/>
    </row>
    <row r="6696" spans="1:1">
      <c r="A6696" s="32"/>
    </row>
    <row r="6697" spans="1:1">
      <c r="A6697" s="32"/>
    </row>
    <row r="6698" spans="1:1">
      <c r="A6698" s="32"/>
    </row>
    <row r="6699" spans="1:1">
      <c r="A6699" s="32"/>
    </row>
    <row r="6700" spans="1:1">
      <c r="A6700" s="32"/>
    </row>
    <row r="6701" spans="1:1">
      <c r="A6701" s="32"/>
    </row>
    <row r="6702" spans="1:1">
      <c r="A6702" s="32"/>
    </row>
    <row r="6703" spans="1:1">
      <c r="A6703" s="32"/>
    </row>
    <row r="6704" spans="1:1">
      <c r="A6704" s="32"/>
    </row>
    <row r="6705" spans="1:1">
      <c r="A6705" s="32"/>
    </row>
    <row r="6706" spans="1:1">
      <c r="A6706" s="32"/>
    </row>
    <row r="6707" spans="1:1">
      <c r="A6707" s="32"/>
    </row>
    <row r="6708" spans="1:1">
      <c r="A6708" s="32"/>
    </row>
    <row r="6709" spans="1:1">
      <c r="A6709" s="32"/>
    </row>
    <row r="6710" spans="1:1">
      <c r="A6710" s="32"/>
    </row>
    <row r="6711" spans="1:1">
      <c r="A6711" s="32"/>
    </row>
    <row r="6712" spans="1:1">
      <c r="A6712" s="32"/>
    </row>
    <row r="6713" spans="1:1">
      <c r="A6713" s="32"/>
    </row>
    <row r="6714" spans="1:1">
      <c r="A6714" s="32"/>
    </row>
    <row r="6715" spans="1:1">
      <c r="A6715" s="32"/>
    </row>
    <row r="6716" spans="1:1">
      <c r="A6716" s="32"/>
    </row>
    <row r="6717" spans="1:1">
      <c r="A6717" s="32"/>
    </row>
    <row r="6718" spans="1:1">
      <c r="A6718" s="32"/>
    </row>
    <row r="6719" spans="1:1">
      <c r="A6719" s="32"/>
    </row>
    <row r="6720" spans="1:1">
      <c r="A6720" s="32"/>
    </row>
    <row r="6721" spans="1:1">
      <c r="A6721" s="32"/>
    </row>
    <row r="6722" spans="1:1">
      <c r="A6722" s="32"/>
    </row>
    <row r="6723" spans="1:1">
      <c r="A6723" s="32"/>
    </row>
    <row r="6724" spans="1:1">
      <c r="A6724" s="32"/>
    </row>
    <row r="6725" spans="1:1">
      <c r="A6725" s="32"/>
    </row>
    <row r="6726" spans="1:1">
      <c r="A6726" s="32"/>
    </row>
    <row r="6727" spans="1:1">
      <c r="A6727" s="32"/>
    </row>
    <row r="6728" spans="1:1">
      <c r="A6728" s="32"/>
    </row>
    <row r="6729" spans="1:1">
      <c r="A6729" s="32"/>
    </row>
    <row r="6730" spans="1:1">
      <c r="A6730" s="32"/>
    </row>
    <row r="6731" spans="1:1">
      <c r="A6731" s="32"/>
    </row>
    <row r="6732" spans="1:1">
      <c r="A6732" s="32"/>
    </row>
    <row r="6733" spans="1:1">
      <c r="A6733" s="32"/>
    </row>
    <row r="6734" spans="1:1">
      <c r="A6734" s="32"/>
    </row>
    <row r="6735" spans="1:1">
      <c r="A6735" s="32"/>
    </row>
    <row r="6736" spans="1:1">
      <c r="A6736" s="32"/>
    </row>
    <row r="6737" spans="1:1">
      <c r="A6737" s="32"/>
    </row>
    <row r="6738" spans="1:1">
      <c r="A6738" s="32"/>
    </row>
    <row r="6739" spans="1:1">
      <c r="A6739" s="32"/>
    </row>
    <row r="6740" spans="1:1">
      <c r="A6740" s="32"/>
    </row>
    <row r="6741" spans="1:1">
      <c r="A6741" s="32"/>
    </row>
    <row r="6742" spans="1:1">
      <c r="A6742" s="32"/>
    </row>
    <row r="6743" spans="1:1">
      <c r="A6743" s="32"/>
    </row>
    <row r="6744" spans="1:1">
      <c r="A6744" s="32"/>
    </row>
    <row r="6745" spans="1:1">
      <c r="A6745" s="32"/>
    </row>
    <row r="6746" spans="1:1">
      <c r="A6746" s="32"/>
    </row>
    <row r="6747" spans="1:1">
      <c r="A6747" s="32"/>
    </row>
    <row r="6748" spans="1:1">
      <c r="A6748" s="32"/>
    </row>
    <row r="6749" spans="1:1">
      <c r="A6749" s="32"/>
    </row>
    <row r="6750" spans="1:1">
      <c r="A6750" s="32"/>
    </row>
    <row r="6751" spans="1:1">
      <c r="A6751" s="32"/>
    </row>
    <row r="6752" spans="1:1">
      <c r="A6752" s="32"/>
    </row>
    <row r="6753" spans="1:1">
      <c r="A6753" s="32"/>
    </row>
    <row r="6754" spans="1:1">
      <c r="A6754" s="32"/>
    </row>
    <row r="6755" spans="1:1">
      <c r="A6755" s="32"/>
    </row>
    <row r="6756" spans="1:1">
      <c r="A6756" s="32"/>
    </row>
    <row r="6757" spans="1:1">
      <c r="A6757" s="32"/>
    </row>
    <row r="6758" spans="1:1">
      <c r="A6758" s="32"/>
    </row>
    <row r="6759" spans="1:1">
      <c r="A6759" s="32"/>
    </row>
    <row r="6760" spans="1:1">
      <c r="A6760" s="32"/>
    </row>
    <row r="6761" spans="1:1">
      <c r="A6761" s="32"/>
    </row>
    <row r="6762" spans="1:1">
      <c r="A6762" s="32"/>
    </row>
    <row r="6763" spans="1:1">
      <c r="A6763" s="32"/>
    </row>
    <row r="6764" spans="1:1">
      <c r="A6764" s="32"/>
    </row>
    <row r="6765" spans="1:1">
      <c r="A6765" s="32"/>
    </row>
    <row r="6766" spans="1:1">
      <c r="A6766" s="32"/>
    </row>
    <row r="6767" spans="1:1">
      <c r="A6767" s="32"/>
    </row>
    <row r="6768" spans="1:1">
      <c r="A6768" s="32"/>
    </row>
    <row r="6769" spans="1:1">
      <c r="A6769" s="32"/>
    </row>
    <row r="6770" spans="1:1">
      <c r="A6770" s="32"/>
    </row>
    <row r="6771" spans="1:1">
      <c r="A6771" s="32"/>
    </row>
    <row r="6772" spans="1:1">
      <c r="A6772" s="32"/>
    </row>
    <row r="6773" spans="1:1">
      <c r="A6773" s="32"/>
    </row>
    <row r="6774" spans="1:1">
      <c r="A6774" s="32"/>
    </row>
    <row r="6775" spans="1:1">
      <c r="A6775" s="32"/>
    </row>
    <row r="6776" spans="1:1">
      <c r="A6776" s="32"/>
    </row>
    <row r="6777" spans="1:1">
      <c r="A6777" s="32"/>
    </row>
    <row r="6778" spans="1:1">
      <c r="A6778" s="32"/>
    </row>
    <row r="6779" spans="1:1">
      <c r="A6779" s="32"/>
    </row>
    <row r="6780" spans="1:1">
      <c r="A6780" s="32"/>
    </row>
    <row r="6781" spans="1:1">
      <c r="A6781" s="32"/>
    </row>
    <row r="6782" spans="1:1">
      <c r="A6782" s="32"/>
    </row>
    <row r="6783" spans="1:1">
      <c r="A6783" s="32"/>
    </row>
    <row r="6784" spans="1:1">
      <c r="A6784" s="32"/>
    </row>
    <row r="6785" spans="1:1">
      <c r="A6785" s="32"/>
    </row>
    <row r="6786" spans="1:1">
      <c r="A6786" s="32"/>
    </row>
    <row r="6787" spans="1:1">
      <c r="A6787" s="32"/>
    </row>
    <row r="6788" spans="1:1">
      <c r="A6788" s="32"/>
    </row>
    <row r="6789" spans="1:1">
      <c r="A6789" s="32"/>
    </row>
    <row r="6790" spans="1:1">
      <c r="A6790" s="32"/>
    </row>
    <row r="6791" spans="1:1">
      <c r="A6791" s="32"/>
    </row>
    <row r="6792" spans="1:1">
      <c r="A6792" s="32"/>
    </row>
    <row r="6793" spans="1:1">
      <c r="A6793" s="32"/>
    </row>
    <row r="6794" spans="1:1">
      <c r="A6794" s="32"/>
    </row>
    <row r="6795" spans="1:1">
      <c r="A6795" s="32"/>
    </row>
    <row r="6796" spans="1:1">
      <c r="A6796" s="32"/>
    </row>
    <row r="6797" spans="1:1">
      <c r="A6797" s="32"/>
    </row>
    <row r="6798" spans="1:1">
      <c r="A6798" s="32"/>
    </row>
    <row r="6799" spans="1:1">
      <c r="A6799" s="32"/>
    </row>
    <row r="6800" spans="1:1">
      <c r="A6800" s="32"/>
    </row>
    <row r="6801" spans="1:1">
      <c r="A6801" s="32"/>
    </row>
    <row r="6802" spans="1:1">
      <c r="A6802" s="32"/>
    </row>
    <row r="6803" spans="1:1">
      <c r="A6803" s="32"/>
    </row>
    <row r="6804" spans="1:1">
      <c r="A6804" s="32"/>
    </row>
    <row r="6805" spans="1:1">
      <c r="A6805" s="32"/>
    </row>
    <row r="6806" spans="1:1">
      <c r="A6806" s="32"/>
    </row>
    <row r="6807" spans="1:1">
      <c r="A6807" s="32"/>
    </row>
    <row r="6808" spans="1:1">
      <c r="A6808" s="32"/>
    </row>
    <row r="6809" spans="1:1">
      <c r="A6809" s="32"/>
    </row>
    <row r="6810" spans="1:1">
      <c r="A6810" s="32"/>
    </row>
    <row r="6811" spans="1:1">
      <c r="A6811" s="32"/>
    </row>
    <row r="6812" spans="1:1">
      <c r="A6812" s="32"/>
    </row>
    <row r="6813" spans="1:1">
      <c r="A6813" s="32"/>
    </row>
    <row r="6814" spans="1:1">
      <c r="A6814" s="32"/>
    </row>
    <row r="6815" spans="1:1">
      <c r="A6815" s="32"/>
    </row>
    <row r="6816" spans="1:1">
      <c r="A6816" s="32"/>
    </row>
    <row r="6817" spans="1:1">
      <c r="A6817" s="32"/>
    </row>
    <row r="6818" spans="1:1">
      <c r="A6818" s="32"/>
    </row>
    <row r="6819" spans="1:1">
      <c r="A6819" s="32"/>
    </row>
    <row r="6820" spans="1:1">
      <c r="A6820" s="32"/>
    </row>
    <row r="6821" spans="1:1">
      <c r="A6821" s="32"/>
    </row>
    <row r="6822" spans="1:1">
      <c r="A6822" s="32"/>
    </row>
    <row r="6823" spans="1:1">
      <c r="A6823" s="32"/>
    </row>
    <row r="6824" spans="1:1">
      <c r="A6824" s="32"/>
    </row>
    <row r="6825" spans="1:1">
      <c r="A6825" s="32"/>
    </row>
    <row r="6826" spans="1:1">
      <c r="A6826" s="32"/>
    </row>
    <row r="6827" spans="1:1">
      <c r="A6827" s="32"/>
    </row>
    <row r="6828" spans="1:1">
      <c r="A6828" s="32"/>
    </row>
    <row r="6829" spans="1:1">
      <c r="A6829" s="32"/>
    </row>
    <row r="6830" spans="1:1">
      <c r="A6830" s="32"/>
    </row>
    <row r="6831" spans="1:1">
      <c r="A6831" s="32"/>
    </row>
    <row r="6832" spans="1:1">
      <c r="A6832" s="32"/>
    </row>
    <row r="6833" spans="1:1">
      <c r="A6833" s="32"/>
    </row>
    <row r="6834" spans="1:1">
      <c r="A6834" s="32"/>
    </row>
    <row r="6835" spans="1:1">
      <c r="A6835" s="32"/>
    </row>
    <row r="6836" spans="1:1">
      <c r="A6836" s="32"/>
    </row>
    <row r="6837" spans="1:1">
      <c r="A6837" s="32"/>
    </row>
    <row r="6838" spans="1:1">
      <c r="A6838" s="32"/>
    </row>
    <row r="6839" spans="1:1">
      <c r="A6839" s="32"/>
    </row>
    <row r="6840" spans="1:1">
      <c r="A6840" s="32"/>
    </row>
    <row r="6841" spans="1:1">
      <c r="A6841" s="32"/>
    </row>
    <row r="6842" spans="1:1">
      <c r="A6842" s="32"/>
    </row>
    <row r="6843" spans="1:1">
      <c r="A6843" s="32"/>
    </row>
    <row r="6844" spans="1:1">
      <c r="A6844" s="32"/>
    </row>
    <row r="6845" spans="1:1">
      <c r="A6845" s="32"/>
    </row>
    <row r="6846" spans="1:1">
      <c r="A6846" s="32"/>
    </row>
    <row r="6847" spans="1:1">
      <c r="A6847" s="32"/>
    </row>
    <row r="6848" spans="1:1">
      <c r="A6848" s="32"/>
    </row>
    <row r="6849" spans="1:1">
      <c r="A6849" s="32"/>
    </row>
    <row r="6850" spans="1:1">
      <c r="A6850" s="32"/>
    </row>
    <row r="6851" spans="1:1">
      <c r="A6851" s="32"/>
    </row>
    <row r="6852" spans="1:1">
      <c r="A6852" s="32"/>
    </row>
    <row r="6853" spans="1:1">
      <c r="A6853" s="32"/>
    </row>
    <row r="6854" spans="1:1">
      <c r="A6854" s="32"/>
    </row>
    <row r="6855" spans="1:1">
      <c r="A6855" s="32"/>
    </row>
    <row r="6856" spans="1:1">
      <c r="A6856" s="32"/>
    </row>
    <row r="6857" spans="1:1">
      <c r="A6857" s="32"/>
    </row>
    <row r="6858" spans="1:1">
      <c r="A6858" s="32"/>
    </row>
    <row r="6859" spans="1:1">
      <c r="A6859" s="32"/>
    </row>
    <row r="6860" spans="1:1">
      <c r="A6860" s="32"/>
    </row>
    <row r="6861" spans="1:1">
      <c r="A6861" s="32"/>
    </row>
    <row r="6862" spans="1:1">
      <c r="A6862" s="32"/>
    </row>
    <row r="6863" spans="1:1">
      <c r="A6863" s="32"/>
    </row>
    <row r="6864" spans="1:1">
      <c r="A6864" s="32"/>
    </row>
    <row r="6865" spans="1:1">
      <c r="A6865" s="32"/>
    </row>
    <row r="6866" spans="1:1">
      <c r="A6866" s="32"/>
    </row>
    <row r="6867" spans="1:1">
      <c r="A6867" s="32"/>
    </row>
    <row r="6868" spans="1:1">
      <c r="A6868" s="32"/>
    </row>
    <row r="6869" spans="1:1">
      <c r="A6869" s="32"/>
    </row>
    <row r="6870" spans="1:1">
      <c r="A6870" s="32"/>
    </row>
    <row r="6871" spans="1:1">
      <c r="A6871" s="32"/>
    </row>
    <row r="6872" spans="1:1">
      <c r="A6872" s="32"/>
    </row>
    <row r="6873" spans="1:1">
      <c r="A6873" s="32"/>
    </row>
    <row r="6874" spans="1:1">
      <c r="A6874" s="32"/>
    </row>
    <row r="6875" spans="1:1">
      <c r="A6875" s="32"/>
    </row>
    <row r="6876" spans="1:1">
      <c r="A6876" s="32"/>
    </row>
    <row r="6877" spans="1:1">
      <c r="A6877" s="32"/>
    </row>
    <row r="6878" spans="1:1">
      <c r="A6878" s="32"/>
    </row>
    <row r="6879" spans="1:1">
      <c r="A6879" s="32"/>
    </row>
    <row r="6880" spans="1:1">
      <c r="A6880" s="32"/>
    </row>
    <row r="6881" spans="1:1">
      <c r="A6881" s="32"/>
    </row>
    <row r="6882" spans="1:1">
      <c r="A6882" s="32"/>
    </row>
    <row r="6883" spans="1:1">
      <c r="A6883" s="32"/>
    </row>
    <row r="6884" spans="1:1">
      <c r="A6884" s="32"/>
    </row>
    <row r="6885" spans="1:1">
      <c r="A6885" s="32"/>
    </row>
    <row r="6886" spans="1:1">
      <c r="A6886" s="32"/>
    </row>
    <row r="6887" spans="1:1">
      <c r="A6887" s="32"/>
    </row>
    <row r="6888" spans="1:1">
      <c r="A6888" s="32"/>
    </row>
    <row r="6889" spans="1:1">
      <c r="A6889" s="32"/>
    </row>
    <row r="6890" spans="1:1">
      <c r="A6890" s="32"/>
    </row>
    <row r="6891" spans="1:1">
      <c r="A6891" s="32"/>
    </row>
    <row r="6892" spans="1:1">
      <c r="A6892" s="32"/>
    </row>
    <row r="6893" spans="1:1">
      <c r="A6893" s="32"/>
    </row>
    <row r="6894" spans="1:1">
      <c r="A6894" s="32"/>
    </row>
    <row r="6895" spans="1:1">
      <c r="A6895" s="32"/>
    </row>
    <row r="6896" spans="1:1">
      <c r="A6896" s="32"/>
    </row>
    <row r="6897" spans="1:1">
      <c r="A6897" s="32"/>
    </row>
    <row r="6898" spans="1:1">
      <c r="A6898" s="32"/>
    </row>
    <row r="6899" spans="1:1">
      <c r="A6899" s="32"/>
    </row>
    <row r="6900" spans="1:1">
      <c r="A6900" s="32"/>
    </row>
    <row r="6901" spans="1:1">
      <c r="A6901" s="32"/>
    </row>
    <row r="6902" spans="1:1">
      <c r="A6902" s="32"/>
    </row>
    <row r="6903" spans="1:1">
      <c r="A6903" s="32"/>
    </row>
    <row r="6904" spans="1:1">
      <c r="A6904" s="32"/>
    </row>
    <row r="6905" spans="1:1">
      <c r="A6905" s="32"/>
    </row>
    <row r="6906" spans="1:1">
      <c r="A6906" s="32"/>
    </row>
    <row r="6907" spans="1:1">
      <c r="A6907" s="32"/>
    </row>
    <row r="6908" spans="1:1">
      <c r="A6908" s="32"/>
    </row>
    <row r="6909" spans="1:1">
      <c r="A6909" s="32"/>
    </row>
    <row r="6910" spans="1:1">
      <c r="A6910" s="32"/>
    </row>
    <row r="6911" spans="1:1">
      <c r="A6911" s="32"/>
    </row>
    <row r="6912" spans="1:1">
      <c r="A6912" s="32"/>
    </row>
    <row r="6913" spans="1:1">
      <c r="A6913" s="32"/>
    </row>
    <row r="6914" spans="1:1">
      <c r="A6914" s="32"/>
    </row>
    <row r="6915" spans="1:1">
      <c r="A6915" s="32"/>
    </row>
    <row r="6916" spans="1:1">
      <c r="A6916" s="32"/>
    </row>
    <row r="6917" spans="1:1">
      <c r="A6917" s="32"/>
    </row>
    <row r="6918" spans="1:1">
      <c r="A6918" s="32"/>
    </row>
    <row r="6919" spans="1:1">
      <c r="A6919" s="32"/>
    </row>
    <row r="6920" spans="1:1">
      <c r="A6920" s="32"/>
    </row>
    <row r="6921" spans="1:1">
      <c r="A6921" s="32"/>
    </row>
    <row r="6922" spans="1:1">
      <c r="A6922" s="32"/>
    </row>
    <row r="6923" spans="1:1">
      <c r="A6923" s="32"/>
    </row>
    <row r="6924" spans="1:1">
      <c r="A6924" s="32"/>
    </row>
    <row r="6925" spans="1:1">
      <c r="A6925" s="32"/>
    </row>
    <row r="6926" spans="1:1">
      <c r="A6926" s="32"/>
    </row>
    <row r="6927" spans="1:1">
      <c r="A6927" s="32"/>
    </row>
    <row r="6928" spans="1:1">
      <c r="A6928" s="32"/>
    </row>
    <row r="6929" spans="1:1">
      <c r="A6929" s="32"/>
    </row>
    <row r="6930" spans="1:1">
      <c r="A6930" s="32"/>
    </row>
    <row r="6931" spans="1:1">
      <c r="A6931" s="32"/>
    </row>
    <row r="6932" spans="1:1">
      <c r="A6932" s="32"/>
    </row>
    <row r="6933" spans="1:1">
      <c r="A6933" s="32"/>
    </row>
    <row r="6934" spans="1:1">
      <c r="A6934" s="32"/>
    </row>
    <row r="6935" spans="1:1">
      <c r="A6935" s="32"/>
    </row>
    <row r="6936" spans="1:1">
      <c r="A6936" s="32"/>
    </row>
    <row r="6937" spans="1:1">
      <c r="A6937" s="32"/>
    </row>
    <row r="6938" spans="1:1">
      <c r="A6938" s="32"/>
    </row>
    <row r="6939" spans="1:1">
      <c r="A6939" s="32"/>
    </row>
    <row r="6940" spans="1:1">
      <c r="A6940" s="32"/>
    </row>
    <row r="6941" spans="1:1">
      <c r="A6941" s="32"/>
    </row>
    <row r="6942" spans="1:1">
      <c r="A6942" s="32"/>
    </row>
    <row r="6943" spans="1:1">
      <c r="A6943" s="32"/>
    </row>
    <row r="6944" spans="1:1">
      <c r="A6944" s="32"/>
    </row>
    <row r="6945" spans="1:1">
      <c r="A6945" s="32"/>
    </row>
    <row r="6946" spans="1:1">
      <c r="A6946" s="32"/>
    </row>
    <row r="6947" spans="1:1">
      <c r="A6947" s="32"/>
    </row>
    <row r="6948" spans="1:1">
      <c r="A6948" s="32"/>
    </row>
    <row r="6949" spans="1:1">
      <c r="A6949" s="32"/>
    </row>
    <row r="6950" spans="1:1">
      <c r="A6950" s="32"/>
    </row>
    <row r="6951" spans="1:1">
      <c r="A6951" s="32"/>
    </row>
    <row r="6952" spans="1:1">
      <c r="A6952" s="32"/>
    </row>
    <row r="6953" spans="1:1">
      <c r="A6953" s="32"/>
    </row>
    <row r="6954" spans="1:1">
      <c r="A6954" s="32"/>
    </row>
    <row r="6955" spans="1:1">
      <c r="A6955" s="32"/>
    </row>
    <row r="6956" spans="1:1">
      <c r="A6956" s="32"/>
    </row>
    <row r="6957" spans="1:1">
      <c r="A6957" s="32"/>
    </row>
    <row r="6958" spans="1:1">
      <c r="A6958" s="32"/>
    </row>
    <row r="6959" spans="1:1">
      <c r="A6959" s="32"/>
    </row>
    <row r="6960" spans="1:1">
      <c r="A6960" s="32"/>
    </row>
    <row r="6961" spans="1:1">
      <c r="A6961" s="32"/>
    </row>
    <row r="6962" spans="1:1">
      <c r="A6962" s="32"/>
    </row>
    <row r="6963" spans="1:1">
      <c r="A6963" s="32"/>
    </row>
    <row r="6964" spans="1:1">
      <c r="A6964" s="32"/>
    </row>
    <row r="6965" spans="1:1">
      <c r="A6965" s="32"/>
    </row>
    <row r="6966" spans="1:1">
      <c r="A6966" s="32"/>
    </row>
    <row r="6967" spans="1:1">
      <c r="A6967" s="32"/>
    </row>
    <row r="6968" spans="1:1">
      <c r="A6968" s="32"/>
    </row>
    <row r="6969" spans="1:1">
      <c r="A6969" s="32"/>
    </row>
    <row r="6970" spans="1:1">
      <c r="A6970" s="32"/>
    </row>
    <row r="6971" spans="1:1">
      <c r="A6971" s="32"/>
    </row>
    <row r="6972" spans="1:1">
      <c r="A6972" s="32"/>
    </row>
    <row r="6973" spans="1:1">
      <c r="A6973" s="32"/>
    </row>
    <row r="6974" spans="1:1">
      <c r="A6974" s="32"/>
    </row>
    <row r="6975" spans="1:1">
      <c r="A6975" s="32"/>
    </row>
    <row r="6976" spans="1:1">
      <c r="A6976" s="32"/>
    </row>
    <row r="6977" spans="1:1">
      <c r="A6977" s="32"/>
    </row>
    <row r="6978" spans="1:1">
      <c r="A6978" s="32"/>
    </row>
    <row r="6979" spans="1:1">
      <c r="A6979" s="32"/>
    </row>
    <row r="6980" spans="1:1">
      <c r="A6980" s="32"/>
    </row>
    <row r="6981" spans="1:1">
      <c r="A6981" s="32"/>
    </row>
    <row r="6982" spans="1:1">
      <c r="A6982" s="32"/>
    </row>
    <row r="6983" spans="1:1">
      <c r="A6983" s="32"/>
    </row>
    <row r="6984" spans="1:1">
      <c r="A6984" s="32"/>
    </row>
    <row r="6985" spans="1:1">
      <c r="A6985" s="32"/>
    </row>
    <row r="6986" spans="1:1">
      <c r="A6986" s="32"/>
    </row>
    <row r="6987" spans="1:1">
      <c r="A6987" s="32"/>
    </row>
    <row r="6988" spans="1:1">
      <c r="A6988" s="32"/>
    </row>
    <row r="6989" spans="1:1">
      <c r="A6989" s="32"/>
    </row>
    <row r="6990" spans="1:1">
      <c r="A6990" s="32"/>
    </row>
    <row r="6991" spans="1:1">
      <c r="A6991" s="32"/>
    </row>
    <row r="6992" spans="1:1">
      <c r="A6992" s="32"/>
    </row>
    <row r="6993" spans="1:1">
      <c r="A6993" s="32"/>
    </row>
    <row r="6994" spans="1:1">
      <c r="A6994" s="32"/>
    </row>
    <row r="6995" spans="1:1">
      <c r="A6995" s="32"/>
    </row>
    <row r="6996" spans="1:1">
      <c r="A6996" s="32"/>
    </row>
    <row r="6997" spans="1:1">
      <c r="A6997" s="32"/>
    </row>
    <row r="6998" spans="1:1">
      <c r="A6998" s="32"/>
    </row>
    <row r="6999" spans="1:1">
      <c r="A6999" s="32"/>
    </row>
    <row r="7000" spans="1:1">
      <c r="A7000" s="32"/>
    </row>
    <row r="7001" spans="1:1">
      <c r="A7001" s="32"/>
    </row>
    <row r="7002" spans="1:1">
      <c r="A7002" s="32"/>
    </row>
    <row r="7003" spans="1:1">
      <c r="A7003" s="32"/>
    </row>
    <row r="7004" spans="1:1">
      <c r="A7004" s="32"/>
    </row>
    <row r="7005" spans="1:1">
      <c r="A7005" s="32"/>
    </row>
    <row r="7006" spans="1:1">
      <c r="A7006" s="32"/>
    </row>
    <row r="7007" spans="1:1">
      <c r="A7007" s="32"/>
    </row>
    <row r="7008" spans="1:1">
      <c r="A7008" s="32"/>
    </row>
    <row r="7009" spans="1:1">
      <c r="A7009" s="32"/>
    </row>
    <row r="7010" spans="1:1">
      <c r="A7010" s="32"/>
    </row>
    <row r="7011" spans="1:1">
      <c r="A7011" s="32"/>
    </row>
    <row r="7012" spans="1:1">
      <c r="A7012" s="32"/>
    </row>
    <row r="7013" spans="1:1">
      <c r="A7013" s="32"/>
    </row>
    <row r="7014" spans="1:1">
      <c r="A7014" s="32"/>
    </row>
    <row r="7015" spans="1:1">
      <c r="A7015" s="32"/>
    </row>
    <row r="7016" spans="1:1">
      <c r="A7016" s="32"/>
    </row>
    <row r="7017" spans="1:1">
      <c r="A7017" s="32"/>
    </row>
    <row r="7018" spans="1:1">
      <c r="A7018" s="32"/>
    </row>
    <row r="7019" spans="1:1">
      <c r="A7019" s="32"/>
    </row>
    <row r="7020" spans="1:1">
      <c r="A7020" s="32"/>
    </row>
    <row r="7021" spans="1:1">
      <c r="A7021" s="32"/>
    </row>
    <row r="7022" spans="1:1">
      <c r="A7022" s="32"/>
    </row>
    <row r="7023" spans="1:1">
      <c r="A7023" s="32"/>
    </row>
    <row r="7024" spans="1:1">
      <c r="A7024" s="32"/>
    </row>
    <row r="7025" spans="1:1">
      <c r="A7025" s="32"/>
    </row>
    <row r="7026" spans="1:1">
      <c r="A7026" s="32"/>
    </row>
    <row r="7027" spans="1:1">
      <c r="A7027" s="32"/>
    </row>
    <row r="7028" spans="1:1">
      <c r="A7028" s="32"/>
    </row>
    <row r="7029" spans="1:1">
      <c r="A7029" s="32"/>
    </row>
    <row r="7030" spans="1:1">
      <c r="A7030" s="32"/>
    </row>
    <row r="7031" spans="1:1">
      <c r="A7031" s="32"/>
    </row>
    <row r="7032" spans="1:1">
      <c r="A7032" s="32"/>
    </row>
    <row r="7033" spans="1:1">
      <c r="A7033" s="32"/>
    </row>
    <row r="7034" spans="1:1">
      <c r="A7034" s="32"/>
    </row>
    <row r="7035" spans="1:1">
      <c r="A7035" s="32"/>
    </row>
    <row r="7036" spans="1:1">
      <c r="A7036" s="32"/>
    </row>
    <row r="7037" spans="1:1">
      <c r="A7037" s="32"/>
    </row>
    <row r="7038" spans="1:1">
      <c r="A7038" s="32"/>
    </row>
    <row r="7039" spans="1:1">
      <c r="A7039" s="32"/>
    </row>
    <row r="7040" spans="1:1">
      <c r="A7040" s="32"/>
    </row>
    <row r="7041" spans="1:1">
      <c r="A7041" s="32"/>
    </row>
    <row r="7042" spans="1:1">
      <c r="A7042" s="32"/>
    </row>
    <row r="7043" spans="1:1">
      <c r="A7043" s="32"/>
    </row>
    <row r="7044" spans="1:1">
      <c r="A7044" s="32"/>
    </row>
    <row r="7045" spans="1:1">
      <c r="A7045" s="32"/>
    </row>
    <row r="7046" spans="1:1">
      <c r="A7046" s="32"/>
    </row>
    <row r="7047" spans="1:1">
      <c r="A7047" s="32"/>
    </row>
    <row r="7048" spans="1:1">
      <c r="A7048" s="32"/>
    </row>
    <row r="7049" spans="1:1">
      <c r="A7049" s="32"/>
    </row>
    <row r="7050" spans="1:1">
      <c r="A7050" s="32"/>
    </row>
    <row r="7051" spans="1:1">
      <c r="A7051" s="32"/>
    </row>
    <row r="7052" spans="1:1">
      <c r="A7052" s="32"/>
    </row>
    <row r="7053" spans="1:1">
      <c r="A7053" s="32"/>
    </row>
    <row r="7054" spans="1:1">
      <c r="A7054" s="32"/>
    </row>
    <row r="7055" spans="1:1">
      <c r="A7055" s="32"/>
    </row>
    <row r="7056" spans="1:1">
      <c r="A7056" s="32"/>
    </row>
    <row r="7057" spans="1:1">
      <c r="A7057" s="32"/>
    </row>
    <row r="7058" spans="1:1">
      <c r="A7058" s="32"/>
    </row>
    <row r="7059" spans="1:1">
      <c r="A7059" s="32"/>
    </row>
    <row r="7060" spans="1:1">
      <c r="A7060" s="32"/>
    </row>
    <row r="7061" spans="1:1">
      <c r="A7061" s="32"/>
    </row>
    <row r="7062" spans="1:1">
      <c r="A7062" s="32"/>
    </row>
    <row r="7063" spans="1:1">
      <c r="A7063" s="32"/>
    </row>
    <row r="7064" spans="1:1">
      <c r="A7064" s="32"/>
    </row>
    <row r="7065" spans="1:1">
      <c r="A7065" s="32"/>
    </row>
    <row r="7066" spans="1:1">
      <c r="A7066" s="32"/>
    </row>
    <row r="7067" spans="1:1">
      <c r="A7067" s="32"/>
    </row>
    <row r="7068" spans="1:1">
      <c r="A7068" s="32"/>
    </row>
    <row r="7069" spans="1:1">
      <c r="A7069" s="32"/>
    </row>
    <row r="7070" spans="1:1">
      <c r="A7070" s="32"/>
    </row>
    <row r="7071" spans="1:1">
      <c r="A7071" s="32"/>
    </row>
    <row r="7072" spans="1:1">
      <c r="A7072" s="32"/>
    </row>
    <row r="7073" spans="1:1">
      <c r="A7073" s="32"/>
    </row>
    <row r="7074" spans="1:1">
      <c r="A7074" s="32"/>
    </row>
    <row r="7075" spans="1:1">
      <c r="A7075" s="32"/>
    </row>
    <row r="7076" spans="1:1">
      <c r="A7076" s="32"/>
    </row>
    <row r="7077" spans="1:1">
      <c r="A7077" s="32"/>
    </row>
    <row r="7078" spans="1:1">
      <c r="A7078" s="32"/>
    </row>
    <row r="7079" spans="1:1">
      <c r="A7079" s="32"/>
    </row>
    <row r="7080" spans="1:1">
      <c r="A7080" s="32"/>
    </row>
    <row r="7081" spans="1:1">
      <c r="A7081" s="32"/>
    </row>
    <row r="7082" spans="1:1">
      <c r="A7082" s="32"/>
    </row>
    <row r="7083" spans="1:1">
      <c r="A7083" s="32"/>
    </row>
    <row r="7084" spans="1:1">
      <c r="A7084" s="32"/>
    </row>
    <row r="7085" spans="1:1">
      <c r="A7085" s="32"/>
    </row>
    <row r="7086" spans="1:1">
      <c r="A7086" s="32"/>
    </row>
    <row r="7087" spans="1:1">
      <c r="A7087" s="32"/>
    </row>
    <row r="7088" spans="1:1">
      <c r="A7088" s="32"/>
    </row>
    <row r="7089" spans="1:1">
      <c r="A7089" s="32"/>
    </row>
    <row r="7090" spans="1:1">
      <c r="A7090" s="32"/>
    </row>
    <row r="7091" spans="1:1">
      <c r="A7091" s="32"/>
    </row>
  </sheetData>
  <autoFilter ref="A3:V3" xr:uid="{00000000-0001-0000-0300-000000000000}"/>
  <mergeCells count="2">
    <mergeCell ref="A2:U2"/>
    <mergeCell ref="A1:U1"/>
  </mergeCells>
  <conditionalFormatting sqref="A4 A17:A18 A22 A26 A28 A30 A32 A34 A36 A38 A40 A42 A44 A46 A48 A50 A52 A54 A56 A58 A60 A62 A64 A66 A68 A70 A72 A74 A76 A78 A80 A82 A84 A86 A88 A90 A92 A94 A96 A98 A100 A102 A104 A106 A108 A110 A112 A114 A116 A118 A120 A122 A124 A126 A128 A130 A132 A134 A136 A138 A140 A142 A144 A146 A148 A150 A152 A154 A156 A158 A160 A162 A164 A166 A168 A170 A172 A174 A176 A178 A180 A182 A184 A186 A188 A190 A192 A194 A196 A198 A200 A202 A204 A206 A208 A210 A212 A214 A216 A218 A220 A222 A224 A226 A228 A230 A232 A234 A236 A238 A240 A242 A244 A246 A248 A250 A252 A254 A256 A258 A260 A262 A264 A266 A268 A270 A272 A274 A276 A278 A280 A282 A284 A286 A288 A290 A292 A294 A296 A298 A300 A302 A304 A306 A308 A310 A312 A314 A316 A318 A320 A322 A324 A326 A328 A330 A332 A334 A336 A338 A340 A342 A344 A346 A348 A350 A352 A354 A356 A358 A360 A362 A364 A366 A368 A370 A372 A374 A376 A378 A380 A382 A384 A386 A388 A390 A392 A394 A396 A398 A400 A402 A404 A406 A408 A410 A412 A414 A416 A418 A420 A422 A424 A426 A428 A430 A432 A434 A436 A438 A440 A442 A444 A446 A448 A450 A452 A454 A456 A458 A460 A462 A464 A466 A468 A470 A472 A474 A476 A478 A480 A482 A484 A486 A488 A490 A492 A494 A496 A498 A500 A502 A504 A506 A508 A510 A512 A514 A516 A518 A520 A522 A524 A526 A528 A530 A532 A534 A536 A538 A540 A542 A544 A546 A548 A550 A552 A554 A556 A558 A560 A562 A564 A566 A568 A570 A572 A574 A576 A578 A580 A582 A584 A586 A588 A590 A592 A594 A596 A598 A600 A602 A604 A606 A608 A610 A612 A614 A616 A618 A620 A622 A624 A626 A628 A630 A632 A634 A636 A638 A640 A642 A644 A646 A648 A650 A652 A654 A656 A658 A660 A662 A664 A666 A668 A670 A672 A674 A676 A678 A680 A682 A684 A686 A688 A690 A692 A694 A696 A698 A700 A702 A704 A706 A708 A710 A712 A714 A716 A718 A720 A722 A724 A726 A728 A730 A732 A734 A736 A738 A740 A742 A744 A746 A748 A750 A752 A754 A756 A758 A760 A762 A764 A766 A768 A770 A772 A774 A776 A778 A780 A782 A784 A786 A788 A790 A792 A794 A796 A798 A800 A802 A804 A806 A808 A810 A812 A814 A816 A818 A820 A822 A824 A826 A828 A830 A832 A834 A836 A838 A840 A842 A844 A846 A848 A850 A852 A854 A856 A858 A860 A862 A864 A866 A868 A870 A872 A874 A876 A878 A880 A882 A884 A886 A888 A890 A892 A894 A896 A898 A900 A902 A904 A906 A908 A910 A912 A914 A916 A918 A920 A922 A924 A926 A928 A11:A13 A15">
    <cfRule type="containsText" dxfId="2071" priority="8420" operator="containsText" text="E-Mail Sent">
      <formula>NOT(ISERROR(SEARCH("E-Mail Sent",A4)))</formula>
    </cfRule>
    <cfRule type="containsText" dxfId="2070" priority="8421" operator="containsText" text="E Mail">
      <formula>NOT(ISERROR(SEARCH("E Mail",A4)))</formula>
    </cfRule>
  </conditionalFormatting>
  <conditionalFormatting sqref="A5 A8 A16 A23 A25 A27 A29 A31 A33 A35 A37 A39 A41 A43 A45 A47 A49 A51 A53 A55 A57 A59 A61 A63 A65 A67 A69 A71 A73 A75 A77 A79 A81 A83 A85 A87 A89 A91 A93 A95 A97 A99 A101 A103 A105 A107 A109 A111 A113 A115 A117 A119 A121 A123 A125 A127 A129 A131 A133 A135 A137 A139 A141 A143 A145 A147 A149 A151 A153 A155 A157 A159 A161 A163 A165 A167 A169 A171 A173 A175 A177 A179 A181 A183 A185 A187 A189 A191 A193 A195 A197 A199 A201 A203 A205 A207 A209 A211 A213 A215 A217 A219 A221 A223 A225 A227 A229 A231 A233 A235 A237 A239 A241 A243 A245 A247 A249 A251 A253 A255 A257 A259 A261 A263 A265 A267 A269 A271 A273 A275 A277 A279 A281 A283 A285 A287 A289 A291 A293 A295 A297 A299 A301 A303 A305 A307 A309 A311 A313 A315 A317 A319 A321 A323 A325 A327 A329 A331 A333 A335 A337 A339 A341 A343 A345 A347 A349 A351 A353 A355 A357 A359 A361 A363 A365 A367 A369 A371 A373 A375 A377 A379 A381 A383 A385 A387 A389 A391 A393 A395 A397 A399 A401 A403 A405 A407 A409 A411 A413 A415 A417 A419 A421 A423 A425 A427 A429 A431 A433 A435 A437 A439 A441 A443 A445 A447 A449 A451 A453 A455 A457 A459 A461 A463 A465 A467 A469 A471 A473 A475 A477 A479 A481 A483 A485 A487 A489 A491 A493 A495 A497 A499 A501 A503 A505 A507 A509 A511 A513 A515 A517 A519 A521 A523 A525 A527 A529 A531 A533 A535 A537 A539 A541 A543 A545 A547 A549 A551 A553 A555 A557 A559 A561 A563 A565 A567 A569 A571 A573 A575 A577 A579 A581 A583 A585 A587 A589 A591 A593 A595 A597 A599 A601 A603 A605 A607 A609 A611 A613 A615 A617 A619 A621 A623 A625 A627 A629 A631 A633 A635 A637 A639 A641 A643 A645 A647 A649 A651 A653 A655 A657 A659 A661 A663 A665 A667 A669 A671 A673 A675 A677 A679 A681 A683 A685 A687 A689 A691 A693 A695 A697 A699 A701 A703 A705 A707 A709 A711 A713 A715 A717 A719 A721 A723 A725 A727 A729 A731 A733 A735 A737 A739 A741 A743 A745 A747 A749 A751 A753 A755 A757 A759 A761 A763 A765 A767 A769 A771 A773 A775 A777 A779 A781 A783 A785 A787 A789 A791 A793 A795 A797 A799 A801 A803 A805 A807 A809 A811 A813 A815 A817 A819 A821 A823 A825 A827 A829 A831 A833 A835 A837 A839 A841 A843 A845 A847 A849 A851 A853 A855 A857 A859 A861 A863 A865 A867 A869 A871 A873 A875 A877 A879 A881 A883 A885 A887 A889 A891 A893 A895 A897 A899 A901 A903 A905 A907 A909 A911 A913 A915 A917 A919 A921 A923 A925 A927 A14 A19:A20">
    <cfRule type="containsText" dxfId="2069" priority="8418" operator="containsText" text="E-Mail Sent">
      <formula>NOT(ISERROR(SEARCH("E-Mail Sent",A5)))</formula>
    </cfRule>
    <cfRule type="containsText" dxfId="2068" priority="8419" operator="containsText" text="E Mail">
      <formula>NOT(ISERROR(SEARCH("E Mail",A5)))</formula>
    </cfRule>
  </conditionalFormatting>
  <conditionalFormatting sqref="A929:A7091">
    <cfRule type="containsText" dxfId="2067" priority="8086" operator="containsText" text="E-Mail Sent">
      <formula>NOT(ISERROR(SEARCH("E-Mail Sent",A929)))</formula>
    </cfRule>
    <cfRule type="containsText" dxfId="2066" priority="8087" operator="containsText" text="E Mail">
      <formula>NOT(ISERROR(SEARCH("E Mail",A929)))</formula>
    </cfRule>
  </conditionalFormatting>
  <conditionalFormatting sqref="A6">
    <cfRule type="containsText" dxfId="2065" priority="6503" operator="containsText" text="E-Mail Sent">
      <formula>NOT(ISERROR(SEARCH("E-Mail Sent",A6)))</formula>
    </cfRule>
    <cfRule type="containsText" dxfId="2064" priority="6504" operator="containsText" text="E Mail">
      <formula>NOT(ISERROR(SEARCH("E Mail",A6)))</formula>
    </cfRule>
  </conditionalFormatting>
  <conditionalFormatting sqref="A7">
    <cfRule type="containsText" dxfId="2063" priority="6432" operator="containsText" text="E-Mail Sent">
      <formula>NOT(ISERROR(SEARCH("E-Mail Sent",A7)))</formula>
    </cfRule>
    <cfRule type="containsText" dxfId="2062" priority="6433" operator="containsText" text="E Mail">
      <formula>NOT(ISERROR(SEARCH("E Mail",A7)))</formula>
    </cfRule>
  </conditionalFormatting>
  <conditionalFormatting sqref="A9">
    <cfRule type="containsText" dxfId="2061" priority="5892" operator="containsText" text="E-Mail Sent">
      <formula>NOT(ISERROR(SEARCH("E-Mail Sent",A9)))</formula>
    </cfRule>
    <cfRule type="containsText" dxfId="2060" priority="5893" operator="containsText" text="E Mail">
      <formula>NOT(ISERROR(SEARCH("E Mail",A9)))</formula>
    </cfRule>
  </conditionalFormatting>
  <conditionalFormatting sqref="A10">
    <cfRule type="containsText" dxfId="2059" priority="5687" operator="containsText" text="E-Mail Sent">
      <formula>NOT(ISERROR(SEARCH("E-Mail Sent",A10)))</formula>
    </cfRule>
    <cfRule type="containsText" dxfId="2058" priority="5688" operator="containsText" text="E Mail">
      <formula>NOT(ISERROR(SEARCH("E Mail",A10)))</formula>
    </cfRule>
  </conditionalFormatting>
  <conditionalFormatting sqref="A21">
    <cfRule type="containsText" dxfId="2057" priority="3271" operator="containsText" text="E-Mail Sent">
      <formula>NOT(ISERROR(SEARCH("E-Mail Sent",A21)))</formula>
    </cfRule>
    <cfRule type="containsText" dxfId="2056" priority="3272" operator="containsText" text="E Mail">
      <formula>NOT(ISERROR(SEARCH("E Mail",A21)))</formula>
    </cfRule>
  </conditionalFormatting>
  <conditionalFormatting sqref="B25:U2987">
    <cfRule type="expression" dxfId="2055" priority="1985">
      <formula>$D25="Funded"</formula>
    </cfRule>
    <cfRule type="expression" dxfId="2054" priority="1986">
      <formula>$D25="Conditionally Approved"</formula>
    </cfRule>
    <cfRule type="expression" dxfId="2053" priority="1987">
      <formula>$D25="Quote Sent"</formula>
    </cfRule>
    <cfRule type="expression" dxfId="2052" priority="1988">
      <formula>$D25="Potential Cancel"</formula>
    </cfRule>
    <cfRule type="expression" dxfId="2051" priority="1989">
      <formula>$D25="Suspended-Restructure"</formula>
    </cfRule>
    <cfRule type="expression" dxfId="2050" priority="1990">
      <formula>$D25="Clear to Close"</formula>
    </cfRule>
    <cfRule type="expression" dxfId="2049" priority="1991">
      <formula>$D25="Submitted to Underwriting"</formula>
    </cfRule>
    <cfRule type="expression" dxfId="2048" priority="1992">
      <formula>$D25="Responded"</formula>
    </cfRule>
    <cfRule type="expression" dxfId="2047" priority="1993">
      <formula>$D25="Locked!"</formula>
    </cfRule>
    <cfRule type="expression" dxfId="2046" priority="1994">
      <formula>$D25="E-signed!"</formula>
    </cfRule>
    <cfRule type="expression" dxfId="2045" priority="1995">
      <formula>$D25="Docs Received!"</formula>
    </cfRule>
    <cfRule type="expression" dxfId="2044" priority="1996">
      <formula>$D25="Disclosures Going Out..."</formula>
    </cfRule>
    <cfRule type="expression" dxfId="2043" priority="1997">
      <formula>$D25="Disclosures Sent!"</formula>
    </cfRule>
    <cfRule type="expression" dxfId="2042" priority="1998">
      <formula>$D25="FIGURE - Link Sent!"</formula>
    </cfRule>
    <cfRule type="expression" dxfId="2041" priority="1999">
      <formula>$D25="Hard Money Opportunity"</formula>
    </cfRule>
    <cfRule type="expression" dxfId="2040" priority="2000">
      <formula>$D25="Communicating..."</formula>
    </cfRule>
    <cfRule type="expression" dxfId="2039" priority="2001">
      <formula>$D25="Not Interested"</formula>
    </cfRule>
    <cfRule type="expression" dxfId="2038" priority="2002">
      <formula>$D25="APP - Pitched &gt; Follow up"</formula>
    </cfRule>
    <cfRule type="expression" dxfId="2037" priority="2003">
      <formula>$D25="Appt Scheduled"</formula>
    </cfRule>
    <cfRule type="expression" dxfId="2036" priority="2004">
      <formula>$D25="Reverse Mortgage Opportunity"</formula>
    </cfRule>
    <cfRule type="expression" dxfId="2035" priority="2005">
      <formula>$D25="Purchase"</formula>
    </cfRule>
    <cfRule type="expression" dxfId="2034" priority="2006">
      <formula>$D25="Verified Approval Letter"</formula>
    </cfRule>
    <cfRule type="expression" dxfId="2033" priority="2007">
      <formula>$D25="*Thinking about it*"</formula>
    </cfRule>
    <cfRule type="expression" dxfId="2032" priority="2008">
      <formula>$D25="DNQ"</formula>
    </cfRule>
    <cfRule type="expression" dxfId="2031" priority="2009">
      <formula>$D25="Commercial/Business Loan"</formula>
    </cfRule>
    <cfRule type="expression" dxfId="2030" priority="2010">
      <formula>$D25="Credit - Wayfinder"</formula>
    </cfRule>
    <cfRule type="expression" dxfId="2029" priority="2011">
      <formula>$D25="Match or Beat"</formula>
    </cfRule>
    <cfRule type="expression" dxfId="2028" priority="2012">
      <formula>$D25="Future Deal"</formula>
    </cfRule>
    <cfRule type="expression" dxfId="2027" priority="2013">
      <formula>$D25="Prospect -Email Sent"</formula>
    </cfRule>
    <cfRule type="expression" dxfId="2026" priority="2014">
      <formula>$D25="STOP!"</formula>
    </cfRule>
    <cfRule type="expression" dxfId="2025" priority="2015">
      <formula>$D25="No Benefit"</formula>
    </cfRule>
    <cfRule type="expression" dxfId="2024" priority="2016">
      <formula>$D25="Went With Another Lender"</formula>
    </cfRule>
    <cfRule type="expression" dxfId="2023" priority="2017">
      <formula>$D25="LOCKED!"</formula>
    </cfRule>
    <cfRule type="expression" dxfId="2022" priority="2018">
      <formula>$D25="APP - Pitched &gt; Follow Up!"</formula>
    </cfRule>
    <cfRule type="expression" dxfId="2021" priority="2019">
      <formula>$D25="Prospect - Appt Scheduled"</formula>
    </cfRule>
    <cfRule type="expression" dxfId="2020" priority="2020">
      <formula>$D25="Appt Scheduled"</formula>
    </cfRule>
  </conditionalFormatting>
  <conditionalFormatting sqref="B4:C6 K4:U6 B8:C21 K8:U21">
    <cfRule type="expression" dxfId="2019" priority="1921">
      <formula>$D4="0 - MessageError!"</formula>
    </cfRule>
    <cfRule type="expression" dxfId="2018" priority="1922">
      <formula>$D4="9- Changed Mind"</formula>
    </cfRule>
    <cfRule type="expression" dxfId="2017" priority="1923">
      <formula>$D4="8- Home Values"</formula>
    </cfRule>
    <cfRule type="expression" dxfId="2016" priority="1924">
      <formula>$D4="7- Market Drop"</formula>
    </cfRule>
    <cfRule type="expression" dxfId="2015" priority="1925">
      <formula>$D4="6- Another Lender"</formula>
    </cfRule>
    <cfRule type="expression" dxfId="2014" priority="1926">
      <formula>$D4="5- ChangedMind?"</formula>
    </cfRule>
    <cfRule type="expression" dxfId="2013" priority="1927">
      <formula>$D4="4- Don'tQualify"</formula>
    </cfRule>
    <cfRule type="expression" dxfId="2012" priority="1928">
      <formula>$D4="3- CashOut"</formula>
    </cfRule>
    <cfRule type="expression" dxfId="2011" priority="1929">
      <formula>$D4="2- RevisedQuote"</formula>
    </cfRule>
    <cfRule type="expression" dxfId="2010" priority="1930">
      <formula>$D4="1- FollowUp"</formula>
    </cfRule>
    <cfRule type="expression" dxfId="2009" priority="1931" stopIfTrue="1">
      <formula>$D4="Responded"</formula>
    </cfRule>
    <cfRule type="expression" dxfId="2008" priority="1932">
      <formula>$D4="Locked!"</formula>
    </cfRule>
    <cfRule type="expression" dxfId="2007" priority="1933">
      <formula>$D4="E-signed!"</formula>
    </cfRule>
    <cfRule type="expression" dxfId="2006" priority="1934">
      <formula>$D4="Docs Received!"</formula>
    </cfRule>
    <cfRule type="expression" dxfId="2005" priority="1935">
      <formula>$D4="Disclosures Going Out..."</formula>
    </cfRule>
    <cfRule type="expression" dxfId="2004" priority="1936">
      <formula>$D4="Disclosures Sent!"</formula>
    </cfRule>
    <cfRule type="expression" dxfId="2003" priority="1937">
      <formula>$D4="FIGURE - Link Sent!"</formula>
    </cfRule>
    <cfRule type="expression" dxfId="2002" priority="1938">
      <formula>$D4="Hard Money Opportunity"</formula>
    </cfRule>
    <cfRule type="expression" dxfId="2001" priority="1939">
      <formula>$D4="Communicating..."</formula>
    </cfRule>
    <cfRule type="expression" dxfId="2000" priority="1940">
      <formula>$D4="Not Interested"</formula>
    </cfRule>
    <cfRule type="expression" dxfId="1999" priority="1941">
      <formula>$D4="APP - Pitched &gt; Follow up"</formula>
    </cfRule>
    <cfRule type="expression" dxfId="1998" priority="1942">
      <formula>$D4="Appt Scheduled"</formula>
    </cfRule>
    <cfRule type="expression" dxfId="1997" priority="1943">
      <formula>$D4="Reverse Mortgage Opportunity"</formula>
    </cfRule>
    <cfRule type="expression" dxfId="1996" priority="1944">
      <formula>$D4="Purchase"</formula>
    </cfRule>
    <cfRule type="expression" dxfId="1995" priority="1945">
      <formula>$D4="Verified Approval Letter"</formula>
    </cfRule>
    <cfRule type="expression" dxfId="1994" priority="1946">
      <formula>$D4="*Thinking about it*"</formula>
    </cfRule>
    <cfRule type="expression" dxfId="1993" priority="1947">
      <formula>$D4="DNQ"</formula>
    </cfRule>
    <cfRule type="expression" dxfId="1992" priority="1948">
      <formula>$D4="Commercial/Business Loan"</formula>
    </cfRule>
    <cfRule type="expression" dxfId="1991" priority="1949">
      <formula>$D4="Credit - Wayfinder"</formula>
    </cfRule>
    <cfRule type="expression" dxfId="1990" priority="1950">
      <formula>$D4="Match or Beat"</formula>
    </cfRule>
    <cfRule type="expression" dxfId="1989" priority="1951">
      <formula>$D4="Future Deal"</formula>
    </cfRule>
    <cfRule type="expression" dxfId="1988" priority="1952">
      <formula>$D4="Prospect -Email Sent"</formula>
    </cfRule>
    <cfRule type="expression" dxfId="1987" priority="1953">
      <formula>$D4="STOP!"</formula>
    </cfRule>
    <cfRule type="expression" dxfId="1986" priority="1954">
      <formula>$D4="Cold - Unresponsive"</formula>
    </cfRule>
    <cfRule type="expression" dxfId="1985" priority="1955">
      <formula>$D4="Cold - Wrong Number"</formula>
    </cfRule>
    <cfRule type="expression" dxfId="1984" priority="1956">
      <formula>$D4="Called 3x"</formula>
    </cfRule>
    <cfRule type="expression" dxfId="1983" priority="1957">
      <formula>$D4="Called 2x"</formula>
    </cfRule>
    <cfRule type="expression" dxfId="1982" priority="1958">
      <formula>$D4="T15 - MessageError!"</formula>
    </cfRule>
    <cfRule type="expression" dxfId="1981" priority="1959">
      <formula>$D4="T14 - Right Person?"</formula>
    </cfRule>
    <cfRule type="expression" dxfId="1980" priority="1960">
      <formula>$D4="T13 - Email"</formula>
    </cfRule>
    <cfRule type="expression" dxfId="1979" priority="1961">
      <formula>$D4="T12 - Blown Up"</formula>
    </cfRule>
    <cfRule type="expression" dxfId="1978" priority="1962">
      <formula>$D4="T11 - More Time?"</formula>
    </cfRule>
    <cfRule type="expression" dxfId="1977" priority="1963">
      <formula>$D4="T10 - Really Busy"</formula>
    </cfRule>
    <cfRule type="expression" dxfId="1976" priority="1964">
      <formula>$D4="T9 - Majority of Clients"</formula>
    </cfRule>
    <cfRule type="expression" dxfId="1975" priority="1965">
      <formula>$D4="T8 - STOP Contact"</formula>
    </cfRule>
    <cfRule type="expression" dxfId="1974" priority="1966">
      <formula>$D4="T7 - Another Lender"</formula>
    </cfRule>
    <cfRule type="expression" dxfId="1973" priority="1967">
      <formula>$D4="T6 - Don’t Qualify?"</formula>
    </cfRule>
    <cfRule type="expression" dxfId="1972" priority="1968">
      <formula>$D4="T5 - Debt Consolidation"</formula>
    </cfRule>
    <cfRule type="expression" dxfId="1971" priority="1969">
      <formula>$D4="T4 - Debt / Home"</formula>
    </cfRule>
    <cfRule type="expression" dxfId="1970" priority="1970">
      <formula>$D4="T3 - Correct Cash"</formula>
    </cfRule>
    <cfRule type="expression" dxfId="1969" priority="1971">
      <formula>$D4="T2 - Revised"</formula>
    </cfRule>
    <cfRule type="expression" dxfId="1968" priority="1972">
      <formula>$D4="T1 - Follow Up"</formula>
    </cfRule>
    <cfRule type="expression" dxfId="1967" priority="1973">
      <formula>$D4="APP - LOCKED!"</formula>
    </cfRule>
    <cfRule type="expression" dxfId="1966" priority="1974">
      <formula>$D4="LOCKED!"</formula>
    </cfRule>
    <cfRule type="expression" dxfId="1965" priority="1975">
      <formula>$D4="APP - Pitched &gt; Follow Up!"</formula>
    </cfRule>
    <cfRule type="expression" dxfId="1964" priority="1976">
      <formula>$D4="Pitched &gt; FOLLOW UP!"</formula>
    </cfRule>
    <cfRule type="expression" dxfId="1963" priority="1977">
      <formula>$D4="APP - Application Taken"</formula>
    </cfRule>
    <cfRule type="expression" dxfId="1962" priority="1978">
      <formula>$D4="AL - HOT!"</formula>
    </cfRule>
    <cfRule type="expression" dxfId="1961" priority="1979">
      <formula>$D4="AL - Responded"</formula>
    </cfRule>
    <cfRule type="expression" dxfId="1960" priority="1980">
      <formula>$D4="Prospect - Appt Scheduled"</formula>
    </cfRule>
    <cfRule type="expression" dxfId="1959" priority="1981">
      <formula>$D4="Appt Scheduled"</formula>
    </cfRule>
    <cfRule type="expression" dxfId="1958" priority="1982">
      <formula>$D4="Prospect - Follow Up"</formula>
    </cfRule>
    <cfRule type="expression" dxfId="1957" priority="1983">
      <formula>$D4="Prospect - HOT!"</formula>
    </cfRule>
    <cfRule type="expression" dxfId="1956" priority="1984">
      <formula>$D4="Prospect - Warm"</formula>
    </cfRule>
  </conditionalFormatting>
  <conditionalFormatting sqref="B4:C6 K4:U6 B8:C21 K8:U21">
    <cfRule type="expression" dxfId="1955" priority="1918">
      <formula>$D4="Cancel-Decline"</formula>
    </cfRule>
    <cfRule type="expression" dxfId="1954" priority="1919">
      <formula>$D4="Funded"</formula>
    </cfRule>
    <cfRule type="expression" dxfId="1953" priority="1920">
      <formula>$D4="Not Interested"</formula>
    </cfRule>
  </conditionalFormatting>
  <conditionalFormatting sqref="H4:H13">
    <cfRule type="expression" dxfId="1952" priority="1852">
      <formula>$D4="Cancel-Decline"</formula>
    </cfRule>
    <cfRule type="expression" dxfId="1951" priority="1853">
      <formula>$D4="Funded"</formula>
    </cfRule>
    <cfRule type="expression" dxfId="1950" priority="1854">
      <formula>$D4="0 - MessageError!"</formula>
    </cfRule>
    <cfRule type="expression" dxfId="1949" priority="1855">
      <formula>$D4="9- Changed Mind"</formula>
    </cfRule>
    <cfRule type="expression" dxfId="1948" priority="1856">
      <formula>$D4="8- Home Values"</formula>
    </cfRule>
    <cfRule type="expression" dxfId="1947" priority="1857">
      <formula>$D4="7- Market Drop"</formula>
    </cfRule>
    <cfRule type="expression" dxfId="1946" priority="1858">
      <formula>$D4="6- Another Lender"</formula>
    </cfRule>
    <cfRule type="expression" dxfId="1945" priority="1859">
      <formula>$D4="5- ChangedMind?"</formula>
    </cfRule>
    <cfRule type="expression" dxfId="1944" priority="1860">
      <formula>$D4="4- Don'tQualify"</formula>
    </cfRule>
    <cfRule type="expression" dxfId="1943" priority="1861">
      <formula>$D4="3- CashOut"</formula>
    </cfRule>
    <cfRule type="expression" dxfId="1942" priority="1862">
      <formula>$D4="2- RevisedQuote"</formula>
    </cfRule>
    <cfRule type="expression" dxfId="1941" priority="1863">
      <formula>$D4="1- FollowUp"</formula>
    </cfRule>
    <cfRule type="expression" dxfId="1940" priority="1864" stopIfTrue="1">
      <formula>$D4="Responded"</formula>
    </cfRule>
    <cfRule type="expression" dxfId="1939" priority="1865">
      <formula>$D4="Locked!"</formula>
    </cfRule>
    <cfRule type="expression" dxfId="1938" priority="1866">
      <formula>$D4="E-signed!"</formula>
    </cfRule>
    <cfRule type="expression" dxfId="1937" priority="1867">
      <formula>$D4="Docs Received!"</formula>
    </cfRule>
    <cfRule type="expression" dxfId="1936" priority="1868">
      <formula>$D4="Disclosures Going Out..."</formula>
    </cfRule>
    <cfRule type="expression" dxfId="1935" priority="1869">
      <formula>$D4="Disclosures Sent!"</formula>
    </cfRule>
    <cfRule type="expression" dxfId="1934" priority="1870">
      <formula>$D4="FIGURE - Link Sent!"</formula>
    </cfRule>
    <cfRule type="expression" dxfId="1933" priority="1871">
      <formula>$D4="Hard Money Opportunity"</formula>
    </cfRule>
    <cfRule type="expression" dxfId="1932" priority="1872">
      <formula>$D4="Communicating..."</formula>
    </cfRule>
    <cfRule type="expression" dxfId="1931" priority="1873">
      <formula>$D4="Not Interested"</formula>
    </cfRule>
    <cfRule type="expression" dxfId="1930" priority="1874">
      <formula>$D4="APP - Pitched &gt; Follow up"</formula>
    </cfRule>
    <cfRule type="expression" dxfId="1929" priority="1875">
      <formula>$D4="Appt Scheduled"</formula>
    </cfRule>
    <cfRule type="expression" dxfId="1928" priority="1876">
      <formula>$D4="Reverse Mortgage Opportunity"</formula>
    </cfRule>
    <cfRule type="expression" dxfId="1927" priority="1877">
      <formula>$D4="Purchase"</formula>
    </cfRule>
    <cfRule type="expression" dxfId="1926" priority="1878">
      <formula>$D4="Verified Approval Letter"</formula>
    </cfRule>
    <cfRule type="expression" dxfId="1925" priority="1879">
      <formula>$D4="*Thinking about it*"</formula>
    </cfRule>
    <cfRule type="expression" dxfId="1924" priority="1880">
      <formula>$D4="DNQ"</formula>
    </cfRule>
    <cfRule type="expression" dxfId="1923" priority="1881">
      <formula>$D4="Commercial/Business Loan"</formula>
    </cfRule>
    <cfRule type="expression" dxfId="1922" priority="1882">
      <formula>$D4="Credit - Wayfinder"</formula>
    </cfRule>
    <cfRule type="expression" dxfId="1921" priority="1883">
      <formula>$D4="Match or Beat"</formula>
    </cfRule>
    <cfRule type="expression" dxfId="1920" priority="1884">
      <formula>$D4="Future Deal"</formula>
    </cfRule>
    <cfRule type="expression" dxfId="1919" priority="1885">
      <formula>$D4="Prospect -Email Sent"</formula>
    </cfRule>
    <cfRule type="expression" dxfId="1918" priority="1886">
      <formula>$D4="STOP!"</formula>
    </cfRule>
    <cfRule type="expression" dxfId="1917" priority="1887">
      <formula>$D4="Cold - Unresponsive"</formula>
    </cfRule>
    <cfRule type="expression" dxfId="1916" priority="1888">
      <formula>$D4="Cold - Wrong Number"</formula>
    </cfRule>
    <cfRule type="expression" dxfId="1915" priority="1889">
      <formula>$D4="Called 3x"</formula>
    </cfRule>
    <cfRule type="expression" dxfId="1914" priority="1890">
      <formula>$D4="Called 2x"</formula>
    </cfRule>
    <cfRule type="expression" dxfId="1913" priority="1891">
      <formula>$D4="T15 - MessageError!"</formula>
    </cfRule>
    <cfRule type="expression" dxfId="1912" priority="1892">
      <formula>$D4="T14 - Right Person?"</formula>
    </cfRule>
    <cfRule type="expression" dxfId="1911" priority="1893">
      <formula>$D4="T13 - Email"</formula>
    </cfRule>
    <cfRule type="expression" dxfId="1910" priority="1894">
      <formula>$D4="T12 - Blown Up"</formula>
    </cfRule>
    <cfRule type="expression" dxfId="1909" priority="1895">
      <formula>$D4="T11 - More Time?"</formula>
    </cfRule>
    <cfRule type="expression" dxfId="1908" priority="1896">
      <formula>$D4="T10 - Really Busy"</formula>
    </cfRule>
    <cfRule type="expression" dxfId="1907" priority="1897">
      <formula>$D4="T9 - Majority of Clients"</formula>
    </cfRule>
    <cfRule type="expression" dxfId="1906" priority="1898">
      <formula>$D4="T8 - STOP Contact"</formula>
    </cfRule>
    <cfRule type="expression" dxfId="1905" priority="1899">
      <formula>$D4="T7 - Another Lender"</formula>
    </cfRule>
    <cfRule type="expression" dxfId="1904" priority="1900">
      <formula>$D4="T6 - Don’t Qualify?"</formula>
    </cfRule>
    <cfRule type="expression" dxfId="1903" priority="1901">
      <formula>$D4="T5 - Debt Consolidation"</formula>
    </cfRule>
    <cfRule type="expression" dxfId="1902" priority="1902">
      <formula>$D4="T4 - Debt / Home"</formula>
    </cfRule>
    <cfRule type="expression" dxfId="1901" priority="1903">
      <formula>$D4="T3 - Correct Cash"</formula>
    </cfRule>
    <cfRule type="expression" dxfId="1900" priority="1904">
      <formula>$D4="T2 - Revised"</formula>
    </cfRule>
    <cfRule type="expression" dxfId="1899" priority="1905">
      <formula>$D4="T1 - Follow Up"</formula>
    </cfRule>
    <cfRule type="expression" dxfId="1898" priority="1906">
      <formula>$D4="APP - LOCKED!"</formula>
    </cfRule>
    <cfRule type="expression" dxfId="1897" priority="1907">
      <formula>$D4="LOCKED!"</formula>
    </cfRule>
    <cfRule type="expression" dxfId="1896" priority="1908">
      <formula>$D4="APP - Pitched &gt; Follow Up!"</formula>
    </cfRule>
    <cfRule type="expression" dxfId="1895" priority="1909">
      <formula>$D4="Pitched &gt; FOLLOW UP!"</formula>
    </cfRule>
    <cfRule type="expression" dxfId="1894" priority="1910">
      <formula>$D4="APP - Application Taken"</formula>
    </cfRule>
    <cfRule type="expression" dxfId="1893" priority="1911">
      <formula>$D4="AL - HOT!"</formula>
    </cfRule>
    <cfRule type="expression" dxfId="1892" priority="1912">
      <formula>$D4="AL - Responded"</formula>
    </cfRule>
    <cfRule type="expression" dxfId="1891" priority="1913">
      <formula>$D4="Prospect - Appt Scheduled"</formula>
    </cfRule>
    <cfRule type="expression" dxfId="1890" priority="1914">
      <formula>$D4="Appt Scheduled"</formula>
    </cfRule>
    <cfRule type="expression" dxfId="1889" priority="1915">
      <formula>$D4="Prospect - Follow Up"</formula>
    </cfRule>
    <cfRule type="expression" dxfId="1888" priority="1916">
      <formula>$D4="Prospect - HOT!"</formula>
    </cfRule>
    <cfRule type="expression" dxfId="1887" priority="1917">
      <formula>$D4="Prospect - Warm"</formula>
    </cfRule>
  </conditionalFormatting>
  <conditionalFormatting sqref="D4:G4 I4:J4">
    <cfRule type="expression" dxfId="1886" priority="1656">
      <formula>$D4="Cancel-Decline"</formula>
    </cfRule>
    <cfRule type="expression" dxfId="1885" priority="1657">
      <formula>$D4="Funded"</formula>
    </cfRule>
    <cfRule type="expression" dxfId="1884" priority="1658">
      <formula>$D4="0 - MessageError!"</formula>
    </cfRule>
    <cfRule type="expression" dxfId="1883" priority="1659">
      <formula>$D4="9- Changed Mind"</formula>
    </cfRule>
    <cfRule type="expression" dxfId="1882" priority="1660">
      <formula>$D4="8- Home Values"</formula>
    </cfRule>
    <cfRule type="expression" dxfId="1881" priority="1661">
      <formula>$D4="7- Market Drop"</formula>
    </cfRule>
    <cfRule type="expression" dxfId="1880" priority="1662">
      <formula>$D4="6- Another Lender"</formula>
    </cfRule>
    <cfRule type="expression" dxfId="1879" priority="1663">
      <formula>$D4="5- ChangedMind?"</formula>
    </cfRule>
    <cfRule type="expression" dxfId="1878" priority="1664">
      <formula>$D4="4- Don'tQualify"</formula>
    </cfRule>
    <cfRule type="expression" dxfId="1877" priority="1665">
      <formula>$D4="3- CashOut"</formula>
    </cfRule>
    <cfRule type="expression" dxfId="1876" priority="1666">
      <formula>$D4="2- RevisedQuote"</formula>
    </cfRule>
    <cfRule type="expression" dxfId="1875" priority="1667">
      <formula>$D4="1- FollowUp"</formula>
    </cfRule>
    <cfRule type="expression" dxfId="1874" priority="1668" stopIfTrue="1">
      <formula>$D4="Responded"</formula>
    </cfRule>
    <cfRule type="expression" dxfId="1873" priority="1669">
      <formula>$D4="Locked!"</formula>
    </cfRule>
    <cfRule type="expression" dxfId="1872" priority="1670">
      <formula>$D4="E-signed!"</formula>
    </cfRule>
    <cfRule type="expression" dxfId="1871" priority="1671">
      <formula>$D4="Docs Received!"</formula>
    </cfRule>
    <cfRule type="expression" dxfId="1870" priority="1672">
      <formula>$D4="Disclosures Going Out..."</formula>
    </cfRule>
    <cfRule type="expression" dxfId="1869" priority="1673">
      <formula>$D4="Disclosures Sent!"</formula>
    </cfRule>
    <cfRule type="expression" dxfId="1868" priority="1674">
      <formula>$D4="FIGURE - Link Sent!"</formula>
    </cfRule>
    <cfRule type="expression" dxfId="1867" priority="1675">
      <formula>$D4="Hard Money Opportunity"</formula>
    </cfRule>
    <cfRule type="expression" dxfId="1866" priority="1676">
      <formula>$D4="Communicating..."</formula>
    </cfRule>
    <cfRule type="expression" dxfId="1865" priority="1677">
      <formula>$D4="Not Interested"</formula>
    </cfRule>
    <cfRule type="expression" dxfId="1864" priority="1678">
      <formula>$D4="APP - Pitched &gt; Follow up"</formula>
    </cfRule>
    <cfRule type="expression" dxfId="1863" priority="1679">
      <formula>$D4="Appt Scheduled"</formula>
    </cfRule>
    <cfRule type="expression" dxfId="1862" priority="1680">
      <formula>$D4="Reverse Mortgage Opportunity"</formula>
    </cfRule>
    <cfRule type="expression" dxfId="1861" priority="1681">
      <formula>$D4="Purchase"</formula>
    </cfRule>
    <cfRule type="expression" dxfId="1860" priority="1682">
      <formula>$D4="Verified Approval Letter"</formula>
    </cfRule>
    <cfRule type="expression" dxfId="1859" priority="1683">
      <formula>$D4="*Thinking about it*"</formula>
    </cfRule>
    <cfRule type="expression" dxfId="1858" priority="1684">
      <formula>$D4="DNQ"</formula>
    </cfRule>
    <cfRule type="expression" dxfId="1857" priority="1685">
      <formula>$D4="Commercial/Business Loan"</formula>
    </cfRule>
    <cfRule type="expression" dxfId="1856" priority="1686">
      <formula>$D4="Credit - Wayfinder"</formula>
    </cfRule>
    <cfRule type="expression" dxfId="1855" priority="1687">
      <formula>$D4="Match or Beat"</formula>
    </cfRule>
    <cfRule type="expression" dxfId="1854" priority="1688">
      <formula>$D4="Future Deal"</formula>
    </cfRule>
    <cfRule type="expression" dxfId="1853" priority="1689">
      <formula>$D4="Prospect -Email Sent"</formula>
    </cfRule>
    <cfRule type="expression" dxfId="1852" priority="1690">
      <formula>$D4="STOP!"</formula>
    </cfRule>
    <cfRule type="expression" dxfId="1851" priority="1691">
      <formula>$D4="No Benefit"</formula>
    </cfRule>
    <cfRule type="expression" dxfId="1850" priority="1692">
      <formula>$D4="Went With Another Lender"</formula>
    </cfRule>
    <cfRule type="expression" dxfId="1849" priority="1693">
      <formula>$D4="Called 3x"</formula>
    </cfRule>
    <cfRule type="expression" dxfId="1848" priority="1694">
      <formula>$D4="Called 2x"</formula>
    </cfRule>
    <cfRule type="expression" dxfId="1847" priority="1695">
      <formula>$D4="T15 - MessageError!"</formula>
    </cfRule>
    <cfRule type="expression" dxfId="1846" priority="1696">
      <formula>$D4="T14 - Right Person?"</formula>
    </cfRule>
    <cfRule type="expression" dxfId="1845" priority="1697">
      <formula>$D4="T13 - Email"</formula>
    </cfRule>
    <cfRule type="expression" dxfId="1844" priority="1698">
      <formula>$D4="T12 - Blown Up"</formula>
    </cfRule>
    <cfRule type="expression" dxfId="1843" priority="1699">
      <formula>$D4="T11 - More Time?"</formula>
    </cfRule>
    <cfRule type="expression" dxfId="1842" priority="1700">
      <formula>$D4="T10 - Really Busy"</formula>
    </cfRule>
    <cfRule type="expression" dxfId="1841" priority="1701">
      <formula>$D4="T9 - Majority of Clients"</formula>
    </cfRule>
    <cfRule type="expression" dxfId="1840" priority="1702">
      <formula>$D4="T8 - STOP Contact"</formula>
    </cfRule>
    <cfRule type="expression" dxfId="1839" priority="1703">
      <formula>$D4="T7 - Another Lender"</formula>
    </cfRule>
    <cfRule type="expression" dxfId="1838" priority="1704">
      <formula>$D4="T6 - Don’t Qualify?"</formula>
    </cfRule>
    <cfRule type="expression" dxfId="1837" priority="1705">
      <formula>$D4="T5 - Debt Consolidation"</formula>
    </cfRule>
    <cfRule type="expression" dxfId="1836" priority="1706">
      <formula>$D4="T4 - Debt / Home"</formula>
    </cfRule>
    <cfRule type="expression" dxfId="1835" priority="1707">
      <formula>$D4="T3 - Correct Cash"</formula>
    </cfRule>
    <cfRule type="expression" dxfId="1834" priority="1708">
      <formula>$D4="T2 - Revised"</formula>
    </cfRule>
    <cfRule type="expression" dxfId="1833" priority="1709">
      <formula>$D4="T1 - Follow Up"</formula>
    </cfRule>
    <cfRule type="expression" dxfId="1832" priority="1710">
      <formula>$D4="APP - LOCKED!"</formula>
    </cfRule>
    <cfRule type="expression" dxfId="1831" priority="1711">
      <formula>$D4="LOCKED!"</formula>
    </cfRule>
    <cfRule type="expression" dxfId="1830" priority="1712">
      <formula>$D4="APP - Pitched &gt; Follow Up!"</formula>
    </cfRule>
    <cfRule type="expression" dxfId="1829" priority="1713">
      <formula>$D4="Pitched &gt; FOLLOW UP!"</formula>
    </cfRule>
    <cfRule type="expression" dxfId="1828" priority="1714">
      <formula>$D4="APP - Application Taken"</formula>
    </cfRule>
    <cfRule type="expression" dxfId="1827" priority="1715">
      <formula>$D4="AL - HOT!"</formula>
    </cfRule>
    <cfRule type="expression" dxfId="1826" priority="1716">
      <formula>$D4="AL - Responded"</formula>
    </cfRule>
    <cfRule type="expression" dxfId="1825" priority="1717">
      <formula>$D4="Prospect - Appt Scheduled"</formula>
    </cfRule>
    <cfRule type="expression" dxfId="1824" priority="1718">
      <formula>$D4="Appt Scheduled"</formula>
    </cfRule>
    <cfRule type="expression" dxfId="1823" priority="1719">
      <formula>$D4="Prospect - Follow Up"</formula>
    </cfRule>
    <cfRule type="expression" dxfId="1822" priority="1720">
      <formula>$D4="Prospect - HOT!"</formula>
    </cfRule>
    <cfRule type="expression" dxfId="1821" priority="1721">
      <formula>$D4="Prospect - Warm"</formula>
    </cfRule>
  </conditionalFormatting>
  <conditionalFormatting sqref="D5:G5 I5:J5">
    <cfRule type="expression" dxfId="1820" priority="1590">
      <formula>$D5="Cancel-Decline"</formula>
    </cfRule>
    <cfRule type="expression" dxfId="1819" priority="1591">
      <formula>$D5="Funded"</formula>
    </cfRule>
    <cfRule type="expression" dxfId="1818" priority="1592">
      <formula>$D5="0 - MessageError!"</formula>
    </cfRule>
    <cfRule type="expression" dxfId="1817" priority="1593">
      <formula>$D5="9- Changed Mind"</formula>
    </cfRule>
    <cfRule type="expression" dxfId="1816" priority="1594">
      <formula>$D5="8- Home Values"</formula>
    </cfRule>
    <cfRule type="expression" dxfId="1815" priority="1595">
      <formula>$D5="7- Market Drop"</formula>
    </cfRule>
    <cfRule type="expression" dxfId="1814" priority="1596">
      <formula>$D5="6- Another Lender"</formula>
    </cfRule>
    <cfRule type="expression" dxfId="1813" priority="1597">
      <formula>$D5="5- ChangedMind?"</formula>
    </cfRule>
    <cfRule type="expression" dxfId="1812" priority="1598">
      <formula>$D5="4- Don'tQualify"</formula>
    </cfRule>
    <cfRule type="expression" dxfId="1811" priority="1599">
      <formula>$D5="3- CashOut"</formula>
    </cfRule>
    <cfRule type="expression" dxfId="1810" priority="1600">
      <formula>$D5="2- RevisedQuote"</formula>
    </cfRule>
    <cfRule type="expression" dxfId="1809" priority="1601">
      <formula>$D5="1- FollowUp"</formula>
    </cfRule>
    <cfRule type="expression" dxfId="1808" priority="1602" stopIfTrue="1">
      <formula>$D5="Responded"</formula>
    </cfRule>
    <cfRule type="expression" dxfId="1807" priority="1603">
      <formula>$D5="Locked!"</formula>
    </cfRule>
    <cfRule type="expression" dxfId="1806" priority="1604">
      <formula>$D5="E-signed!"</formula>
    </cfRule>
    <cfRule type="expression" dxfId="1805" priority="1605">
      <formula>$D5="Docs Received!"</formula>
    </cfRule>
    <cfRule type="expression" dxfId="1804" priority="1606">
      <formula>$D5="Disclosures Going Out..."</formula>
    </cfRule>
    <cfRule type="expression" dxfId="1803" priority="1607">
      <formula>$D5="Disclosures Sent!"</formula>
    </cfRule>
    <cfRule type="expression" dxfId="1802" priority="1608">
      <formula>$D5="FIGURE - Link Sent!"</formula>
    </cfRule>
    <cfRule type="expression" dxfId="1801" priority="1609">
      <formula>$D5="Hard Money Opportunity"</formula>
    </cfRule>
    <cfRule type="expression" dxfId="1800" priority="1610">
      <formula>$D5="Communicating..."</formula>
    </cfRule>
    <cfRule type="expression" dxfId="1799" priority="1611">
      <formula>$D5="Not Interested"</formula>
    </cfRule>
    <cfRule type="expression" dxfId="1798" priority="1612">
      <formula>$D5="APP - Pitched &gt; Follow up"</formula>
    </cfRule>
    <cfRule type="expression" dxfId="1797" priority="1613">
      <formula>$D5="Appt Scheduled"</formula>
    </cfRule>
    <cfRule type="expression" dxfId="1796" priority="1614">
      <formula>$D5="Reverse Mortgage Opportunity"</formula>
    </cfRule>
    <cfRule type="expression" dxfId="1795" priority="1615">
      <formula>$D5="Purchase"</formula>
    </cfRule>
    <cfRule type="expression" dxfId="1794" priority="1616">
      <formula>$D5="Verified Approval Letter"</formula>
    </cfRule>
    <cfRule type="expression" dxfId="1793" priority="1617">
      <formula>$D5="*Thinking about it*"</formula>
    </cfRule>
    <cfRule type="expression" dxfId="1792" priority="1618">
      <formula>$D5="DNQ"</formula>
    </cfRule>
    <cfRule type="expression" dxfId="1791" priority="1619">
      <formula>$D5="Commercial/Business Loan"</formula>
    </cfRule>
    <cfRule type="expression" dxfId="1790" priority="1620">
      <formula>$D5="Credit - Wayfinder"</formula>
    </cfRule>
    <cfRule type="expression" dxfId="1789" priority="1621">
      <formula>$D5="Match or Beat"</formula>
    </cfRule>
    <cfRule type="expression" dxfId="1788" priority="1622">
      <formula>$D5="Future Deal"</formula>
    </cfRule>
    <cfRule type="expression" dxfId="1787" priority="1623">
      <formula>$D5="Prospect -Email Sent"</formula>
    </cfRule>
    <cfRule type="expression" dxfId="1786" priority="1624">
      <formula>$D5="STOP!"</formula>
    </cfRule>
    <cfRule type="expression" dxfId="1785" priority="1625">
      <formula>$D5="No Benefit"</formula>
    </cfRule>
    <cfRule type="expression" dxfId="1784" priority="1626">
      <formula>$D5="Went With Another Lender"</formula>
    </cfRule>
    <cfRule type="expression" dxfId="1783" priority="1627">
      <formula>$D5="Called 3x"</formula>
    </cfRule>
    <cfRule type="expression" dxfId="1782" priority="1628">
      <formula>$D5="Called 2x"</formula>
    </cfRule>
    <cfRule type="expression" dxfId="1781" priority="1629">
      <formula>$D5="T15 - MessageError!"</formula>
    </cfRule>
    <cfRule type="expression" dxfId="1780" priority="1630">
      <formula>$D5="T14 - Right Person?"</formula>
    </cfRule>
    <cfRule type="expression" dxfId="1779" priority="1631">
      <formula>$D5="T13 - Email"</formula>
    </cfRule>
    <cfRule type="expression" dxfId="1778" priority="1632">
      <formula>$D5="T12 - Blown Up"</formula>
    </cfRule>
    <cfRule type="expression" dxfId="1777" priority="1633">
      <formula>$D5="T11 - More Time?"</formula>
    </cfRule>
    <cfRule type="expression" dxfId="1776" priority="1634">
      <formula>$D5="T10 - Really Busy"</formula>
    </cfRule>
    <cfRule type="expression" dxfId="1775" priority="1635">
      <formula>$D5="T9 - Majority of Clients"</formula>
    </cfRule>
    <cfRule type="expression" dxfId="1774" priority="1636">
      <formula>$D5="T8 - STOP Contact"</formula>
    </cfRule>
    <cfRule type="expression" dxfId="1773" priority="1637">
      <formula>$D5="T7 - Another Lender"</formula>
    </cfRule>
    <cfRule type="expression" dxfId="1772" priority="1638">
      <formula>$D5="T6 - Don’t Qualify?"</formula>
    </cfRule>
    <cfRule type="expression" dxfId="1771" priority="1639">
      <formula>$D5="T5 - Debt Consolidation"</formula>
    </cfRule>
    <cfRule type="expression" dxfId="1770" priority="1640">
      <formula>$D5="T4 - Debt / Home"</formula>
    </cfRule>
    <cfRule type="expression" dxfId="1769" priority="1641">
      <formula>$D5="T3 - Correct Cash"</formula>
    </cfRule>
    <cfRule type="expression" dxfId="1768" priority="1642">
      <formula>$D5="T2 - Revised"</formula>
    </cfRule>
    <cfRule type="expression" dxfId="1767" priority="1643">
      <formula>$D5="T1 - Follow Up"</formula>
    </cfRule>
    <cfRule type="expression" dxfId="1766" priority="1644">
      <formula>$D5="APP - LOCKED!"</formula>
    </cfRule>
    <cfRule type="expression" dxfId="1765" priority="1645">
      <formula>$D5="LOCKED!"</formula>
    </cfRule>
    <cfRule type="expression" dxfId="1764" priority="1646">
      <formula>$D5="APP - Pitched &gt; Follow Up!"</formula>
    </cfRule>
    <cfRule type="expression" dxfId="1763" priority="1647">
      <formula>$D5="Pitched &gt; FOLLOW UP!"</formula>
    </cfRule>
    <cfRule type="expression" dxfId="1762" priority="1648">
      <formula>$D5="APP - Application Taken"</formula>
    </cfRule>
    <cfRule type="expression" dxfId="1761" priority="1649">
      <formula>$D5="AL - HOT!"</formula>
    </cfRule>
    <cfRule type="expression" dxfId="1760" priority="1650">
      <formula>$D5="AL - Responded"</formula>
    </cfRule>
    <cfRule type="expression" dxfId="1759" priority="1651">
      <formula>$D5="Prospect - Appt Scheduled"</formula>
    </cfRule>
    <cfRule type="expression" dxfId="1758" priority="1652">
      <formula>$D5="Appt Scheduled"</formula>
    </cfRule>
    <cfRule type="expression" dxfId="1757" priority="1653">
      <formula>$D5="Prospect - Follow Up"</formula>
    </cfRule>
    <cfRule type="expression" dxfId="1756" priority="1654">
      <formula>$D5="Prospect - HOT!"</formula>
    </cfRule>
    <cfRule type="expression" dxfId="1755" priority="1655">
      <formula>$D5="Prospect - Warm"</formula>
    </cfRule>
  </conditionalFormatting>
  <conditionalFormatting sqref="D6:G6 I6:J6">
    <cfRule type="expression" dxfId="1754" priority="1524">
      <formula>$D6="Cancel-Decline"</formula>
    </cfRule>
    <cfRule type="expression" dxfId="1753" priority="1525">
      <formula>$D6="Funded"</formula>
    </cfRule>
    <cfRule type="expression" dxfId="1752" priority="1526">
      <formula>$D6="0 - MessageError!"</formula>
    </cfRule>
    <cfRule type="expression" dxfId="1751" priority="1527">
      <formula>$D6="9- Changed Mind"</formula>
    </cfRule>
    <cfRule type="expression" dxfId="1750" priority="1528">
      <formula>$D6="8- Home Values"</formula>
    </cfRule>
    <cfRule type="expression" dxfId="1749" priority="1529">
      <formula>$D6="7- Market Drop"</formula>
    </cfRule>
    <cfRule type="expression" dxfId="1748" priority="1530">
      <formula>$D6="6- Another Lender"</formula>
    </cfRule>
    <cfRule type="expression" dxfId="1747" priority="1531">
      <formula>$D6="5- ChangedMind?"</formula>
    </cfRule>
    <cfRule type="expression" dxfId="1746" priority="1532">
      <formula>$D6="4- Don'tQualify"</formula>
    </cfRule>
    <cfRule type="expression" dxfId="1745" priority="1533">
      <formula>$D6="3- CashOut"</formula>
    </cfRule>
    <cfRule type="expression" dxfId="1744" priority="1534">
      <formula>$D6="2- RevisedQuote"</formula>
    </cfRule>
    <cfRule type="expression" dxfId="1743" priority="1535">
      <formula>$D6="1- FollowUp"</formula>
    </cfRule>
    <cfRule type="expression" dxfId="1742" priority="1536" stopIfTrue="1">
      <formula>$D6="Responded"</formula>
    </cfRule>
    <cfRule type="expression" dxfId="1741" priority="1537">
      <formula>$D6="Locked!"</formula>
    </cfRule>
    <cfRule type="expression" dxfId="1740" priority="1538">
      <formula>$D6="E-signed!"</formula>
    </cfRule>
    <cfRule type="expression" dxfId="1739" priority="1539">
      <formula>$D6="Docs Received!"</formula>
    </cfRule>
    <cfRule type="expression" dxfId="1738" priority="1540">
      <formula>$D6="Disclosures Going Out..."</formula>
    </cfRule>
    <cfRule type="expression" dxfId="1737" priority="1541">
      <formula>$D6="Disclosures Sent!"</formula>
    </cfRule>
    <cfRule type="expression" dxfId="1736" priority="1542">
      <formula>$D6="FIGURE - Link Sent!"</formula>
    </cfRule>
    <cfRule type="expression" dxfId="1735" priority="1543">
      <formula>$D6="Hard Money Opportunity"</formula>
    </cfRule>
    <cfRule type="expression" dxfId="1734" priority="1544">
      <formula>$D6="Communicating..."</formula>
    </cfRule>
    <cfRule type="expression" dxfId="1733" priority="1545">
      <formula>$D6="Not Interested"</formula>
    </cfRule>
    <cfRule type="expression" dxfId="1732" priority="1546">
      <formula>$D6="APP - Pitched &gt; Follow up"</formula>
    </cfRule>
    <cfRule type="expression" dxfId="1731" priority="1547">
      <formula>$D6="Appt Scheduled"</formula>
    </cfRule>
    <cfRule type="expression" dxfId="1730" priority="1548">
      <formula>$D6="Reverse Mortgage Opportunity"</formula>
    </cfRule>
    <cfRule type="expression" dxfId="1729" priority="1549">
      <formula>$D6="Purchase"</formula>
    </cfRule>
    <cfRule type="expression" dxfId="1728" priority="1550">
      <formula>$D6="Verified Approval Letter"</formula>
    </cfRule>
    <cfRule type="expression" dxfId="1727" priority="1551">
      <formula>$D6="*Thinking about it*"</formula>
    </cfRule>
    <cfRule type="expression" dxfId="1726" priority="1552">
      <formula>$D6="DNQ"</formula>
    </cfRule>
    <cfRule type="expression" dxfId="1725" priority="1553">
      <formula>$D6="Commercial/Business Loan"</formula>
    </cfRule>
    <cfRule type="expression" dxfId="1724" priority="1554">
      <formula>$D6="Credit - Wayfinder"</formula>
    </cfRule>
    <cfRule type="expression" dxfId="1723" priority="1555">
      <formula>$D6="Match or Beat"</formula>
    </cfRule>
    <cfRule type="expression" dxfId="1722" priority="1556">
      <formula>$D6="Future Deal"</formula>
    </cfRule>
    <cfRule type="expression" dxfId="1721" priority="1557">
      <formula>$D6="Prospect -Email Sent"</formula>
    </cfRule>
    <cfRule type="expression" dxfId="1720" priority="1558">
      <formula>$D6="STOP!"</formula>
    </cfRule>
    <cfRule type="expression" dxfId="1719" priority="1559">
      <formula>$D6="No Benefit"</formula>
    </cfRule>
    <cfRule type="expression" dxfId="1718" priority="1560">
      <formula>$D6="Went With Another Lender"</formula>
    </cfRule>
    <cfRule type="expression" dxfId="1717" priority="1561">
      <formula>$D6="Bad Number"</formula>
    </cfRule>
    <cfRule type="expression" dxfId="1716" priority="1562">
      <formula>$D6="Called 2x"</formula>
    </cfRule>
    <cfRule type="expression" dxfId="1715" priority="1563">
      <formula>$D6="T15 - MessageError!"</formula>
    </cfRule>
    <cfRule type="expression" dxfId="1714" priority="1564">
      <formula>$D6="T14 - Right Person?"</formula>
    </cfRule>
    <cfRule type="expression" dxfId="1713" priority="1565">
      <formula>$D6="T13 - Email"</formula>
    </cfRule>
    <cfRule type="expression" dxfId="1712" priority="1566">
      <formula>$D6="T12 - Blown Up"</formula>
    </cfRule>
    <cfRule type="expression" dxfId="1711" priority="1567">
      <formula>$D6="T11 - More Time?"</formula>
    </cfRule>
    <cfRule type="expression" dxfId="1710" priority="1568">
      <formula>$D6="T10 - Really Busy"</formula>
    </cfRule>
    <cfRule type="expression" dxfId="1709" priority="1569">
      <formula>$D6="T9 - Majority of Clients"</formula>
    </cfRule>
    <cfRule type="expression" dxfId="1708" priority="1570">
      <formula>$D6="T8 - STOP Contact"</formula>
    </cfRule>
    <cfRule type="expression" dxfId="1707" priority="1571">
      <formula>$D6="T7 - Another Lender"</formula>
    </cfRule>
    <cfRule type="expression" dxfId="1706" priority="1572">
      <formula>$D6="T6 - Don’t Qualify?"</formula>
    </cfRule>
    <cfRule type="expression" dxfId="1705" priority="1573">
      <formula>$D6="T5 - Debt Consolidation"</formula>
    </cfRule>
    <cfRule type="expression" dxfId="1704" priority="1574">
      <formula>$D6="T4 - Debt / Home"</formula>
    </cfRule>
    <cfRule type="expression" dxfId="1703" priority="1575">
      <formula>$D6="T3 - Correct Cash"</formula>
    </cfRule>
    <cfRule type="expression" dxfId="1702" priority="1576">
      <formula>$D6="T2 - Revised"</formula>
    </cfRule>
    <cfRule type="expression" dxfId="1701" priority="1577">
      <formula>$D6="T1 - Follow Up"</formula>
    </cfRule>
    <cfRule type="expression" dxfId="1700" priority="1578">
      <formula>$D6="APP - LOCKED!"</formula>
    </cfRule>
    <cfRule type="expression" dxfId="1699" priority="1579">
      <formula>$D6="LOCKED!"</formula>
    </cfRule>
    <cfRule type="expression" dxfId="1698" priority="1580">
      <formula>$D6="APP - Pitched &gt; Follow Up!"</formula>
    </cfRule>
    <cfRule type="expression" dxfId="1697" priority="1581">
      <formula>$D6="Pitched &gt; FOLLOW UP!"</formula>
    </cfRule>
    <cfRule type="expression" dxfId="1696" priority="1582">
      <formula>$D6="APP - Application Taken"</formula>
    </cfRule>
    <cfRule type="expression" dxfId="1695" priority="1583">
      <formula>$D6="AL - HOT!"</formula>
    </cfRule>
    <cfRule type="expression" dxfId="1694" priority="1584">
      <formula>$D6="AL - Responded"</formula>
    </cfRule>
    <cfRule type="expression" dxfId="1693" priority="1585">
      <formula>$D6="Prospect - Appt Scheduled"</formula>
    </cfRule>
    <cfRule type="expression" dxfId="1692" priority="1586">
      <formula>$D6="Appt Scheduled"</formula>
    </cfRule>
    <cfRule type="expression" dxfId="1691" priority="1587">
      <formula>$D6="Prospect - Follow Up"</formula>
    </cfRule>
    <cfRule type="expression" dxfId="1690" priority="1588">
      <formula>$D6="Prospect - HOT!"</formula>
    </cfRule>
    <cfRule type="expression" dxfId="1689" priority="1589">
      <formula>$D6="Prospect - Warm"</formula>
    </cfRule>
  </conditionalFormatting>
  <conditionalFormatting sqref="B7:G7 I7:U7">
    <cfRule type="expression" dxfId="1688" priority="1458">
      <formula>$D7="Cancel-Decline"</formula>
    </cfRule>
    <cfRule type="expression" dxfId="1687" priority="1459">
      <formula>$D7="Funded"</formula>
    </cfRule>
    <cfRule type="expression" dxfId="1686" priority="1460">
      <formula>$D7="0 - MessageError!"</formula>
    </cfRule>
    <cfRule type="expression" dxfId="1685" priority="1461">
      <formula>$D7="9- Changed Mind"</formula>
    </cfRule>
    <cfRule type="expression" dxfId="1684" priority="1462">
      <formula>$D7="8- Home Values"</formula>
    </cfRule>
    <cfRule type="expression" dxfId="1683" priority="1463">
      <formula>$D7="7- Market Drop"</formula>
    </cfRule>
    <cfRule type="expression" dxfId="1682" priority="1464">
      <formula>$D7="6- Another Lender"</formula>
    </cfRule>
    <cfRule type="expression" dxfId="1681" priority="1465">
      <formula>$D7="5- ChangedMind?"</formula>
    </cfRule>
    <cfRule type="expression" dxfId="1680" priority="1466">
      <formula>$D7="4- Don'tQualify"</formula>
    </cfRule>
    <cfRule type="expression" dxfId="1679" priority="1467">
      <formula>$D7="3- CashOut"</formula>
    </cfRule>
    <cfRule type="expression" dxfId="1678" priority="1468">
      <formula>$D7="2- RevisedQuote"</formula>
    </cfRule>
    <cfRule type="expression" dxfId="1677" priority="1469">
      <formula>$D7="1- FollowUp"</formula>
    </cfRule>
    <cfRule type="expression" dxfId="1676" priority="1470" stopIfTrue="1">
      <formula>$D7="Responded"</formula>
    </cfRule>
    <cfRule type="expression" dxfId="1675" priority="1471">
      <formula>$D7="Locked!"</formula>
    </cfRule>
    <cfRule type="expression" dxfId="1674" priority="1472">
      <formula>$D7="E-signed!"</formula>
    </cfRule>
    <cfRule type="expression" dxfId="1673" priority="1473">
      <formula>$D7="Docs Received!"</formula>
    </cfRule>
    <cfRule type="expression" dxfId="1672" priority="1474">
      <formula>$D7="Disclosures Going Out..."</formula>
    </cfRule>
    <cfRule type="expression" dxfId="1671" priority="1475">
      <formula>$D7="Disclosures Sent!"</formula>
    </cfRule>
    <cfRule type="expression" dxfId="1670" priority="1476">
      <formula>$D7="FIGURE - Link Sent!"</formula>
    </cfRule>
    <cfRule type="expression" dxfId="1669" priority="1477">
      <formula>$D7="Hard Money Opportunity"</formula>
    </cfRule>
    <cfRule type="expression" dxfId="1668" priority="1478">
      <formula>$D7="Communicating..."</formula>
    </cfRule>
    <cfRule type="expression" dxfId="1667" priority="1479">
      <formula>$D7="Not Interested"</formula>
    </cfRule>
    <cfRule type="expression" dxfId="1666" priority="1480">
      <formula>$D7="APP - Pitched &gt; Follow up"</formula>
    </cfRule>
    <cfRule type="expression" dxfId="1665" priority="1481">
      <formula>$D7="Appt Scheduled"</formula>
    </cfRule>
    <cfRule type="expression" dxfId="1664" priority="1482">
      <formula>$D7="Reverse Mortgage Opportunity"</formula>
    </cfRule>
    <cfRule type="expression" dxfId="1663" priority="1483">
      <formula>$D7="Purchase"</formula>
    </cfRule>
    <cfRule type="expression" dxfId="1662" priority="1484">
      <formula>$D7="Verified Approval Letter"</formula>
    </cfRule>
    <cfRule type="expression" dxfId="1661" priority="1485">
      <formula>$D7="*Thinking about it*"</formula>
    </cfRule>
    <cfRule type="expression" dxfId="1660" priority="1486">
      <formula>$D7="DNQ"</formula>
    </cfRule>
    <cfRule type="expression" dxfId="1659" priority="1487">
      <formula>$D7="Commercial/Business Loan"</formula>
    </cfRule>
    <cfRule type="expression" dxfId="1658" priority="1488">
      <formula>$D7="Credit - Wayfinder"</formula>
    </cfRule>
    <cfRule type="expression" dxfId="1657" priority="1489">
      <formula>$D7="Match or Beat"</formula>
    </cfRule>
    <cfRule type="expression" dxfId="1656" priority="1490">
      <formula>$D7="Future Deal"</formula>
    </cfRule>
    <cfRule type="expression" dxfId="1655" priority="1491">
      <formula>$D7="Prospect -Email Sent"</formula>
    </cfRule>
    <cfRule type="expression" dxfId="1654" priority="1492">
      <formula>$D7="STOP!"</formula>
    </cfRule>
    <cfRule type="expression" dxfId="1653" priority="1493">
      <formula>$D7="No Benefit"</formula>
    </cfRule>
    <cfRule type="expression" dxfId="1652" priority="1494">
      <formula>$D7="Went With Another Lender"</formula>
    </cfRule>
    <cfRule type="expression" dxfId="1651" priority="1495">
      <formula>$D7="Bad Number"</formula>
    </cfRule>
    <cfRule type="expression" dxfId="1650" priority="1496">
      <formula>$D7="Called 2x"</formula>
    </cfRule>
    <cfRule type="expression" dxfId="1649" priority="1497">
      <formula>$D7="T15 - MessageError!"</formula>
    </cfRule>
    <cfRule type="expression" dxfId="1648" priority="1498">
      <formula>$D7="T14 - Right Person?"</formula>
    </cfRule>
    <cfRule type="expression" dxfId="1647" priority="1499">
      <formula>$D7="T13 - Email"</formula>
    </cfRule>
    <cfRule type="expression" dxfId="1646" priority="1500">
      <formula>$D7="T12 - Blown Up"</formula>
    </cfRule>
    <cfRule type="expression" dxfId="1645" priority="1501">
      <formula>$D7="T11 - More Time?"</formula>
    </cfRule>
    <cfRule type="expression" dxfId="1644" priority="1502">
      <formula>$D7="T10 - Really Busy"</formula>
    </cfRule>
    <cfRule type="expression" dxfId="1643" priority="1503">
      <formula>$D7="T9 - Majority of Clients"</formula>
    </cfRule>
    <cfRule type="expression" dxfId="1642" priority="1504">
      <formula>$D7="T8 - STOP Contact"</formula>
    </cfRule>
    <cfRule type="expression" dxfId="1641" priority="1505">
      <formula>$D7="T7 - Another Lender"</formula>
    </cfRule>
    <cfRule type="expression" dxfId="1640" priority="1506">
      <formula>$D7="T6 - Don’t Qualify?"</formula>
    </cfRule>
    <cfRule type="expression" dxfId="1639" priority="1507">
      <formula>$D7="T5 - Debt Consolidation"</formula>
    </cfRule>
    <cfRule type="expression" dxfId="1638" priority="1508">
      <formula>$D7="T4 - Debt / Home"</formula>
    </cfRule>
    <cfRule type="expression" dxfId="1637" priority="1509">
      <formula>$D7="T3 - Correct Cash"</formula>
    </cfRule>
    <cfRule type="expression" dxfId="1636" priority="1510">
      <formula>$D7="T2 - Revised"</formula>
    </cfRule>
    <cfRule type="expression" dxfId="1635" priority="1511">
      <formula>$D7="T1 - Follow Up"</formula>
    </cfRule>
    <cfRule type="expression" dxfId="1634" priority="1512">
      <formula>$D7="APP - LOCKED!"</formula>
    </cfRule>
    <cfRule type="expression" dxfId="1633" priority="1513">
      <formula>$D7="LOCKED!"</formula>
    </cfRule>
    <cfRule type="expression" dxfId="1632" priority="1514">
      <formula>$D7="APP - Pitched &gt; Follow Up!"</formula>
    </cfRule>
    <cfRule type="expression" dxfId="1631" priority="1515">
      <formula>$D7="Pitched &gt; FOLLOW UP!"</formula>
    </cfRule>
    <cfRule type="expression" dxfId="1630" priority="1516">
      <formula>$D7="APP - Application Taken"</formula>
    </cfRule>
    <cfRule type="expression" dxfId="1629" priority="1517">
      <formula>$D7="AL - HOT!"</formula>
    </cfRule>
    <cfRule type="expression" dxfId="1628" priority="1518">
      <formula>$D7="AL - Responded"</formula>
    </cfRule>
    <cfRule type="expression" dxfId="1627" priority="1519">
      <formula>$D7="Prospect - Appt Scheduled"</formula>
    </cfRule>
    <cfRule type="expression" dxfId="1626" priority="1520">
      <formula>$D7="Appt Scheduled"</formula>
    </cfRule>
    <cfRule type="expression" dxfId="1625" priority="1521">
      <formula>$D7="Prospect - Follow Up"</formula>
    </cfRule>
    <cfRule type="expression" dxfId="1624" priority="1522">
      <formula>$D7="Prospect - HOT!"</formula>
    </cfRule>
    <cfRule type="expression" dxfId="1623" priority="1523">
      <formula>$D7="Prospect - Warm"</formula>
    </cfRule>
  </conditionalFormatting>
  <conditionalFormatting sqref="D8:G8 I8:J8">
    <cfRule type="expression" dxfId="1622" priority="1392">
      <formula>$D8="Cancel-Decline"</formula>
    </cfRule>
    <cfRule type="expression" dxfId="1621" priority="1393">
      <formula>$D8="Funded"</formula>
    </cfRule>
    <cfRule type="expression" dxfId="1620" priority="1394">
      <formula>$D8="0 - MessageError!"</formula>
    </cfRule>
    <cfRule type="expression" dxfId="1619" priority="1395">
      <formula>$D8="9- Changed Mind"</formula>
    </cfRule>
    <cfRule type="expression" dxfId="1618" priority="1396">
      <formula>$D8="8- Home Values"</formula>
    </cfRule>
    <cfRule type="expression" dxfId="1617" priority="1397">
      <formula>$D8="7- Market Drop"</formula>
    </cfRule>
    <cfRule type="expression" dxfId="1616" priority="1398">
      <formula>$D8="6- Another Lender"</formula>
    </cfRule>
    <cfRule type="expression" dxfId="1615" priority="1399">
      <formula>$D8="5- ChangedMind?"</formula>
    </cfRule>
    <cfRule type="expression" dxfId="1614" priority="1400">
      <formula>$D8="4- Don'tQualify"</formula>
    </cfRule>
    <cfRule type="expression" dxfId="1613" priority="1401">
      <formula>$D8="3- CashOut"</formula>
    </cfRule>
    <cfRule type="expression" dxfId="1612" priority="1402">
      <formula>$D8="2- RevisedQuote"</formula>
    </cfRule>
    <cfRule type="expression" dxfId="1611" priority="1403">
      <formula>$D8="1- FollowUp"</formula>
    </cfRule>
    <cfRule type="expression" dxfId="1610" priority="1404" stopIfTrue="1">
      <formula>$D8="Responded"</formula>
    </cfRule>
    <cfRule type="expression" dxfId="1609" priority="1405">
      <formula>$D8="Locked!"</formula>
    </cfRule>
    <cfRule type="expression" dxfId="1608" priority="1406">
      <formula>$D8="E-signed!"</formula>
    </cfRule>
    <cfRule type="expression" dxfId="1607" priority="1407">
      <formula>$D8="Docs Received!"</formula>
    </cfRule>
    <cfRule type="expression" dxfId="1606" priority="1408">
      <formula>$D8="Disclosures Going Out..."</formula>
    </cfRule>
    <cfRule type="expression" dxfId="1605" priority="1409">
      <formula>$D8="Disclosures Sent!"</formula>
    </cfRule>
    <cfRule type="expression" dxfId="1604" priority="1410">
      <formula>$D8="FIGURE - Link Sent!"</formula>
    </cfRule>
    <cfRule type="expression" dxfId="1603" priority="1411">
      <formula>$D8="Hard Money Opportunity"</formula>
    </cfRule>
    <cfRule type="expression" dxfId="1602" priority="1412">
      <formula>$D8="Communicating..."</formula>
    </cfRule>
    <cfRule type="expression" dxfId="1601" priority="1413">
      <formula>$D8="Not Interested"</formula>
    </cfRule>
    <cfRule type="expression" dxfId="1600" priority="1414">
      <formula>$D8="APP - Pitched &gt; Follow up"</formula>
    </cfRule>
    <cfRule type="expression" dxfId="1599" priority="1415">
      <formula>$D8="Appt Scheduled"</formula>
    </cfRule>
    <cfRule type="expression" dxfId="1598" priority="1416">
      <formula>$D8="Reverse Mortgage Opportunity"</formula>
    </cfRule>
    <cfRule type="expression" dxfId="1597" priority="1417">
      <formula>$D8="Purchase"</formula>
    </cfRule>
    <cfRule type="expression" dxfId="1596" priority="1418">
      <formula>$D8="Verified Approval Letter"</formula>
    </cfRule>
    <cfRule type="expression" dxfId="1595" priority="1419">
      <formula>$D8="*Thinking about it*"</formula>
    </cfRule>
    <cfRule type="expression" dxfId="1594" priority="1420">
      <formula>$D8="DNQ"</formula>
    </cfRule>
    <cfRule type="expression" dxfId="1593" priority="1421">
      <formula>$D8="Commercial/Business Loan"</formula>
    </cfRule>
    <cfRule type="expression" dxfId="1592" priority="1422">
      <formula>$D8="Credit - Wayfinder"</formula>
    </cfRule>
    <cfRule type="expression" dxfId="1591" priority="1423">
      <formula>$D8="Match or Beat"</formula>
    </cfRule>
    <cfRule type="expression" dxfId="1590" priority="1424">
      <formula>$D8="Future Deal"</formula>
    </cfRule>
    <cfRule type="expression" dxfId="1589" priority="1425">
      <formula>$D8="Prospect -Email Sent"</formula>
    </cfRule>
    <cfRule type="expression" dxfId="1588" priority="1426">
      <formula>$D8="STOP!"</formula>
    </cfRule>
    <cfRule type="expression" dxfId="1587" priority="1427">
      <formula>$D8="No Benefit"</formula>
    </cfRule>
    <cfRule type="expression" dxfId="1586" priority="1428">
      <formula>$D8="Went With Another Lender"</formula>
    </cfRule>
    <cfRule type="expression" dxfId="1585" priority="1429">
      <formula>$D8="Called 3x"</formula>
    </cfRule>
    <cfRule type="expression" dxfId="1584" priority="1430">
      <formula>$D8="Called 2x"</formula>
    </cfRule>
    <cfRule type="expression" dxfId="1583" priority="1431">
      <formula>$D8="T15 - MessageError!"</formula>
    </cfRule>
    <cfRule type="expression" dxfId="1582" priority="1432">
      <formula>$D8="T14 - Right Person?"</formula>
    </cfRule>
    <cfRule type="expression" dxfId="1581" priority="1433">
      <formula>$D8="T13 - Email"</formula>
    </cfRule>
    <cfRule type="expression" dxfId="1580" priority="1434">
      <formula>$D8="T12 - Blown Up"</formula>
    </cfRule>
    <cfRule type="expression" dxfId="1579" priority="1435">
      <formula>$D8="T11 - More Time?"</formula>
    </cfRule>
    <cfRule type="expression" dxfId="1578" priority="1436">
      <formula>$D8="T10 - Really Busy"</formula>
    </cfRule>
    <cfRule type="expression" dxfId="1577" priority="1437">
      <formula>$D8="T9 - Majority of Clients"</formula>
    </cfRule>
    <cfRule type="expression" dxfId="1576" priority="1438">
      <formula>$D8="T8 - STOP Contact"</formula>
    </cfRule>
    <cfRule type="expression" dxfId="1575" priority="1439">
      <formula>$D8="T7 - Another Lender"</formula>
    </cfRule>
    <cfRule type="expression" dxfId="1574" priority="1440">
      <formula>$D8="T6 - Don’t Qualify?"</formula>
    </cfRule>
    <cfRule type="expression" dxfId="1573" priority="1441">
      <formula>$D8="T5 - Debt Consolidation"</formula>
    </cfRule>
    <cfRule type="expression" dxfId="1572" priority="1442">
      <formula>$D8="T4 - Debt / Home"</formula>
    </cfRule>
    <cfRule type="expression" dxfId="1571" priority="1443">
      <formula>$D8="T3 - Correct Cash"</formula>
    </cfRule>
    <cfRule type="expression" dxfId="1570" priority="1444">
      <formula>$D8="T2 - Revised"</formula>
    </cfRule>
    <cfRule type="expression" dxfId="1569" priority="1445">
      <formula>$D8="T1 - Follow Up"</formula>
    </cfRule>
    <cfRule type="expression" dxfId="1568" priority="1446">
      <formula>$D8="APP - LOCKED!"</formula>
    </cfRule>
    <cfRule type="expression" dxfId="1567" priority="1447">
      <formula>$D8="LOCKED!"</formula>
    </cfRule>
    <cfRule type="expression" dxfId="1566" priority="1448">
      <formula>$D8="APP - Pitched &gt; Follow Up!"</formula>
    </cfRule>
    <cfRule type="expression" dxfId="1565" priority="1449">
      <formula>$D8="Pitched &gt; FOLLOW UP!"</formula>
    </cfRule>
    <cfRule type="expression" dxfId="1564" priority="1450">
      <formula>$D8="APP - Application Taken"</formula>
    </cfRule>
    <cfRule type="expression" dxfId="1563" priority="1451">
      <formula>$D8="AL - HOT!"</formula>
    </cfRule>
    <cfRule type="expression" dxfId="1562" priority="1452">
      <formula>$D8="AL - Responded"</formula>
    </cfRule>
    <cfRule type="expression" dxfId="1561" priority="1453">
      <formula>$D8="Prospect - Appt Scheduled"</formula>
    </cfRule>
    <cfRule type="expression" dxfId="1560" priority="1454">
      <formula>$D8="Appt Scheduled"</formula>
    </cfRule>
    <cfRule type="expression" dxfId="1559" priority="1455">
      <formula>$D8="Prospect - Follow Up"</formula>
    </cfRule>
    <cfRule type="expression" dxfId="1558" priority="1456">
      <formula>$D8="Prospect - HOT!"</formula>
    </cfRule>
    <cfRule type="expression" dxfId="1557" priority="1457">
      <formula>$D8="Prospect - Warm"</formula>
    </cfRule>
  </conditionalFormatting>
  <conditionalFormatting sqref="D8:G8 I8:J8">
    <cfRule type="expression" dxfId="1556" priority="1388">
      <formula>$D8="Potential Cancel"</formula>
    </cfRule>
    <cfRule type="expression" dxfId="1555" priority="1389">
      <formula>$D8="Suspended-Restructure"</formula>
    </cfRule>
    <cfRule type="expression" dxfId="1554" priority="1390">
      <formula>$D8="Clear to Close"</formula>
    </cfRule>
    <cfRule type="expression" dxfId="1553" priority="1391">
      <formula>$D8="Submitted to Underwriting"</formula>
    </cfRule>
  </conditionalFormatting>
  <conditionalFormatting sqref="D9:G9 I9:J9">
    <cfRule type="expression" dxfId="1552" priority="1322">
      <formula>$D9="Cancel-Decline"</formula>
    </cfRule>
    <cfRule type="expression" dxfId="1551" priority="1323">
      <formula>$D9="Funded"</formula>
    </cfRule>
    <cfRule type="expression" dxfId="1550" priority="1324">
      <formula>$D9="0 - MessageError!"</formula>
    </cfRule>
    <cfRule type="expression" dxfId="1549" priority="1325">
      <formula>$D9="9- Changed Mind"</formula>
    </cfRule>
    <cfRule type="expression" dxfId="1548" priority="1326">
      <formula>$D9="8- Home Values"</formula>
    </cfRule>
    <cfRule type="expression" dxfId="1547" priority="1327">
      <formula>$D9="7- Market Drop"</formula>
    </cfRule>
    <cfRule type="expression" dxfId="1546" priority="1328">
      <formula>$D9="6- Another Lender"</formula>
    </cfRule>
    <cfRule type="expression" dxfId="1545" priority="1329">
      <formula>$D9="5- ChangedMind?"</formula>
    </cfRule>
    <cfRule type="expression" dxfId="1544" priority="1330">
      <formula>$D9="4- Don'tQualify"</formula>
    </cfRule>
    <cfRule type="expression" dxfId="1543" priority="1331">
      <formula>$D9="3- CashOut"</formula>
    </cfRule>
    <cfRule type="expression" dxfId="1542" priority="1332">
      <formula>$D9="2- RevisedQuote"</formula>
    </cfRule>
    <cfRule type="expression" dxfId="1541" priority="1333">
      <formula>$D9="1- FollowUp"</formula>
    </cfRule>
    <cfRule type="expression" dxfId="1540" priority="1334" stopIfTrue="1">
      <formula>$D9="Responded"</formula>
    </cfRule>
    <cfRule type="expression" dxfId="1539" priority="1335">
      <formula>$D9="Locked!"</formula>
    </cfRule>
    <cfRule type="expression" dxfId="1538" priority="1336">
      <formula>$D9="E-signed!"</formula>
    </cfRule>
    <cfRule type="expression" dxfId="1537" priority="1337">
      <formula>$D9="Docs Received!"</formula>
    </cfRule>
    <cfRule type="expression" dxfId="1536" priority="1338">
      <formula>$D9="Disclosures Going Out..."</formula>
    </cfRule>
    <cfRule type="expression" dxfId="1535" priority="1339">
      <formula>$D9="Disclosures Sent!"</formula>
    </cfRule>
    <cfRule type="expression" dxfId="1534" priority="1340">
      <formula>$D9="FIGURE - Link Sent!"</formula>
    </cfRule>
    <cfRule type="expression" dxfId="1533" priority="1341">
      <formula>$D9="Hard Money Opportunity"</formula>
    </cfRule>
    <cfRule type="expression" dxfId="1532" priority="1342">
      <formula>$D9="Communicating..."</formula>
    </cfRule>
    <cfRule type="expression" dxfId="1531" priority="1343">
      <formula>$D9="Not Interested"</formula>
    </cfRule>
    <cfRule type="expression" dxfId="1530" priority="1344">
      <formula>$D9="APP - Pitched &gt; Follow up"</formula>
    </cfRule>
    <cfRule type="expression" dxfId="1529" priority="1345">
      <formula>$D9="Appt Scheduled"</formula>
    </cfRule>
    <cfRule type="expression" dxfId="1528" priority="1346">
      <formula>$D9="Reverse Mortgage Opportunity"</formula>
    </cfRule>
    <cfRule type="expression" dxfId="1527" priority="1347">
      <formula>$D9="Purchase"</formula>
    </cfRule>
    <cfRule type="expression" dxfId="1526" priority="1348">
      <formula>$D9="Verified Approval Letter"</formula>
    </cfRule>
    <cfRule type="expression" dxfId="1525" priority="1349">
      <formula>$D9="*Thinking about it*"</formula>
    </cfRule>
    <cfRule type="expression" dxfId="1524" priority="1350">
      <formula>$D9="DNQ"</formula>
    </cfRule>
    <cfRule type="expression" dxfId="1523" priority="1351">
      <formula>$D9="Commercial/Business Loan"</formula>
    </cfRule>
    <cfRule type="expression" dxfId="1522" priority="1352">
      <formula>$D9="Credit - Wayfinder"</formula>
    </cfRule>
    <cfRule type="expression" dxfId="1521" priority="1353">
      <formula>$D9="Match or Beat"</formula>
    </cfRule>
    <cfRule type="expression" dxfId="1520" priority="1354">
      <formula>$D9="Future Deal"</formula>
    </cfRule>
    <cfRule type="expression" dxfId="1519" priority="1355">
      <formula>$D9="Prospect -Email Sent"</formula>
    </cfRule>
    <cfRule type="expression" dxfId="1518" priority="1356">
      <formula>$D9="STOP!"</formula>
    </cfRule>
    <cfRule type="expression" dxfId="1517" priority="1357">
      <formula>$D9="No Benefit"</formula>
    </cfRule>
    <cfRule type="expression" dxfId="1516" priority="1358">
      <formula>$D9="Went With Another Lender"</formula>
    </cfRule>
    <cfRule type="expression" dxfId="1515" priority="1359">
      <formula>$D9="Called 3x"</formula>
    </cfRule>
    <cfRule type="expression" dxfId="1514" priority="1360">
      <formula>$D9="Called 2x"</formula>
    </cfRule>
    <cfRule type="expression" dxfId="1513" priority="1361">
      <formula>$D9="T15 - MessageError!"</formula>
    </cfRule>
    <cfRule type="expression" dxfId="1512" priority="1362">
      <formula>$D9="T14 - Right Person?"</formula>
    </cfRule>
    <cfRule type="expression" dxfId="1511" priority="1363">
      <formula>$D9="T13 - Email"</formula>
    </cfRule>
    <cfRule type="expression" dxfId="1510" priority="1364">
      <formula>$D9="T12 - Blown Up"</formula>
    </cfRule>
    <cfRule type="expression" dxfId="1509" priority="1365">
      <formula>$D9="T11 - More Time?"</formula>
    </cfRule>
    <cfRule type="expression" dxfId="1508" priority="1366">
      <formula>$D9="T10 - Really Busy"</formula>
    </cfRule>
    <cfRule type="expression" dxfId="1507" priority="1367">
      <formula>$D9="T9 - Majority of Clients"</formula>
    </cfRule>
    <cfRule type="expression" dxfId="1506" priority="1368">
      <formula>$D9="T8 - STOP Contact"</formula>
    </cfRule>
    <cfRule type="expression" dxfId="1505" priority="1369">
      <formula>$D9="T7 - Another Lender"</formula>
    </cfRule>
    <cfRule type="expression" dxfId="1504" priority="1370">
      <formula>$D9="T6 - Don’t Qualify?"</formula>
    </cfRule>
    <cfRule type="expression" dxfId="1503" priority="1371">
      <formula>$D9="T5 - Debt Consolidation"</formula>
    </cfRule>
    <cfRule type="expression" dxfId="1502" priority="1372">
      <formula>$D9="T4 - Debt / Home"</formula>
    </cfRule>
    <cfRule type="expression" dxfId="1501" priority="1373">
      <formula>$D9="T3 - Correct Cash"</formula>
    </cfRule>
    <cfRule type="expression" dxfId="1500" priority="1374">
      <formula>$D9="T2 - Revised"</formula>
    </cfRule>
    <cfRule type="expression" dxfId="1499" priority="1375">
      <formula>$D9="T1 - Follow Up"</formula>
    </cfRule>
    <cfRule type="expression" dxfId="1498" priority="1376">
      <formula>$D9="APP - LOCKED!"</formula>
    </cfRule>
    <cfRule type="expression" dxfId="1497" priority="1377">
      <formula>$D9="LOCKED!"</formula>
    </cfRule>
    <cfRule type="expression" dxfId="1496" priority="1378">
      <formula>$D9="APP - Pitched &gt; Follow Up!"</formula>
    </cfRule>
    <cfRule type="expression" dxfId="1495" priority="1379">
      <formula>$D9="Pitched &gt; FOLLOW UP!"</formula>
    </cfRule>
    <cfRule type="expression" dxfId="1494" priority="1380">
      <formula>$D9="APP - Application Taken"</formula>
    </cfRule>
    <cfRule type="expression" dxfId="1493" priority="1381">
      <formula>$D9="AL - HOT!"</formula>
    </cfRule>
    <cfRule type="expression" dxfId="1492" priority="1382">
      <formula>$D9="AL - Responded"</formula>
    </cfRule>
    <cfRule type="expression" dxfId="1491" priority="1383">
      <formula>$D9="Prospect - Appt Scheduled"</formula>
    </cfRule>
    <cfRule type="expression" dxfId="1490" priority="1384">
      <formula>$D9="Appt Scheduled"</formula>
    </cfRule>
    <cfRule type="expression" dxfId="1489" priority="1385">
      <formula>$D9="Prospect - Follow Up"</formula>
    </cfRule>
    <cfRule type="expression" dxfId="1488" priority="1386">
      <formula>$D9="Prospect - HOT!"</formula>
    </cfRule>
    <cfRule type="expression" dxfId="1487" priority="1387">
      <formula>$D9="Prospect - Warm"</formula>
    </cfRule>
  </conditionalFormatting>
  <conditionalFormatting sqref="D9:G9 I9:J9">
    <cfRule type="expression" dxfId="1486" priority="1318">
      <formula>$D9="Potential Cancel"</formula>
    </cfRule>
    <cfRule type="expression" dxfId="1485" priority="1319">
      <formula>$D9="Suspended-Restructure"</formula>
    </cfRule>
    <cfRule type="expression" dxfId="1484" priority="1320">
      <formula>$D9="Clear to Close"</formula>
    </cfRule>
    <cfRule type="expression" dxfId="1483" priority="1321">
      <formula>$D9="Submitted to Underwriting"</formula>
    </cfRule>
  </conditionalFormatting>
  <conditionalFormatting sqref="D10:G10 I10:J10">
    <cfRule type="expression" dxfId="1482" priority="1252">
      <formula>$D10="Cancel-Decline"</formula>
    </cfRule>
    <cfRule type="expression" dxfId="1481" priority="1253">
      <formula>$D10="Funded"</formula>
    </cfRule>
    <cfRule type="expression" dxfId="1480" priority="1254">
      <formula>$D10="0 - MessageError!"</formula>
    </cfRule>
    <cfRule type="expression" dxfId="1479" priority="1255">
      <formula>$D10="9- Changed Mind"</formula>
    </cfRule>
    <cfRule type="expression" dxfId="1478" priority="1256">
      <formula>$D10="8- Home Values"</formula>
    </cfRule>
    <cfRule type="expression" dxfId="1477" priority="1257">
      <formula>$D10="7- Market Drop"</formula>
    </cfRule>
    <cfRule type="expression" dxfId="1476" priority="1258">
      <formula>$D10="6- Another Lender"</formula>
    </cfRule>
    <cfRule type="expression" dxfId="1475" priority="1259">
      <formula>$D10="5- ChangedMind?"</formula>
    </cfRule>
    <cfRule type="expression" dxfId="1474" priority="1260">
      <formula>$D10="4- Don'tQualify"</formula>
    </cfRule>
    <cfRule type="expression" dxfId="1473" priority="1261">
      <formula>$D10="3- CashOut"</formula>
    </cfRule>
    <cfRule type="expression" dxfId="1472" priority="1262">
      <formula>$D10="2- RevisedQuote"</formula>
    </cfRule>
    <cfRule type="expression" dxfId="1471" priority="1263">
      <formula>$D10="1- FollowUp"</formula>
    </cfRule>
    <cfRule type="expression" dxfId="1470" priority="1264" stopIfTrue="1">
      <formula>$D10="Responded"</formula>
    </cfRule>
    <cfRule type="expression" dxfId="1469" priority="1265">
      <formula>$D10="Locked!"</formula>
    </cfRule>
    <cfRule type="expression" dxfId="1468" priority="1266">
      <formula>$D10="E-signed!"</formula>
    </cfRule>
    <cfRule type="expression" dxfId="1467" priority="1267">
      <formula>$D10="Docs Received!"</formula>
    </cfRule>
    <cfRule type="expression" dxfId="1466" priority="1268">
      <formula>$D10="Disclosures Going Out..."</formula>
    </cfRule>
    <cfRule type="expression" dxfId="1465" priority="1269">
      <formula>$D10="Disclosures Sent!"</formula>
    </cfRule>
    <cfRule type="expression" dxfId="1464" priority="1270">
      <formula>$D10="FIGURE - Link Sent!"</formula>
    </cfRule>
    <cfRule type="expression" dxfId="1463" priority="1271">
      <formula>$D10="Hard Money Opportunity"</formula>
    </cfRule>
    <cfRule type="expression" dxfId="1462" priority="1272">
      <formula>$D10="Communicating..."</formula>
    </cfRule>
    <cfRule type="expression" dxfId="1461" priority="1273">
      <formula>$D10="Not Interested"</formula>
    </cfRule>
    <cfRule type="expression" dxfId="1460" priority="1274">
      <formula>$D10="APP - Pitched &gt; Follow up"</formula>
    </cfRule>
    <cfRule type="expression" dxfId="1459" priority="1275">
      <formula>$D10="Appt Scheduled"</formula>
    </cfRule>
    <cfRule type="expression" dxfId="1458" priority="1276">
      <formula>$D10="Reverse Mortgage Opportunity"</formula>
    </cfRule>
    <cfRule type="expression" dxfId="1457" priority="1277">
      <formula>$D10="Purchase"</formula>
    </cfRule>
    <cfRule type="expression" dxfId="1456" priority="1278">
      <formula>$D10="Verified Approval Letter"</formula>
    </cfRule>
    <cfRule type="expression" dxfId="1455" priority="1279">
      <formula>$D10="*Thinking about it*"</formula>
    </cfRule>
    <cfRule type="expression" dxfId="1454" priority="1280">
      <formula>$D10="DNQ"</formula>
    </cfRule>
    <cfRule type="expression" dxfId="1453" priority="1281">
      <formula>$D10="Commercial/Business Loan"</formula>
    </cfRule>
    <cfRule type="expression" dxfId="1452" priority="1282">
      <formula>$D10="Credit - Wayfinder"</formula>
    </cfRule>
    <cfRule type="expression" dxfId="1451" priority="1283">
      <formula>$D10="Match or Beat"</formula>
    </cfRule>
    <cfRule type="expression" dxfId="1450" priority="1284">
      <formula>$D10="Future Deal"</formula>
    </cfRule>
    <cfRule type="expression" dxfId="1449" priority="1285">
      <formula>$D10="Prospect -Email Sent"</formula>
    </cfRule>
    <cfRule type="expression" dxfId="1448" priority="1286">
      <formula>$D10="STOP!"</formula>
    </cfRule>
    <cfRule type="expression" dxfId="1447" priority="1287">
      <formula>$D10="No Benefit"</formula>
    </cfRule>
    <cfRule type="expression" dxfId="1446" priority="1288">
      <formula>$D10="Went With Another Lender"</formula>
    </cfRule>
    <cfRule type="expression" dxfId="1445" priority="1289">
      <formula>$D10="Called 3x"</formula>
    </cfRule>
    <cfRule type="expression" dxfId="1444" priority="1290">
      <formula>$D10="Called 2x"</formula>
    </cfRule>
    <cfRule type="expression" dxfId="1443" priority="1291">
      <formula>$D10="T15 - MessageError!"</formula>
    </cfRule>
    <cfRule type="expression" dxfId="1442" priority="1292">
      <formula>$D10="T14 - Right Person?"</formula>
    </cfRule>
    <cfRule type="expression" dxfId="1441" priority="1293">
      <formula>$D10="T13 - Email"</formula>
    </cfRule>
    <cfRule type="expression" dxfId="1440" priority="1294">
      <formula>$D10="T12 - Blown Up"</formula>
    </cfRule>
    <cfRule type="expression" dxfId="1439" priority="1295">
      <formula>$D10="T11 - More Time?"</formula>
    </cfRule>
    <cfRule type="expression" dxfId="1438" priority="1296">
      <formula>$D10="T10 - Really Busy"</formula>
    </cfRule>
    <cfRule type="expression" dxfId="1437" priority="1297">
      <formula>$D10="T9 - Majority of Clients"</formula>
    </cfRule>
    <cfRule type="expression" dxfId="1436" priority="1298">
      <formula>$D10="T8 - STOP Contact"</formula>
    </cfRule>
    <cfRule type="expression" dxfId="1435" priority="1299">
      <formula>$D10="T7 - Another Lender"</formula>
    </cfRule>
    <cfRule type="expression" dxfId="1434" priority="1300">
      <formula>$D10="T6 - Don’t Qualify?"</formula>
    </cfRule>
    <cfRule type="expression" dxfId="1433" priority="1301">
      <formula>$D10="T5 - Debt Consolidation"</formula>
    </cfRule>
    <cfRule type="expression" dxfId="1432" priority="1302">
      <formula>$D10="T4 - Debt / Home"</formula>
    </cfRule>
    <cfRule type="expression" dxfId="1431" priority="1303">
      <formula>$D10="T3 - Correct Cash"</formula>
    </cfRule>
    <cfRule type="expression" dxfId="1430" priority="1304">
      <formula>$D10="T2 - Revised"</formula>
    </cfRule>
    <cfRule type="expression" dxfId="1429" priority="1305">
      <formula>$D10="T1 - Follow Up"</formula>
    </cfRule>
    <cfRule type="expression" dxfId="1428" priority="1306">
      <formula>$D10="APP - LOCKED!"</formula>
    </cfRule>
    <cfRule type="expression" dxfId="1427" priority="1307">
      <formula>$D10="LOCKED!"</formula>
    </cfRule>
    <cfRule type="expression" dxfId="1426" priority="1308">
      <formula>$D10="APP - Pitched &gt; Follow Up!"</formula>
    </cfRule>
    <cfRule type="expression" dxfId="1425" priority="1309">
      <formula>$D10="Pitched &gt; FOLLOW UP!"</formula>
    </cfRule>
    <cfRule type="expression" dxfId="1424" priority="1310">
      <formula>$D10="APP - Application Taken"</formula>
    </cfRule>
    <cfRule type="expression" dxfId="1423" priority="1311">
      <formula>$D10="AL - HOT!"</formula>
    </cfRule>
    <cfRule type="expression" dxfId="1422" priority="1312">
      <formula>$D10="AL - Responded"</formula>
    </cfRule>
    <cfRule type="expression" dxfId="1421" priority="1313">
      <formula>$D10="Prospect - Appt Scheduled"</formula>
    </cfRule>
    <cfRule type="expression" dxfId="1420" priority="1314">
      <formula>$D10="Appt Scheduled"</formula>
    </cfRule>
    <cfRule type="expression" dxfId="1419" priority="1315">
      <formula>$D10="Prospect - Follow Up"</formula>
    </cfRule>
    <cfRule type="expression" dxfId="1418" priority="1316">
      <formula>$D10="Prospect - HOT!"</formula>
    </cfRule>
    <cfRule type="expression" dxfId="1417" priority="1317">
      <formula>$D10="Prospect - Warm"</formula>
    </cfRule>
  </conditionalFormatting>
  <conditionalFormatting sqref="D10:G10 I10:J10">
    <cfRule type="expression" dxfId="1416" priority="1248">
      <formula>$D10="Potential Cancel"</formula>
    </cfRule>
    <cfRule type="expression" dxfId="1415" priority="1249">
      <formula>$D10="Suspended-Restructure"</formula>
    </cfRule>
    <cfRule type="expression" dxfId="1414" priority="1250">
      <formula>$D10="Clear to Close"</formula>
    </cfRule>
    <cfRule type="expression" dxfId="1413" priority="1251">
      <formula>$D10="Submitted to Underwriting"</formula>
    </cfRule>
  </conditionalFormatting>
  <conditionalFormatting sqref="D11:G11 I11:J11">
    <cfRule type="expression" dxfId="1412" priority="1182">
      <formula>$D11="Cancel-Decline"</formula>
    </cfRule>
    <cfRule type="expression" dxfId="1411" priority="1183">
      <formula>$D11="Funded"</formula>
    </cfRule>
    <cfRule type="expression" dxfId="1410" priority="1184">
      <formula>$D11="0 - MessageError!"</formula>
    </cfRule>
    <cfRule type="expression" dxfId="1409" priority="1185">
      <formula>$D11="9- Changed Mind"</formula>
    </cfRule>
    <cfRule type="expression" dxfId="1408" priority="1186">
      <formula>$D11="8- Home Values"</formula>
    </cfRule>
    <cfRule type="expression" dxfId="1407" priority="1187">
      <formula>$D11="7- Market Drop"</formula>
    </cfRule>
    <cfRule type="expression" dxfId="1406" priority="1188">
      <formula>$D11="6- Another Lender"</formula>
    </cfRule>
    <cfRule type="expression" dxfId="1405" priority="1189">
      <formula>$D11="5- ChangedMind?"</formula>
    </cfRule>
    <cfRule type="expression" dxfId="1404" priority="1190">
      <formula>$D11="4- Don'tQualify"</formula>
    </cfRule>
    <cfRule type="expression" dxfId="1403" priority="1191">
      <formula>$D11="3- CashOut"</formula>
    </cfRule>
    <cfRule type="expression" dxfId="1402" priority="1192">
      <formula>$D11="2- RevisedQuote"</formula>
    </cfRule>
    <cfRule type="expression" dxfId="1401" priority="1193">
      <formula>$D11="1- FollowUp"</formula>
    </cfRule>
    <cfRule type="expression" dxfId="1400" priority="1194" stopIfTrue="1">
      <formula>$D11="Responded"</formula>
    </cfRule>
    <cfRule type="expression" dxfId="1399" priority="1195">
      <formula>$D11="Locked!"</formula>
    </cfRule>
    <cfRule type="expression" dxfId="1398" priority="1196">
      <formula>$D11="E-signed!"</formula>
    </cfRule>
    <cfRule type="expression" dxfId="1397" priority="1197">
      <formula>$D11="Docs Received!"</formula>
    </cfRule>
    <cfRule type="expression" dxfId="1396" priority="1198">
      <formula>$D11="Disclosures Going Out..."</formula>
    </cfRule>
    <cfRule type="expression" dxfId="1395" priority="1199">
      <formula>$D11="Disclosures Sent!"</formula>
    </cfRule>
    <cfRule type="expression" dxfId="1394" priority="1200">
      <formula>$D11="FIGURE - Link Sent!"</formula>
    </cfRule>
    <cfRule type="expression" dxfId="1393" priority="1201">
      <formula>$D11="Hard Money Opportunity"</formula>
    </cfRule>
    <cfRule type="expression" dxfId="1392" priority="1202">
      <formula>$D11="Communicating..."</formula>
    </cfRule>
    <cfRule type="expression" dxfId="1391" priority="1203">
      <formula>$D11="Not Interested"</formula>
    </cfRule>
    <cfRule type="expression" dxfId="1390" priority="1204">
      <formula>$D11="APP - Pitched &gt; Follow up"</formula>
    </cfRule>
    <cfRule type="expression" dxfId="1389" priority="1205">
      <formula>$D11="Appt Scheduled"</formula>
    </cfRule>
    <cfRule type="expression" dxfId="1388" priority="1206">
      <formula>$D11="Reverse Mortgage Opportunity"</formula>
    </cfRule>
    <cfRule type="expression" dxfId="1387" priority="1207">
      <formula>$D11="Purchase"</formula>
    </cfRule>
    <cfRule type="expression" dxfId="1386" priority="1208">
      <formula>$D11="Verified Approval Letter"</formula>
    </cfRule>
    <cfRule type="expression" dxfId="1385" priority="1209">
      <formula>$D11="*Thinking about it*"</formula>
    </cfRule>
    <cfRule type="expression" dxfId="1384" priority="1210">
      <formula>$D11="DNQ"</formula>
    </cfRule>
    <cfRule type="expression" dxfId="1383" priority="1211">
      <formula>$D11="Commercial/Business Loan"</formula>
    </cfRule>
    <cfRule type="expression" dxfId="1382" priority="1212">
      <formula>$D11="Credit - Wayfinder"</formula>
    </cfRule>
    <cfRule type="expression" dxfId="1381" priority="1213">
      <formula>$D11="Match or Beat"</formula>
    </cfRule>
    <cfRule type="expression" dxfId="1380" priority="1214">
      <formula>$D11="Future Deal"</formula>
    </cfRule>
    <cfRule type="expression" dxfId="1379" priority="1215">
      <formula>$D11="Prospect -Email Sent"</formula>
    </cfRule>
    <cfRule type="expression" dxfId="1378" priority="1216">
      <formula>$D11="STOP!"</formula>
    </cfRule>
    <cfRule type="expression" dxfId="1377" priority="1217">
      <formula>$D11="No Benefit"</formula>
    </cfRule>
    <cfRule type="expression" dxfId="1376" priority="1218">
      <formula>$D11="Went With Another Lender"</formula>
    </cfRule>
    <cfRule type="expression" dxfId="1375" priority="1219">
      <formula>$D11="Called 3x"</formula>
    </cfRule>
    <cfRule type="expression" dxfId="1374" priority="1220">
      <formula>$D11="Called 2x"</formula>
    </cfRule>
    <cfRule type="expression" dxfId="1373" priority="1221">
      <formula>$D11="T15 - MessageError!"</formula>
    </cfRule>
    <cfRule type="expression" dxfId="1372" priority="1222">
      <formula>$D11="T14 - Right Person?"</formula>
    </cfRule>
    <cfRule type="expression" dxfId="1371" priority="1223">
      <formula>$D11="T13 - Email"</formula>
    </cfRule>
    <cfRule type="expression" dxfId="1370" priority="1224">
      <formula>$D11="T12 - Blown Up"</formula>
    </cfRule>
    <cfRule type="expression" dxfId="1369" priority="1225">
      <formula>$D11="T11 - More Time?"</formula>
    </cfRule>
    <cfRule type="expression" dxfId="1368" priority="1226">
      <formula>$D11="T10 - Really Busy"</formula>
    </cfRule>
    <cfRule type="expression" dxfId="1367" priority="1227">
      <formula>$D11="T9 - Majority of Clients"</formula>
    </cfRule>
    <cfRule type="expression" dxfId="1366" priority="1228">
      <formula>$D11="T8 - STOP Contact"</formula>
    </cfRule>
    <cfRule type="expression" dxfId="1365" priority="1229">
      <formula>$D11="T7 - Another Lender"</formula>
    </cfRule>
    <cfRule type="expression" dxfId="1364" priority="1230">
      <formula>$D11="T6 - Don’t Qualify?"</formula>
    </cfRule>
    <cfRule type="expression" dxfId="1363" priority="1231">
      <formula>$D11="T5 - Debt Consolidation"</formula>
    </cfRule>
    <cfRule type="expression" dxfId="1362" priority="1232">
      <formula>$D11="T4 - Debt / Home"</formula>
    </cfRule>
    <cfRule type="expression" dxfId="1361" priority="1233">
      <formula>$D11="T3 - Correct Cash"</formula>
    </cfRule>
    <cfRule type="expression" dxfId="1360" priority="1234">
      <formula>$D11="T2 - Revised"</formula>
    </cfRule>
    <cfRule type="expression" dxfId="1359" priority="1235">
      <formula>$D11="T1 - Follow Up"</formula>
    </cfRule>
    <cfRule type="expression" dxfId="1358" priority="1236">
      <formula>$D11="APP - LOCKED!"</formula>
    </cfRule>
    <cfRule type="expression" dxfId="1357" priority="1237">
      <formula>$D11="LOCKED!"</formula>
    </cfRule>
    <cfRule type="expression" dxfId="1356" priority="1238">
      <formula>$D11="APP - Pitched &gt; Follow Up!"</formula>
    </cfRule>
    <cfRule type="expression" dxfId="1355" priority="1239">
      <formula>$D11="Pitched &gt; FOLLOW UP!"</formula>
    </cfRule>
    <cfRule type="expression" dxfId="1354" priority="1240">
      <formula>$D11="APP - Application Taken"</formula>
    </cfRule>
    <cfRule type="expression" dxfId="1353" priority="1241">
      <formula>$D11="AL - HOT!"</formula>
    </cfRule>
    <cfRule type="expression" dxfId="1352" priority="1242">
      <formula>$D11="AL - Responded"</formula>
    </cfRule>
    <cfRule type="expression" dxfId="1351" priority="1243">
      <formula>$D11="Prospect - Appt Scheduled"</formula>
    </cfRule>
    <cfRule type="expression" dxfId="1350" priority="1244">
      <formula>$D11="Appt Scheduled"</formula>
    </cfRule>
    <cfRule type="expression" dxfId="1349" priority="1245">
      <formula>$D11="Prospect - Follow Up"</formula>
    </cfRule>
    <cfRule type="expression" dxfId="1348" priority="1246">
      <formula>$D11="Prospect - HOT!"</formula>
    </cfRule>
    <cfRule type="expression" dxfId="1347" priority="1247">
      <formula>$D11="Prospect - Warm"</formula>
    </cfRule>
  </conditionalFormatting>
  <conditionalFormatting sqref="D11:G11 I11:J11">
    <cfRule type="expression" dxfId="1346" priority="1178">
      <formula>$D11="Potential Cancel"</formula>
    </cfRule>
    <cfRule type="expression" dxfId="1345" priority="1179">
      <formula>$D11="Suspended-Restructure"</formula>
    </cfRule>
    <cfRule type="expression" dxfId="1344" priority="1180">
      <formula>$D11="Clear to Close"</formula>
    </cfRule>
    <cfRule type="expression" dxfId="1343" priority="1181">
      <formula>$D11="Submitted to Underwriting"</formula>
    </cfRule>
  </conditionalFormatting>
  <conditionalFormatting sqref="D12:G12 I12:J12">
    <cfRule type="expression" dxfId="1342" priority="1112">
      <formula>$D12="Cancel-Decline"</formula>
    </cfRule>
    <cfRule type="expression" dxfId="1341" priority="1113">
      <formula>$D12="Funded"</formula>
    </cfRule>
    <cfRule type="expression" dxfId="1340" priority="1114">
      <formula>$D12="0 - MessageError!"</formula>
    </cfRule>
    <cfRule type="expression" dxfId="1339" priority="1115">
      <formula>$D12="9- Changed Mind"</formula>
    </cfRule>
    <cfRule type="expression" dxfId="1338" priority="1116">
      <formula>$D12="8- Home Values"</formula>
    </cfRule>
    <cfRule type="expression" dxfId="1337" priority="1117">
      <formula>$D12="7- Market Drop"</formula>
    </cfRule>
    <cfRule type="expression" dxfId="1336" priority="1118">
      <formula>$D12="6- Another Lender"</formula>
    </cfRule>
    <cfRule type="expression" dxfId="1335" priority="1119">
      <formula>$D12="5- ChangedMind?"</formula>
    </cfRule>
    <cfRule type="expression" dxfId="1334" priority="1120">
      <formula>$D12="4- Don'tQualify"</formula>
    </cfRule>
    <cfRule type="expression" dxfId="1333" priority="1121">
      <formula>$D12="3- CashOut"</formula>
    </cfRule>
    <cfRule type="expression" dxfId="1332" priority="1122">
      <formula>$D12="2- RevisedQuote"</formula>
    </cfRule>
    <cfRule type="expression" dxfId="1331" priority="1123">
      <formula>$D12="1- FollowUp"</formula>
    </cfRule>
    <cfRule type="expression" dxfId="1330" priority="1124" stopIfTrue="1">
      <formula>$D12="Responded"</formula>
    </cfRule>
    <cfRule type="expression" dxfId="1329" priority="1125">
      <formula>$D12="Locked!"</formula>
    </cfRule>
    <cfRule type="expression" dxfId="1328" priority="1126">
      <formula>$D12="E-signed!"</formula>
    </cfRule>
    <cfRule type="expression" dxfId="1327" priority="1127">
      <formula>$D12="Docs Received!"</formula>
    </cfRule>
    <cfRule type="expression" dxfId="1326" priority="1128">
      <formula>$D12="Disclosures Going Out..."</formula>
    </cfRule>
    <cfRule type="expression" dxfId="1325" priority="1129">
      <formula>$D12="Disclosures Sent!"</formula>
    </cfRule>
    <cfRule type="expression" dxfId="1324" priority="1130">
      <formula>$D12="FIGURE - Link Sent!"</formula>
    </cfRule>
    <cfRule type="expression" dxfId="1323" priority="1131">
      <formula>$D12="Hard Money Opportunity"</formula>
    </cfRule>
    <cfRule type="expression" dxfId="1322" priority="1132">
      <formula>$D12="Communicating..."</formula>
    </cfRule>
    <cfRule type="expression" dxfId="1321" priority="1133">
      <formula>$D12="Not Interested"</formula>
    </cfRule>
    <cfRule type="expression" dxfId="1320" priority="1134">
      <formula>$D12="APP - Pitched &gt; Follow up"</formula>
    </cfRule>
    <cfRule type="expression" dxfId="1319" priority="1135">
      <formula>$D12="Appt Scheduled"</formula>
    </cfRule>
    <cfRule type="expression" dxfId="1318" priority="1136">
      <formula>$D12="Reverse Mortgage Opportunity"</formula>
    </cfRule>
    <cfRule type="expression" dxfId="1317" priority="1137">
      <formula>$D12="Purchase"</formula>
    </cfRule>
    <cfRule type="expression" dxfId="1316" priority="1138">
      <formula>$D12="Verified Approval Letter"</formula>
    </cfRule>
    <cfRule type="expression" dxfId="1315" priority="1139">
      <formula>$D12="*Thinking about it*"</formula>
    </cfRule>
    <cfRule type="expression" dxfId="1314" priority="1140">
      <formula>$D12="DNQ"</formula>
    </cfRule>
    <cfRule type="expression" dxfId="1313" priority="1141">
      <formula>$D12="Commercial/Business Loan"</formula>
    </cfRule>
    <cfRule type="expression" dxfId="1312" priority="1142">
      <formula>$D12="Credit - Wayfinder"</formula>
    </cfRule>
    <cfRule type="expression" dxfId="1311" priority="1143">
      <formula>$D12="Match or Beat"</formula>
    </cfRule>
    <cfRule type="expression" dxfId="1310" priority="1144">
      <formula>$D12="Future Deal"</formula>
    </cfRule>
    <cfRule type="expression" dxfId="1309" priority="1145">
      <formula>$D12="Prospect -Email Sent"</formula>
    </cfRule>
    <cfRule type="expression" dxfId="1308" priority="1146">
      <formula>$D12="STOP!"</formula>
    </cfRule>
    <cfRule type="expression" dxfId="1307" priority="1147">
      <formula>$D12="No Benefit"</formula>
    </cfRule>
    <cfRule type="expression" dxfId="1306" priority="1148">
      <formula>$D12="Went With Another Lender"</formula>
    </cfRule>
    <cfRule type="expression" dxfId="1305" priority="1149">
      <formula>$D12="Called 3x"</formula>
    </cfRule>
    <cfRule type="expression" dxfId="1304" priority="1150">
      <formula>$D12="Called 2x"</formula>
    </cfRule>
    <cfRule type="expression" dxfId="1303" priority="1151">
      <formula>$D12="T15 - MessageError!"</formula>
    </cfRule>
    <cfRule type="expression" dxfId="1302" priority="1152">
      <formula>$D12="T14 - Right Person?"</formula>
    </cfRule>
    <cfRule type="expression" dxfId="1301" priority="1153">
      <formula>$D12="T13 - Email"</formula>
    </cfRule>
    <cfRule type="expression" dxfId="1300" priority="1154">
      <formula>$D12="T12 - Blown Up"</formula>
    </cfRule>
    <cfRule type="expression" dxfId="1299" priority="1155">
      <formula>$D12="T11 - More Time?"</formula>
    </cfRule>
    <cfRule type="expression" dxfId="1298" priority="1156">
      <formula>$D12="T10 - Really Busy"</formula>
    </cfRule>
    <cfRule type="expression" dxfId="1297" priority="1157">
      <formula>$D12="T9 - Majority of Clients"</formula>
    </cfRule>
    <cfRule type="expression" dxfId="1296" priority="1158">
      <formula>$D12="T8 - STOP Contact"</formula>
    </cfRule>
    <cfRule type="expression" dxfId="1295" priority="1159">
      <formula>$D12="T7 - Another Lender"</formula>
    </cfRule>
    <cfRule type="expression" dxfId="1294" priority="1160">
      <formula>$D12="T6 - Don’t Qualify?"</formula>
    </cfRule>
    <cfRule type="expression" dxfId="1293" priority="1161">
      <formula>$D12="T5 - Debt Consolidation"</formula>
    </cfRule>
    <cfRule type="expression" dxfId="1292" priority="1162">
      <formula>$D12="T4 - Debt / Home"</formula>
    </cfRule>
    <cfRule type="expression" dxfId="1291" priority="1163">
      <formula>$D12="T3 - Correct Cash"</formula>
    </cfRule>
    <cfRule type="expression" dxfId="1290" priority="1164">
      <formula>$D12="T2 - Revised"</formula>
    </cfRule>
    <cfRule type="expression" dxfId="1289" priority="1165">
      <formula>$D12="T1 - Follow Up"</formula>
    </cfRule>
    <cfRule type="expression" dxfId="1288" priority="1166">
      <formula>$D12="APP - LOCKED!"</formula>
    </cfRule>
    <cfRule type="expression" dxfId="1287" priority="1167">
      <formula>$D12="LOCKED!"</formula>
    </cfRule>
    <cfRule type="expression" dxfId="1286" priority="1168">
      <formula>$D12="APP - Pitched &gt; Follow Up!"</formula>
    </cfRule>
    <cfRule type="expression" dxfId="1285" priority="1169">
      <formula>$D12="Pitched &gt; FOLLOW UP!"</formula>
    </cfRule>
    <cfRule type="expression" dxfId="1284" priority="1170">
      <formula>$D12="APP - Application Taken"</formula>
    </cfRule>
    <cfRule type="expression" dxfId="1283" priority="1171">
      <formula>$D12="AL - HOT!"</formula>
    </cfRule>
    <cfRule type="expression" dxfId="1282" priority="1172">
      <formula>$D12="AL - Responded"</formula>
    </cfRule>
    <cfRule type="expression" dxfId="1281" priority="1173">
      <formula>$D12="Prospect - Appt Scheduled"</formula>
    </cfRule>
    <cfRule type="expression" dxfId="1280" priority="1174">
      <formula>$D12="Appt Scheduled"</formula>
    </cfRule>
    <cfRule type="expression" dxfId="1279" priority="1175">
      <formula>$D12="Prospect - Follow Up"</formula>
    </cfRule>
    <cfRule type="expression" dxfId="1278" priority="1176">
      <formula>$D12="Prospect - HOT!"</formula>
    </cfRule>
    <cfRule type="expression" dxfId="1277" priority="1177">
      <formula>$D12="Prospect - Warm"</formula>
    </cfRule>
  </conditionalFormatting>
  <conditionalFormatting sqref="D12:G12 I12:J12">
    <cfRule type="expression" dxfId="1276" priority="1108">
      <formula>$D12="Potential Cancel"</formula>
    </cfRule>
    <cfRule type="expression" dxfId="1275" priority="1109">
      <formula>$D12="Suspended-Restructure"</formula>
    </cfRule>
    <cfRule type="expression" dxfId="1274" priority="1110">
      <formula>$D12="Clear to Close"</formula>
    </cfRule>
    <cfRule type="expression" dxfId="1273" priority="1111">
      <formula>$D12="Submitted to Underwriting"</formula>
    </cfRule>
  </conditionalFormatting>
  <conditionalFormatting sqref="D13:G13 I13:J13">
    <cfRule type="expression" dxfId="1272" priority="1042">
      <formula>$D13="Cancel-Decline"</formula>
    </cfRule>
    <cfRule type="expression" dxfId="1271" priority="1043">
      <formula>$D13="Funded"</formula>
    </cfRule>
    <cfRule type="expression" dxfId="1270" priority="1044">
      <formula>$D13="0 - MessageError!"</formula>
    </cfRule>
    <cfRule type="expression" dxfId="1269" priority="1045">
      <formula>$D13="9- Changed Mind"</formula>
    </cfRule>
    <cfRule type="expression" dxfId="1268" priority="1046">
      <formula>$D13="8- Home Values"</formula>
    </cfRule>
    <cfRule type="expression" dxfId="1267" priority="1047">
      <formula>$D13="7- Market Drop"</formula>
    </cfRule>
    <cfRule type="expression" dxfId="1266" priority="1048">
      <formula>$D13="6- Another Lender"</formula>
    </cfRule>
    <cfRule type="expression" dxfId="1265" priority="1049">
      <formula>$D13="5- ChangedMind?"</formula>
    </cfRule>
    <cfRule type="expression" dxfId="1264" priority="1050">
      <formula>$D13="4- Don'tQualify"</formula>
    </cfRule>
    <cfRule type="expression" dxfId="1263" priority="1051">
      <formula>$D13="3- CashOut"</formula>
    </cfRule>
    <cfRule type="expression" dxfId="1262" priority="1052">
      <formula>$D13="2- RevisedQuote"</formula>
    </cfRule>
    <cfRule type="expression" dxfId="1261" priority="1053">
      <formula>$D13="1- FollowUp"</formula>
    </cfRule>
    <cfRule type="expression" dxfId="1260" priority="1054" stopIfTrue="1">
      <formula>$D13="Responded"</formula>
    </cfRule>
    <cfRule type="expression" dxfId="1259" priority="1055">
      <formula>$D13="Locked!"</formula>
    </cfRule>
    <cfRule type="expression" dxfId="1258" priority="1056">
      <formula>$D13="E-signed!"</formula>
    </cfRule>
    <cfRule type="expression" dxfId="1257" priority="1057">
      <formula>$D13="Docs Received!"</formula>
    </cfRule>
    <cfRule type="expression" dxfId="1256" priority="1058">
      <formula>$D13="Disclosures Going Out..."</formula>
    </cfRule>
    <cfRule type="expression" dxfId="1255" priority="1059">
      <formula>$D13="Disclosures Sent!"</formula>
    </cfRule>
    <cfRule type="expression" dxfId="1254" priority="1060">
      <formula>$D13="FIGURE - Link Sent!"</formula>
    </cfRule>
    <cfRule type="expression" dxfId="1253" priority="1061">
      <formula>$D13="Hard Money Opportunity"</formula>
    </cfRule>
    <cfRule type="expression" dxfId="1252" priority="1062">
      <formula>$D13="Communicating..."</formula>
    </cfRule>
    <cfRule type="expression" dxfId="1251" priority="1063">
      <formula>$D13="Not Interested"</formula>
    </cfRule>
    <cfRule type="expression" dxfId="1250" priority="1064">
      <formula>$D13="APP - Pitched &gt; Follow up"</formula>
    </cfRule>
    <cfRule type="expression" dxfId="1249" priority="1065">
      <formula>$D13="Appt Scheduled"</formula>
    </cfRule>
    <cfRule type="expression" dxfId="1248" priority="1066">
      <formula>$D13="Reverse Mortgage Opportunity"</formula>
    </cfRule>
    <cfRule type="expression" dxfId="1247" priority="1067">
      <formula>$D13="Purchase"</formula>
    </cfRule>
    <cfRule type="expression" dxfId="1246" priority="1068">
      <formula>$D13="Verified Approval Letter"</formula>
    </cfRule>
    <cfRule type="expression" dxfId="1245" priority="1069">
      <formula>$D13="*Thinking about it*"</formula>
    </cfRule>
    <cfRule type="expression" dxfId="1244" priority="1070">
      <formula>$D13="DNQ"</formula>
    </cfRule>
    <cfRule type="expression" dxfId="1243" priority="1071">
      <formula>$D13="Commercial/Business Loan"</formula>
    </cfRule>
    <cfRule type="expression" dxfId="1242" priority="1072">
      <formula>$D13="Credit - Wayfinder"</formula>
    </cfRule>
    <cfRule type="expression" dxfId="1241" priority="1073">
      <formula>$D13="Match or Beat"</formula>
    </cfRule>
    <cfRule type="expression" dxfId="1240" priority="1074">
      <formula>$D13="Future Deal"</formula>
    </cfRule>
    <cfRule type="expression" dxfId="1239" priority="1075">
      <formula>$D13="Prospect -Email Sent"</formula>
    </cfRule>
    <cfRule type="expression" dxfId="1238" priority="1076">
      <formula>$D13="STOP!"</formula>
    </cfRule>
    <cfRule type="expression" dxfId="1237" priority="1077">
      <formula>$D13="No Benefit"</formula>
    </cfRule>
    <cfRule type="expression" dxfId="1236" priority="1078">
      <formula>$D13="Went With Another Lender"</formula>
    </cfRule>
    <cfRule type="expression" dxfId="1235" priority="1079">
      <formula>$D13="Called 3x"</formula>
    </cfRule>
    <cfRule type="expression" dxfId="1234" priority="1080">
      <formula>$D13="Called 2x"</formula>
    </cfRule>
    <cfRule type="expression" dxfId="1233" priority="1081">
      <formula>$D13="T15 - MessageError!"</formula>
    </cfRule>
    <cfRule type="expression" dxfId="1232" priority="1082">
      <formula>$D13="T14 - Right Person?"</formula>
    </cfRule>
    <cfRule type="expression" dxfId="1231" priority="1083">
      <formula>$D13="T13 - Email"</formula>
    </cfRule>
    <cfRule type="expression" dxfId="1230" priority="1084">
      <formula>$D13="T12 - Blown Up"</formula>
    </cfRule>
    <cfRule type="expression" dxfId="1229" priority="1085">
      <formula>$D13="T11 - More Time?"</formula>
    </cfRule>
    <cfRule type="expression" dxfId="1228" priority="1086">
      <formula>$D13="T10 - Really Busy"</formula>
    </cfRule>
    <cfRule type="expression" dxfId="1227" priority="1087">
      <formula>$D13="T9 - Majority of Clients"</formula>
    </cfRule>
    <cfRule type="expression" dxfId="1226" priority="1088">
      <formula>$D13="T8 - STOP Contact"</formula>
    </cfRule>
    <cfRule type="expression" dxfId="1225" priority="1089">
      <formula>$D13="T7 - Another Lender"</formula>
    </cfRule>
    <cfRule type="expression" dxfId="1224" priority="1090">
      <formula>$D13="T6 - Don’t Qualify?"</formula>
    </cfRule>
    <cfRule type="expression" dxfId="1223" priority="1091">
      <formula>$D13="T5 - Debt Consolidation"</formula>
    </cfRule>
    <cfRule type="expression" dxfId="1222" priority="1092">
      <formula>$D13="T4 - Debt / Home"</formula>
    </cfRule>
    <cfRule type="expression" dxfId="1221" priority="1093">
      <formula>$D13="T3 - Correct Cash"</formula>
    </cfRule>
    <cfRule type="expression" dxfId="1220" priority="1094">
      <formula>$D13="T2 - Revised"</formula>
    </cfRule>
    <cfRule type="expression" dxfId="1219" priority="1095">
      <formula>$D13="T1 - Follow Up"</formula>
    </cfRule>
    <cfRule type="expression" dxfId="1218" priority="1096">
      <formula>$D13="APP - LOCKED!"</formula>
    </cfRule>
    <cfRule type="expression" dxfId="1217" priority="1097">
      <formula>$D13="LOCKED!"</formula>
    </cfRule>
    <cfRule type="expression" dxfId="1216" priority="1098">
      <formula>$D13="APP - Pitched &gt; Follow Up!"</formula>
    </cfRule>
    <cfRule type="expression" dxfId="1215" priority="1099">
      <formula>$D13="Pitched &gt; FOLLOW UP!"</formula>
    </cfRule>
    <cfRule type="expression" dxfId="1214" priority="1100">
      <formula>$D13="APP - Application Taken"</formula>
    </cfRule>
    <cfRule type="expression" dxfId="1213" priority="1101">
      <formula>$D13="AL - HOT!"</formula>
    </cfRule>
    <cfRule type="expression" dxfId="1212" priority="1102">
      <formula>$D13="AL - Responded"</formula>
    </cfRule>
    <cfRule type="expression" dxfId="1211" priority="1103">
      <formula>$D13="Prospect - Appt Scheduled"</formula>
    </cfRule>
    <cfRule type="expression" dxfId="1210" priority="1104">
      <formula>$D13="Appt Scheduled"</formula>
    </cfRule>
    <cfRule type="expression" dxfId="1209" priority="1105">
      <formula>$D13="Prospect - Follow Up"</formula>
    </cfRule>
    <cfRule type="expression" dxfId="1208" priority="1106">
      <formula>$D13="Prospect - HOT!"</formula>
    </cfRule>
    <cfRule type="expression" dxfId="1207" priority="1107">
      <formula>$D13="Prospect - Warm"</formula>
    </cfRule>
  </conditionalFormatting>
  <conditionalFormatting sqref="D13:G13 I13:J13">
    <cfRule type="expression" dxfId="1206" priority="1038">
      <formula>$D13="Potential Cancel"</formula>
    </cfRule>
    <cfRule type="expression" dxfId="1205" priority="1039">
      <formula>$D13="Suspended-Restructure"</formula>
    </cfRule>
    <cfRule type="expression" dxfId="1204" priority="1040">
      <formula>$D13="Clear to Close"</formula>
    </cfRule>
    <cfRule type="expression" dxfId="1203" priority="1041">
      <formula>$D13="Submitted to Underwriting"</formula>
    </cfRule>
  </conditionalFormatting>
  <conditionalFormatting sqref="D14:J14">
    <cfRule type="expression" dxfId="1202" priority="972">
      <formula>$D14="Cancel-Decline"</formula>
    </cfRule>
    <cfRule type="expression" dxfId="1201" priority="973">
      <formula>$D14="Funded"</formula>
    </cfRule>
    <cfRule type="expression" dxfId="1200" priority="974">
      <formula>$D14="0 - MessageError!"</formula>
    </cfRule>
    <cfRule type="expression" dxfId="1199" priority="975">
      <formula>$D14="9- Changed Mind"</formula>
    </cfRule>
    <cfRule type="expression" dxfId="1198" priority="976">
      <formula>$D14="8- Home Values"</formula>
    </cfRule>
    <cfRule type="expression" dxfId="1197" priority="977">
      <formula>$D14="7- Market Drop"</formula>
    </cfRule>
    <cfRule type="expression" dxfId="1196" priority="978">
      <formula>$D14="6- Another Lender"</formula>
    </cfRule>
    <cfRule type="expression" dxfId="1195" priority="979">
      <formula>$D14="5- ChangedMind?"</formula>
    </cfRule>
    <cfRule type="expression" dxfId="1194" priority="980">
      <formula>$D14="4- Don'tQualify"</formula>
    </cfRule>
    <cfRule type="expression" dxfId="1193" priority="981">
      <formula>$D14="3- CashOut"</formula>
    </cfRule>
    <cfRule type="expression" dxfId="1192" priority="982">
      <formula>$D14="2- RevisedQuote"</formula>
    </cfRule>
    <cfRule type="expression" dxfId="1191" priority="983">
      <formula>$D14="1- FollowUp"</formula>
    </cfRule>
    <cfRule type="expression" dxfId="1190" priority="984" stopIfTrue="1">
      <formula>$D14="Responded"</formula>
    </cfRule>
    <cfRule type="expression" dxfId="1189" priority="985">
      <formula>$D14="Locked!"</formula>
    </cfRule>
    <cfRule type="expression" dxfId="1188" priority="986">
      <formula>$D14="E-signed!"</formula>
    </cfRule>
    <cfRule type="expression" dxfId="1187" priority="987">
      <formula>$D14="Docs Received!"</formula>
    </cfRule>
    <cfRule type="expression" dxfId="1186" priority="988">
      <formula>$D14="Disclosures Going Out..."</formula>
    </cfRule>
    <cfRule type="expression" dxfId="1185" priority="989">
      <formula>$D14="Disclosures Sent!"</formula>
    </cfRule>
    <cfRule type="expression" dxfId="1184" priority="990">
      <formula>$D14="FIGURE - Link Sent!"</formula>
    </cfRule>
    <cfRule type="expression" dxfId="1183" priority="991">
      <formula>$D14="Hard Money Opportunity"</formula>
    </cfRule>
    <cfRule type="expression" dxfId="1182" priority="992">
      <formula>$D14="Communicating..."</formula>
    </cfRule>
    <cfRule type="expression" dxfId="1181" priority="993">
      <formula>$D14="Not Interested"</formula>
    </cfRule>
    <cfRule type="expression" dxfId="1180" priority="994">
      <formula>$D14="APP - Pitched &gt; Follow up"</formula>
    </cfRule>
    <cfRule type="expression" dxfId="1179" priority="995">
      <formula>$D14="Appt Scheduled"</formula>
    </cfRule>
    <cfRule type="expression" dxfId="1178" priority="996">
      <formula>$D14="Reverse Mortgage Opportunity"</formula>
    </cfRule>
    <cfRule type="expression" dxfId="1177" priority="997">
      <formula>$D14="Purchase"</formula>
    </cfRule>
    <cfRule type="expression" dxfId="1176" priority="998">
      <formula>$D14="Verified Approval Letter"</formula>
    </cfRule>
    <cfRule type="expression" dxfId="1175" priority="999">
      <formula>$D14="*Thinking about it*"</formula>
    </cfRule>
    <cfRule type="expression" dxfId="1174" priority="1000">
      <formula>$D14="DNQ"</formula>
    </cfRule>
    <cfRule type="expression" dxfId="1173" priority="1001">
      <formula>$D14="Commercial/Business Loan"</formula>
    </cfRule>
    <cfRule type="expression" dxfId="1172" priority="1002">
      <formula>$D14="Credit - Wayfinder"</formula>
    </cfRule>
    <cfRule type="expression" dxfId="1171" priority="1003">
      <formula>$D14="Match or Beat"</formula>
    </cfRule>
    <cfRule type="expression" dxfId="1170" priority="1004">
      <formula>$D14="Future Deal"</formula>
    </cfRule>
    <cfRule type="expression" dxfId="1169" priority="1005">
      <formula>$D14="Prospect -Email Sent"</formula>
    </cfRule>
    <cfRule type="expression" dxfId="1168" priority="1006">
      <formula>$D14="STOP!"</formula>
    </cfRule>
    <cfRule type="expression" dxfId="1167" priority="1007">
      <formula>$D14="No Benefit"</formula>
    </cfRule>
    <cfRule type="expression" dxfId="1166" priority="1008">
      <formula>$D14="Went With Another Lender"</formula>
    </cfRule>
    <cfRule type="expression" dxfId="1165" priority="1009">
      <formula>$D14="Called 3x"</formula>
    </cfRule>
    <cfRule type="expression" dxfId="1164" priority="1010">
      <formula>$D14="Called 2x"</formula>
    </cfRule>
    <cfRule type="expression" dxfId="1163" priority="1011">
      <formula>$D14="T15 - MessageError!"</formula>
    </cfRule>
    <cfRule type="expression" dxfId="1162" priority="1012">
      <formula>$D14="T14 - Right Person?"</formula>
    </cfRule>
    <cfRule type="expression" dxfId="1161" priority="1013">
      <formula>$D14="T13 - Email"</formula>
    </cfRule>
    <cfRule type="expression" dxfId="1160" priority="1014">
      <formula>$D14="T12 - Blown Up"</formula>
    </cfRule>
    <cfRule type="expression" dxfId="1159" priority="1015">
      <formula>$D14="T11 - More Time?"</formula>
    </cfRule>
    <cfRule type="expression" dxfId="1158" priority="1016">
      <formula>$D14="T10 - Really Busy"</formula>
    </cfRule>
    <cfRule type="expression" dxfId="1157" priority="1017">
      <formula>$D14="T9 - Majority of Clients"</formula>
    </cfRule>
    <cfRule type="expression" dxfId="1156" priority="1018">
      <formula>$D14="T8 - STOP Contact"</formula>
    </cfRule>
    <cfRule type="expression" dxfId="1155" priority="1019">
      <formula>$D14="T7 - Another Lender"</formula>
    </cfRule>
    <cfRule type="expression" dxfId="1154" priority="1020">
      <formula>$D14="T6 - Don’t Qualify?"</formula>
    </cfRule>
    <cfRule type="expression" dxfId="1153" priority="1021">
      <formula>$D14="T5 - Debt Consolidation"</formula>
    </cfRule>
    <cfRule type="expression" dxfId="1152" priority="1022">
      <formula>$D14="T4 - Debt / Home"</formula>
    </cfRule>
    <cfRule type="expression" dxfId="1151" priority="1023">
      <formula>$D14="T3 - Correct Cash"</formula>
    </cfRule>
    <cfRule type="expression" dxfId="1150" priority="1024">
      <formula>$D14="T2 - Revised"</formula>
    </cfRule>
    <cfRule type="expression" dxfId="1149" priority="1025">
      <formula>$D14="T1 - Follow Up"</formula>
    </cfRule>
    <cfRule type="expression" dxfId="1148" priority="1026">
      <formula>$D14="APP - LOCKED!"</formula>
    </cfRule>
    <cfRule type="expression" dxfId="1147" priority="1027">
      <formula>$D14="LOCKED!"</formula>
    </cfRule>
    <cfRule type="expression" dxfId="1146" priority="1028">
      <formula>$D14="APP - Pitched &gt; Follow Up!"</formula>
    </cfRule>
    <cfRule type="expression" dxfId="1145" priority="1029">
      <formula>$D14="Pitched &gt; FOLLOW UP!"</formula>
    </cfRule>
    <cfRule type="expression" dxfId="1144" priority="1030">
      <formula>$D14="APP - Application Taken"</formula>
    </cfRule>
    <cfRule type="expression" dxfId="1143" priority="1031">
      <formula>$D14="AL - HOT!"</formula>
    </cfRule>
    <cfRule type="expression" dxfId="1142" priority="1032">
      <formula>$D14="AL - Responded"</formula>
    </cfRule>
    <cfRule type="expression" dxfId="1141" priority="1033">
      <formula>$D14="Prospect - Appt Scheduled"</formula>
    </cfRule>
    <cfRule type="expression" dxfId="1140" priority="1034">
      <formula>$D14="Appt Scheduled"</formula>
    </cfRule>
    <cfRule type="expression" dxfId="1139" priority="1035">
      <formula>$D14="Prospect - Follow Up"</formula>
    </cfRule>
    <cfRule type="expression" dxfId="1138" priority="1036">
      <formula>$D14="Prospect - HOT!"</formula>
    </cfRule>
    <cfRule type="expression" dxfId="1137" priority="1037">
      <formula>$D14="Prospect - Warm"</formula>
    </cfRule>
  </conditionalFormatting>
  <conditionalFormatting sqref="D14:J14">
    <cfRule type="expression" dxfId="1136" priority="968">
      <formula>$D14="Potential Cancel"</formula>
    </cfRule>
    <cfRule type="expression" dxfId="1135" priority="969">
      <formula>$D14="Suspended-Restructure"</formula>
    </cfRule>
    <cfRule type="expression" dxfId="1134" priority="970">
      <formula>$D14="Clear to Close"</formula>
    </cfRule>
    <cfRule type="expression" dxfId="1133" priority="971">
      <formula>$D14="Submitted to Underwriting"</formula>
    </cfRule>
  </conditionalFormatting>
  <conditionalFormatting sqref="D15:J15">
    <cfRule type="expression" dxfId="1132" priority="832">
      <formula>$D15="Cancel-Decline"</formula>
    </cfRule>
    <cfRule type="expression" dxfId="1131" priority="833">
      <formula>$D15="Funded"</formula>
    </cfRule>
    <cfRule type="expression" dxfId="1130" priority="834">
      <formula>$D15="0 - MessageError!"</formula>
    </cfRule>
    <cfRule type="expression" dxfId="1129" priority="835">
      <formula>$D15="9- Changed Mind"</formula>
    </cfRule>
    <cfRule type="expression" dxfId="1128" priority="836">
      <formula>$D15="8- Home Values"</formula>
    </cfRule>
    <cfRule type="expression" dxfId="1127" priority="837">
      <formula>$D15="7- Market Drop"</formula>
    </cfRule>
    <cfRule type="expression" dxfId="1126" priority="838">
      <formula>$D15="6- Another Lender"</formula>
    </cfRule>
    <cfRule type="expression" dxfId="1125" priority="839">
      <formula>$D15="5- ChangedMind?"</formula>
    </cfRule>
    <cfRule type="expression" dxfId="1124" priority="840">
      <formula>$D15="4- Don'tQualify"</formula>
    </cfRule>
    <cfRule type="expression" dxfId="1123" priority="841">
      <formula>$D15="3- CashOut"</formula>
    </cfRule>
    <cfRule type="expression" dxfId="1122" priority="842">
      <formula>$D15="2- RevisedQuote"</formula>
    </cfRule>
    <cfRule type="expression" dxfId="1121" priority="843">
      <formula>$D15="1- FollowUp"</formula>
    </cfRule>
    <cfRule type="expression" dxfId="1120" priority="844" stopIfTrue="1">
      <formula>$D15="Responded"</formula>
    </cfRule>
    <cfRule type="expression" dxfId="1119" priority="845">
      <formula>$D15="Locked!"</formula>
    </cfRule>
    <cfRule type="expression" dxfId="1118" priority="846">
      <formula>$D15="E-signed!"</formula>
    </cfRule>
    <cfRule type="expression" dxfId="1117" priority="847">
      <formula>$D15="Docs Received!"</formula>
    </cfRule>
    <cfRule type="expression" dxfId="1116" priority="848">
      <formula>$D15="Disclosures Going Out..."</formula>
    </cfRule>
    <cfRule type="expression" dxfId="1115" priority="849">
      <formula>$D15="Disclosures Sent!"</formula>
    </cfRule>
    <cfRule type="expression" dxfId="1114" priority="850">
      <formula>$D15="FIGURE - Link Sent!"</formula>
    </cfRule>
    <cfRule type="expression" dxfId="1113" priority="851">
      <formula>$D15="Hard Money Opportunity"</formula>
    </cfRule>
    <cfRule type="expression" dxfId="1112" priority="852">
      <formula>$D15="Communicating..."</formula>
    </cfRule>
    <cfRule type="expression" dxfId="1111" priority="853">
      <formula>$D15="Not Interested"</formula>
    </cfRule>
    <cfRule type="expression" dxfId="1110" priority="854">
      <formula>$D15="APP - Pitched &gt; Follow up"</formula>
    </cfRule>
    <cfRule type="expression" dxfId="1109" priority="855">
      <formula>$D15="Appt Scheduled"</formula>
    </cfRule>
    <cfRule type="expression" dxfId="1108" priority="856">
      <formula>$D15="Reverse Mortgage Opportunity"</formula>
    </cfRule>
    <cfRule type="expression" dxfId="1107" priority="857">
      <formula>$D15="Purchase"</formula>
    </cfRule>
    <cfRule type="expression" dxfId="1106" priority="858">
      <formula>$D15="Verified Approval Letter"</formula>
    </cfRule>
    <cfRule type="expression" dxfId="1105" priority="859">
      <formula>$D15="*Thinking about it*"</formula>
    </cfRule>
    <cfRule type="expression" dxfId="1104" priority="860">
      <formula>$D15="DNQ"</formula>
    </cfRule>
    <cfRule type="expression" dxfId="1103" priority="861">
      <formula>$D15="Commercial/Business Loan"</formula>
    </cfRule>
    <cfRule type="expression" dxfId="1102" priority="862">
      <formula>$D15="Credit - Wayfinder"</formula>
    </cfRule>
    <cfRule type="expression" dxfId="1101" priority="863">
      <formula>$D15="Match or Beat"</formula>
    </cfRule>
    <cfRule type="expression" dxfId="1100" priority="864">
      <formula>$D15="Future Deal"</formula>
    </cfRule>
    <cfRule type="expression" dxfId="1099" priority="865">
      <formula>$D15="Prospect -Email Sent"</formula>
    </cfRule>
    <cfRule type="expression" dxfId="1098" priority="866">
      <formula>$D15="STOP!"</formula>
    </cfRule>
    <cfRule type="expression" dxfId="1097" priority="867">
      <formula>$D15="No Benefit"</formula>
    </cfRule>
    <cfRule type="expression" dxfId="1096" priority="868">
      <formula>$D15="Went With Another Lender"</formula>
    </cfRule>
    <cfRule type="expression" dxfId="1095" priority="869">
      <formula>$D15="Bad Number"</formula>
    </cfRule>
    <cfRule type="expression" dxfId="1094" priority="870">
      <formula>$D15="Called 2x"</formula>
    </cfRule>
    <cfRule type="expression" dxfId="1093" priority="871">
      <formula>$D15="T15 - MessageError!"</formula>
    </cfRule>
    <cfRule type="expression" dxfId="1092" priority="872">
      <formula>$D15="T14 - Right Person?"</formula>
    </cfRule>
    <cfRule type="expression" dxfId="1091" priority="873">
      <formula>$D15="T13 - Email"</formula>
    </cfRule>
    <cfRule type="expression" dxfId="1090" priority="874">
      <formula>$D15="T12 - Blown Up"</formula>
    </cfRule>
    <cfRule type="expression" dxfId="1089" priority="875">
      <formula>$D15="T11 - More Time?"</formula>
    </cfRule>
    <cfRule type="expression" dxfId="1088" priority="876">
      <formula>$D15="T10 - Really Busy"</formula>
    </cfRule>
    <cfRule type="expression" dxfId="1087" priority="877">
      <formula>$D15="T9 - Majority of Clients"</formula>
    </cfRule>
    <cfRule type="expression" dxfId="1086" priority="878">
      <formula>$D15="T8 - STOP Contact"</formula>
    </cfRule>
    <cfRule type="expression" dxfId="1085" priority="879">
      <formula>$D15="T7 - Another Lender"</formula>
    </cfRule>
    <cfRule type="expression" dxfId="1084" priority="880">
      <formula>$D15="T6 - Don’t Qualify?"</formula>
    </cfRule>
    <cfRule type="expression" dxfId="1083" priority="881">
      <formula>$D15="T5 - Debt Consolidation"</formula>
    </cfRule>
    <cfRule type="expression" dxfId="1082" priority="882">
      <formula>$D15="T4 - Debt / Home"</formula>
    </cfRule>
    <cfRule type="expression" dxfId="1081" priority="883">
      <formula>$D15="T3 - Correct Cash"</formula>
    </cfRule>
    <cfRule type="expression" dxfId="1080" priority="884">
      <formula>$D15="T2 - Revised"</formula>
    </cfRule>
    <cfRule type="expression" dxfId="1079" priority="885">
      <formula>$D15="T1 - Follow Up"</formula>
    </cfRule>
    <cfRule type="expression" dxfId="1078" priority="886">
      <formula>$D15="APP - LOCKED!"</formula>
    </cfRule>
    <cfRule type="expression" dxfId="1077" priority="887">
      <formula>$D15="LOCKED!"</formula>
    </cfRule>
    <cfRule type="expression" dxfId="1076" priority="888">
      <formula>$D15="APP - Pitched &gt; Follow Up!"</formula>
    </cfRule>
    <cfRule type="expression" dxfId="1075" priority="889">
      <formula>$D15="Pitched &gt; FOLLOW UP!"</formula>
    </cfRule>
    <cfRule type="expression" dxfId="1074" priority="890">
      <formula>$D15="APP - Application Taken"</formula>
    </cfRule>
    <cfRule type="expression" dxfId="1073" priority="891">
      <formula>$D15="AL - HOT!"</formula>
    </cfRule>
    <cfRule type="expression" dxfId="1072" priority="892">
      <formula>$D15="AL - Responded"</formula>
    </cfRule>
    <cfRule type="expression" dxfId="1071" priority="893">
      <formula>$D15="Prospect - Appt Scheduled"</formula>
    </cfRule>
    <cfRule type="expression" dxfId="1070" priority="894">
      <formula>$D15="Appt Scheduled"</formula>
    </cfRule>
    <cfRule type="expression" dxfId="1069" priority="895">
      <formula>$D15="Prospect - Follow Up"</formula>
    </cfRule>
    <cfRule type="expression" dxfId="1068" priority="896">
      <formula>$D15="Prospect - HOT!"</formula>
    </cfRule>
    <cfRule type="expression" dxfId="1067" priority="897">
      <formula>$D15="Prospect - Warm"</formula>
    </cfRule>
  </conditionalFormatting>
  <conditionalFormatting sqref="D16:J16">
    <cfRule type="expression" dxfId="1066" priority="766">
      <formula>$D16="Cancel-Decline"</formula>
    </cfRule>
    <cfRule type="expression" dxfId="1065" priority="767">
      <formula>$D16="Funded"</formula>
    </cfRule>
    <cfRule type="expression" dxfId="1064" priority="768">
      <formula>$D16="0 - MessageError!"</formula>
    </cfRule>
    <cfRule type="expression" dxfId="1063" priority="769">
      <formula>$D16="9- Changed Mind"</formula>
    </cfRule>
    <cfRule type="expression" dxfId="1062" priority="770">
      <formula>$D16="8- Home Values"</formula>
    </cfRule>
    <cfRule type="expression" dxfId="1061" priority="771">
      <formula>$D16="7- Market Drop"</formula>
    </cfRule>
    <cfRule type="expression" dxfId="1060" priority="772">
      <formula>$D16="6- Another Lender"</formula>
    </cfRule>
    <cfRule type="expression" dxfId="1059" priority="773">
      <formula>$D16="5- ChangedMind?"</formula>
    </cfRule>
    <cfRule type="expression" dxfId="1058" priority="774">
      <formula>$D16="4- Don'tQualify"</formula>
    </cfRule>
    <cfRule type="expression" dxfId="1057" priority="775">
      <formula>$D16="3- CashOut"</formula>
    </cfRule>
    <cfRule type="expression" dxfId="1056" priority="776">
      <formula>$D16="2- RevisedQuote"</formula>
    </cfRule>
    <cfRule type="expression" dxfId="1055" priority="777">
      <formula>$D16="1- FollowUp"</formula>
    </cfRule>
    <cfRule type="expression" dxfId="1054" priority="778" stopIfTrue="1">
      <formula>$D16="Responded"</formula>
    </cfRule>
    <cfRule type="expression" dxfId="1053" priority="779">
      <formula>$D16="Locked!"</formula>
    </cfRule>
    <cfRule type="expression" dxfId="1052" priority="780">
      <formula>$D16="E-signed!"</formula>
    </cfRule>
    <cfRule type="expression" dxfId="1051" priority="781">
      <formula>$D16="Docs Received!"</formula>
    </cfRule>
    <cfRule type="expression" dxfId="1050" priority="782">
      <formula>$D16="Disclosures Going Out..."</formula>
    </cfRule>
    <cfRule type="expression" dxfId="1049" priority="783">
      <formula>$D16="Disclosures Sent!"</formula>
    </cfRule>
    <cfRule type="expression" dxfId="1048" priority="784">
      <formula>$D16="FIGURE - Link Sent!"</formula>
    </cfRule>
    <cfRule type="expression" dxfId="1047" priority="785">
      <formula>$D16="Hard Money Opportunity"</formula>
    </cfRule>
    <cfRule type="expression" dxfId="1046" priority="786">
      <formula>$D16="Communicating..."</formula>
    </cfRule>
    <cfRule type="expression" dxfId="1045" priority="787">
      <formula>$D16="Not Interested"</formula>
    </cfRule>
    <cfRule type="expression" dxfId="1044" priority="788">
      <formula>$D16="APP - Pitched &gt; Follow up"</formula>
    </cfRule>
    <cfRule type="expression" dxfId="1043" priority="789">
      <formula>$D16="Appt Scheduled"</formula>
    </cfRule>
    <cfRule type="expression" dxfId="1042" priority="790">
      <formula>$D16="Reverse Mortgage Opportunity"</formula>
    </cfRule>
    <cfRule type="expression" dxfId="1041" priority="791">
      <formula>$D16="Purchase"</formula>
    </cfRule>
    <cfRule type="expression" dxfId="1040" priority="792">
      <formula>$D16="Verified Approval Letter"</formula>
    </cfRule>
    <cfRule type="expression" dxfId="1039" priority="793">
      <formula>$D16="*Thinking about it*"</formula>
    </cfRule>
    <cfRule type="expression" dxfId="1038" priority="794">
      <formula>$D16="DNQ"</formula>
    </cfRule>
    <cfRule type="expression" dxfId="1037" priority="795">
      <formula>$D16="Commercial/Business Loan"</formula>
    </cfRule>
    <cfRule type="expression" dxfId="1036" priority="796">
      <formula>$D16="Credit - Wayfinder"</formula>
    </cfRule>
    <cfRule type="expression" dxfId="1035" priority="797">
      <formula>$D16="Match or Beat"</formula>
    </cfRule>
    <cfRule type="expression" dxfId="1034" priority="798">
      <formula>$D16="Future Deal"</formula>
    </cfRule>
    <cfRule type="expression" dxfId="1033" priority="799">
      <formula>$D16="Prospect -Email Sent"</formula>
    </cfRule>
    <cfRule type="expression" dxfId="1032" priority="800">
      <formula>$D16="STOP!"</formula>
    </cfRule>
    <cfRule type="expression" dxfId="1031" priority="801">
      <formula>$D16="No Benefit"</formula>
    </cfRule>
    <cfRule type="expression" dxfId="1030" priority="802">
      <formula>$D16="Went With Another Lender"</formula>
    </cfRule>
    <cfRule type="expression" dxfId="1029" priority="803">
      <formula>$D16="Bad Number"</formula>
    </cfRule>
    <cfRule type="expression" dxfId="1028" priority="804">
      <formula>$D16="Called 2x"</formula>
    </cfRule>
    <cfRule type="expression" dxfId="1027" priority="805">
      <formula>$D16="T15 - MessageError!"</formula>
    </cfRule>
    <cfRule type="expression" dxfId="1026" priority="806">
      <formula>$D16="T14 - Right Person?"</formula>
    </cfRule>
    <cfRule type="expression" dxfId="1025" priority="807">
      <formula>$D16="T13 - Email"</formula>
    </cfRule>
    <cfRule type="expression" dxfId="1024" priority="808">
      <formula>$D16="T12 - Blown Up"</formula>
    </cfRule>
    <cfRule type="expression" dxfId="1023" priority="809">
      <formula>$D16="T11 - More Time?"</formula>
    </cfRule>
    <cfRule type="expression" dxfId="1022" priority="810">
      <formula>$D16="T10 - Really Busy"</formula>
    </cfRule>
    <cfRule type="expression" dxfId="1021" priority="811">
      <formula>$D16="T9 - Majority of Clients"</formula>
    </cfRule>
    <cfRule type="expression" dxfId="1020" priority="812">
      <formula>$D16="T8 - STOP Contact"</formula>
    </cfRule>
    <cfRule type="expression" dxfId="1019" priority="813">
      <formula>$D16="T7 - Another Lender"</formula>
    </cfRule>
    <cfRule type="expression" dxfId="1018" priority="814">
      <formula>$D16="T6 - Don’t Qualify?"</formula>
    </cfRule>
    <cfRule type="expression" dxfId="1017" priority="815">
      <formula>$D16="T5 - Debt Consolidation"</formula>
    </cfRule>
    <cfRule type="expression" dxfId="1016" priority="816">
      <formula>$D16="T4 - Debt / Home"</formula>
    </cfRule>
    <cfRule type="expression" dxfId="1015" priority="817">
      <formula>$D16="T3 - Correct Cash"</formula>
    </cfRule>
    <cfRule type="expression" dxfId="1014" priority="818">
      <formula>$D16="T2 - Revised"</formula>
    </cfRule>
    <cfRule type="expression" dxfId="1013" priority="819">
      <formula>$D16="T1 - Follow Up"</formula>
    </cfRule>
    <cfRule type="expression" dxfId="1012" priority="820">
      <formula>$D16="APP - LOCKED!"</formula>
    </cfRule>
    <cfRule type="expression" dxfId="1011" priority="821">
      <formula>$D16="LOCKED!"</formula>
    </cfRule>
    <cfRule type="expression" dxfId="1010" priority="822">
      <formula>$D16="APP - Pitched &gt; Follow Up!"</formula>
    </cfRule>
    <cfRule type="expression" dxfId="1009" priority="823">
      <formula>$D16="Pitched &gt; FOLLOW UP!"</formula>
    </cfRule>
    <cfRule type="expression" dxfId="1008" priority="824">
      <formula>$D16="APP - Application Taken"</formula>
    </cfRule>
    <cfRule type="expression" dxfId="1007" priority="825">
      <formula>$D16="AL - HOT!"</formula>
    </cfRule>
    <cfRule type="expression" dxfId="1006" priority="826">
      <formula>$D16="AL - Responded"</formula>
    </cfRule>
    <cfRule type="expression" dxfId="1005" priority="827">
      <formula>$D16="Prospect - Appt Scheduled"</formula>
    </cfRule>
    <cfRule type="expression" dxfId="1004" priority="828">
      <formula>$D16="Appt Scheduled"</formula>
    </cfRule>
    <cfRule type="expression" dxfId="1003" priority="829">
      <formula>$D16="Prospect - Follow Up"</formula>
    </cfRule>
    <cfRule type="expression" dxfId="1002" priority="830">
      <formula>$D16="Prospect - HOT!"</formula>
    </cfRule>
    <cfRule type="expression" dxfId="1001" priority="831">
      <formula>$D16="Prospect - Warm"</formula>
    </cfRule>
  </conditionalFormatting>
  <conditionalFormatting sqref="D17:J17">
    <cfRule type="expression" dxfId="1000" priority="700">
      <formula>$D17="Cancel-Decline"</formula>
    </cfRule>
    <cfRule type="expression" dxfId="999" priority="701">
      <formula>$D17="Funded"</formula>
    </cfRule>
    <cfRule type="expression" dxfId="998" priority="702">
      <formula>$D17="0 - MessageError!"</formula>
    </cfRule>
    <cfRule type="expression" dxfId="997" priority="703">
      <formula>$D17="9- Changed Mind"</formula>
    </cfRule>
    <cfRule type="expression" dxfId="996" priority="704">
      <formula>$D17="8- Home Values"</formula>
    </cfRule>
    <cfRule type="expression" dxfId="995" priority="705">
      <formula>$D17="7- Market Drop"</formula>
    </cfRule>
    <cfRule type="expression" dxfId="994" priority="706">
      <formula>$D17="6- Another Lender"</formula>
    </cfRule>
    <cfRule type="expression" dxfId="993" priority="707">
      <formula>$D17="5- ChangedMind?"</formula>
    </cfRule>
    <cfRule type="expression" dxfId="992" priority="708">
      <formula>$D17="4- Don'tQualify"</formula>
    </cfRule>
    <cfRule type="expression" dxfId="991" priority="709">
      <formula>$D17="3- CashOut"</formula>
    </cfRule>
    <cfRule type="expression" dxfId="990" priority="710">
      <formula>$D17="2- RevisedQuote"</formula>
    </cfRule>
    <cfRule type="expression" dxfId="989" priority="711">
      <formula>$D17="1- FollowUp"</formula>
    </cfRule>
    <cfRule type="expression" dxfId="988" priority="712" stopIfTrue="1">
      <formula>$D17="Responded"</formula>
    </cfRule>
    <cfRule type="expression" dxfId="987" priority="713">
      <formula>$D17="Locked!"</formula>
    </cfRule>
    <cfRule type="expression" dxfId="986" priority="714">
      <formula>$D17="E-signed!"</formula>
    </cfRule>
    <cfRule type="expression" dxfId="985" priority="715">
      <formula>$D17="Docs Received!"</formula>
    </cfRule>
    <cfRule type="expression" dxfId="984" priority="716">
      <formula>$D17="Disclosures Going Out..."</formula>
    </cfRule>
    <cfRule type="expression" dxfId="983" priority="717">
      <formula>$D17="Disclosures Sent!"</formula>
    </cfRule>
    <cfRule type="expression" dxfId="982" priority="718">
      <formula>$D17="FIGURE - Link Sent!"</formula>
    </cfRule>
    <cfRule type="expression" dxfId="981" priority="719">
      <formula>$D17="Hard Money Opportunity"</formula>
    </cfRule>
    <cfRule type="expression" dxfId="980" priority="720">
      <formula>$D17="Communicating..."</formula>
    </cfRule>
    <cfRule type="expression" dxfId="979" priority="721">
      <formula>$D17="Not Interested"</formula>
    </cfRule>
    <cfRule type="expression" dxfId="978" priority="722">
      <formula>$D17="APP - Pitched &gt; Follow up"</formula>
    </cfRule>
    <cfRule type="expression" dxfId="977" priority="723">
      <formula>$D17="Appt Scheduled"</formula>
    </cfRule>
    <cfRule type="expression" dxfId="976" priority="724">
      <formula>$D17="Reverse Mortgage Opportunity"</formula>
    </cfRule>
    <cfRule type="expression" dxfId="975" priority="725">
      <formula>$D17="Purchase"</formula>
    </cfRule>
    <cfRule type="expression" dxfId="974" priority="726">
      <formula>$D17="Verified Approval Letter"</formula>
    </cfRule>
    <cfRule type="expression" dxfId="973" priority="727">
      <formula>$D17="*Thinking about it*"</formula>
    </cfRule>
    <cfRule type="expression" dxfId="972" priority="728">
      <formula>$D17="DNQ"</formula>
    </cfRule>
    <cfRule type="expression" dxfId="971" priority="729">
      <formula>$D17="Commercial/Business Loan"</formula>
    </cfRule>
    <cfRule type="expression" dxfId="970" priority="730">
      <formula>$D17="Credit - Wayfinder"</formula>
    </cfRule>
    <cfRule type="expression" dxfId="969" priority="731">
      <formula>$D17="Match or Beat"</formula>
    </cfRule>
    <cfRule type="expression" dxfId="968" priority="732">
      <formula>$D17="Future Deal"</formula>
    </cfRule>
    <cfRule type="expression" dxfId="967" priority="733">
      <formula>$D17="Prospect -Email Sent"</formula>
    </cfRule>
    <cfRule type="expression" dxfId="966" priority="734">
      <formula>$D17="STOP!"</formula>
    </cfRule>
    <cfRule type="expression" dxfId="965" priority="735">
      <formula>$D17="No Benefit"</formula>
    </cfRule>
    <cfRule type="expression" dxfId="964" priority="736">
      <formula>$D17="Went With Another Lender"</formula>
    </cfRule>
    <cfRule type="expression" dxfId="963" priority="737">
      <formula>$D17="Called 3x"</formula>
    </cfRule>
    <cfRule type="expression" dxfId="962" priority="738">
      <formula>$D17="Called 2x"</formula>
    </cfRule>
    <cfRule type="expression" dxfId="961" priority="739">
      <formula>$D17="T15 - MessageError!"</formula>
    </cfRule>
    <cfRule type="expression" dxfId="960" priority="740">
      <formula>$D17="T14 - Right Person?"</formula>
    </cfRule>
    <cfRule type="expression" dxfId="959" priority="741">
      <formula>$D17="T13 - Email"</formula>
    </cfRule>
    <cfRule type="expression" dxfId="958" priority="742">
      <formula>$D17="T12 - Blown Up"</formula>
    </cfRule>
    <cfRule type="expression" dxfId="957" priority="743">
      <formula>$D17="T11 - More Time?"</formula>
    </cfRule>
    <cfRule type="expression" dxfId="956" priority="744">
      <formula>$D17="T10 - Really Busy"</formula>
    </cfRule>
    <cfRule type="expression" dxfId="955" priority="745">
      <formula>$D17="T9 - Majority of Clients"</formula>
    </cfRule>
    <cfRule type="expression" dxfId="954" priority="746">
      <formula>$D17="T8 - STOP Contact"</formula>
    </cfRule>
    <cfRule type="expression" dxfId="953" priority="747">
      <formula>$D17="T7 - Another Lender"</formula>
    </cfRule>
    <cfRule type="expression" dxfId="952" priority="748">
      <formula>$D17="T6 - Don’t Qualify?"</formula>
    </cfRule>
    <cfRule type="expression" dxfId="951" priority="749">
      <formula>$D17="T5 - Debt Consolidation"</formula>
    </cfRule>
    <cfRule type="expression" dxfId="950" priority="750">
      <formula>$D17="T4 - Debt / Home"</formula>
    </cfRule>
    <cfRule type="expression" dxfId="949" priority="751">
      <formula>$D17="T3 - Correct Cash"</formula>
    </cfRule>
    <cfRule type="expression" dxfId="948" priority="752">
      <formula>$D17="T2 - Revised"</formula>
    </cfRule>
    <cfRule type="expression" dxfId="947" priority="753">
      <formula>$D17="T1 - Follow Up"</formula>
    </cfRule>
    <cfRule type="expression" dxfId="946" priority="754">
      <formula>$D17="APP - LOCKED!"</formula>
    </cfRule>
    <cfRule type="expression" dxfId="945" priority="755">
      <formula>$D17="LOCKED!"</formula>
    </cfRule>
    <cfRule type="expression" dxfId="944" priority="756">
      <formula>$D17="APP - Pitched &gt; Follow Up!"</formula>
    </cfRule>
    <cfRule type="expression" dxfId="943" priority="757">
      <formula>$D17="Pitched &gt; FOLLOW UP!"</formula>
    </cfRule>
    <cfRule type="expression" dxfId="942" priority="758">
      <formula>$D17="APP - Application Taken"</formula>
    </cfRule>
    <cfRule type="expression" dxfId="941" priority="759">
      <formula>$D17="AL - HOT!"</formula>
    </cfRule>
    <cfRule type="expression" dxfId="940" priority="760">
      <formula>$D17="AL - Responded"</formula>
    </cfRule>
    <cfRule type="expression" dxfId="939" priority="761">
      <formula>$D17="Prospect - Appt Scheduled"</formula>
    </cfRule>
    <cfRule type="expression" dxfId="938" priority="762">
      <formula>$D17="Appt Scheduled"</formula>
    </cfRule>
    <cfRule type="expression" dxfId="937" priority="763">
      <formula>$D17="Prospect - Follow Up"</formula>
    </cfRule>
    <cfRule type="expression" dxfId="936" priority="764">
      <formula>$D17="Prospect - HOT!"</formula>
    </cfRule>
    <cfRule type="expression" dxfId="935" priority="765">
      <formula>$D17="Prospect - Warm"</formula>
    </cfRule>
  </conditionalFormatting>
  <conditionalFormatting sqref="D17:J17">
    <cfRule type="expression" dxfId="934" priority="696">
      <formula>$D17="Potential Cancel"</formula>
    </cfRule>
    <cfRule type="expression" dxfId="933" priority="697">
      <formula>$D17="Suspended-Restructure"</formula>
    </cfRule>
    <cfRule type="expression" dxfId="932" priority="698">
      <formula>$D17="Clear to Close"</formula>
    </cfRule>
    <cfRule type="expression" dxfId="931" priority="699">
      <formula>$D17="Submitted to Underwriting"</formula>
    </cfRule>
  </conditionalFormatting>
  <conditionalFormatting sqref="D18:J18">
    <cfRule type="expression" dxfId="930" priority="630">
      <formula>$D18="Cancel-Decline"</formula>
    </cfRule>
    <cfRule type="expression" dxfId="929" priority="631">
      <formula>$D18="Funded"</formula>
    </cfRule>
    <cfRule type="expression" dxfId="928" priority="632">
      <formula>$D18="0 - MessageError!"</formula>
    </cfRule>
    <cfRule type="expression" dxfId="927" priority="633">
      <formula>$D18="9- Changed Mind"</formula>
    </cfRule>
    <cfRule type="expression" dxfId="926" priority="634">
      <formula>$D18="8- Home Values"</formula>
    </cfRule>
    <cfRule type="expression" dxfId="925" priority="635">
      <formula>$D18="7- Market Drop"</formula>
    </cfRule>
    <cfRule type="expression" dxfId="924" priority="636">
      <formula>$D18="6- Another Lender"</formula>
    </cfRule>
    <cfRule type="expression" dxfId="923" priority="637">
      <formula>$D18="5- ChangedMind?"</formula>
    </cfRule>
    <cfRule type="expression" dxfId="922" priority="638">
      <formula>$D18="4- Don'tQualify"</formula>
    </cfRule>
    <cfRule type="expression" dxfId="921" priority="639">
      <formula>$D18="3- CashOut"</formula>
    </cfRule>
    <cfRule type="expression" dxfId="920" priority="640">
      <formula>$D18="2- RevisedQuote"</formula>
    </cfRule>
    <cfRule type="expression" dxfId="919" priority="641">
      <formula>$D18="1- FollowUp"</formula>
    </cfRule>
    <cfRule type="expression" dxfId="918" priority="642" stopIfTrue="1">
      <formula>$D18="Responded"</formula>
    </cfRule>
    <cfRule type="expression" dxfId="917" priority="643">
      <formula>$D18="Locked!"</formula>
    </cfRule>
    <cfRule type="expression" dxfId="916" priority="644">
      <formula>$D18="E-signed!"</formula>
    </cfRule>
    <cfRule type="expression" dxfId="915" priority="645">
      <formula>$D18="Docs Received!"</formula>
    </cfRule>
    <cfRule type="expression" dxfId="914" priority="646">
      <formula>$D18="Disclosures Going Out..."</formula>
    </cfRule>
    <cfRule type="expression" dxfId="913" priority="647">
      <formula>$D18="Disclosures Sent!"</formula>
    </cfRule>
    <cfRule type="expression" dxfId="912" priority="648">
      <formula>$D18="FIGURE - Link Sent!"</formula>
    </cfRule>
    <cfRule type="expression" dxfId="911" priority="649">
      <formula>$D18="Hard Money Opportunity"</formula>
    </cfRule>
    <cfRule type="expression" dxfId="910" priority="650">
      <formula>$D18="Communicating..."</formula>
    </cfRule>
    <cfRule type="expression" dxfId="909" priority="651">
      <formula>$D18="Not Interested"</formula>
    </cfRule>
    <cfRule type="expression" dxfId="908" priority="652">
      <formula>$D18="APP - Pitched &gt; Follow up"</formula>
    </cfRule>
    <cfRule type="expression" dxfId="907" priority="653">
      <formula>$D18="Appt Scheduled"</formula>
    </cfRule>
    <cfRule type="expression" dxfId="906" priority="654">
      <formula>$D18="Reverse Mortgage Opportunity"</formula>
    </cfRule>
    <cfRule type="expression" dxfId="905" priority="655">
      <formula>$D18="Purchase"</formula>
    </cfRule>
    <cfRule type="expression" dxfId="904" priority="656">
      <formula>$D18="Verified Approval Letter"</formula>
    </cfRule>
    <cfRule type="expression" dxfId="903" priority="657">
      <formula>$D18="*Thinking about it*"</formula>
    </cfRule>
    <cfRule type="expression" dxfId="902" priority="658">
      <formula>$D18="DNQ"</formula>
    </cfRule>
    <cfRule type="expression" dxfId="901" priority="659">
      <formula>$D18="Commercial/Business Loan"</formula>
    </cfRule>
    <cfRule type="expression" dxfId="900" priority="660">
      <formula>$D18="Credit - Wayfinder"</formula>
    </cfRule>
    <cfRule type="expression" dxfId="899" priority="661">
      <formula>$D18="Match or Beat"</formula>
    </cfRule>
    <cfRule type="expression" dxfId="898" priority="662">
      <formula>$D18="Future Deal"</formula>
    </cfRule>
    <cfRule type="expression" dxfId="897" priority="663">
      <formula>$D18="Prospect -Email Sent"</formula>
    </cfRule>
    <cfRule type="expression" dxfId="896" priority="664">
      <formula>$D18="STOP!"</formula>
    </cfRule>
    <cfRule type="expression" dxfId="895" priority="665">
      <formula>$D18="No Benefit"</formula>
    </cfRule>
    <cfRule type="expression" dxfId="894" priority="666">
      <formula>$D18="Went With Another Lender"</formula>
    </cfRule>
    <cfRule type="expression" dxfId="893" priority="667">
      <formula>$D18="Called 3x"</formula>
    </cfRule>
    <cfRule type="expression" dxfId="892" priority="668">
      <formula>$D18="Called 2x"</formula>
    </cfRule>
    <cfRule type="expression" dxfId="891" priority="669">
      <formula>$D18="T15 - MessageError!"</formula>
    </cfRule>
    <cfRule type="expression" dxfId="890" priority="670">
      <formula>$D18="T14 - Right Person?"</formula>
    </cfRule>
    <cfRule type="expression" dxfId="889" priority="671">
      <formula>$D18="T13 - Email"</formula>
    </cfRule>
    <cfRule type="expression" dxfId="888" priority="672">
      <formula>$D18="T12 - Blown Up"</formula>
    </cfRule>
    <cfRule type="expression" dxfId="887" priority="673">
      <formula>$D18="T11 - More Time?"</formula>
    </cfRule>
    <cfRule type="expression" dxfId="886" priority="674">
      <formula>$D18="T10 - Really Busy"</formula>
    </cfRule>
    <cfRule type="expression" dxfId="885" priority="675">
      <formula>$D18="T9 - Majority of Clients"</formula>
    </cfRule>
    <cfRule type="expression" dxfId="884" priority="676">
      <formula>$D18="T8 - STOP Contact"</formula>
    </cfRule>
    <cfRule type="expression" dxfId="883" priority="677">
      <formula>$D18="T7 - Another Lender"</formula>
    </cfRule>
    <cfRule type="expression" dxfId="882" priority="678">
      <formula>$D18="T6 - Don’t Qualify?"</formula>
    </cfRule>
    <cfRule type="expression" dxfId="881" priority="679">
      <formula>$D18="T5 - Debt Consolidation"</formula>
    </cfRule>
    <cfRule type="expression" dxfId="880" priority="680">
      <formula>$D18="T4 - Debt / Home"</formula>
    </cfRule>
    <cfRule type="expression" dxfId="879" priority="681">
      <formula>$D18="T3 - Correct Cash"</formula>
    </cfRule>
    <cfRule type="expression" dxfId="878" priority="682">
      <formula>$D18="T2 - Revised"</formula>
    </cfRule>
    <cfRule type="expression" dxfId="877" priority="683">
      <formula>$D18="T1 - Follow Up"</formula>
    </cfRule>
    <cfRule type="expression" dxfId="876" priority="684">
      <formula>$D18="APP - LOCKED!"</formula>
    </cfRule>
    <cfRule type="expression" dxfId="875" priority="685">
      <formula>$D18="LOCKED!"</formula>
    </cfRule>
    <cfRule type="expression" dxfId="874" priority="686">
      <formula>$D18="APP - Pitched &gt; Follow Up!"</formula>
    </cfRule>
    <cfRule type="expression" dxfId="873" priority="687">
      <formula>$D18="Pitched &gt; FOLLOW UP!"</formula>
    </cfRule>
    <cfRule type="expression" dxfId="872" priority="688">
      <formula>$D18="APP - Application Taken"</formula>
    </cfRule>
    <cfRule type="expression" dxfId="871" priority="689">
      <formula>$D18="AL - HOT!"</formula>
    </cfRule>
    <cfRule type="expression" dxfId="870" priority="690">
      <formula>$D18="AL - Responded"</formula>
    </cfRule>
    <cfRule type="expression" dxfId="869" priority="691">
      <formula>$D18="Prospect - Appt Scheduled"</formula>
    </cfRule>
    <cfRule type="expression" dxfId="868" priority="692">
      <formula>$D18="Appt Scheduled"</formula>
    </cfRule>
    <cfRule type="expression" dxfId="867" priority="693">
      <formula>$D18="Prospect - Follow Up"</formula>
    </cfRule>
    <cfRule type="expression" dxfId="866" priority="694">
      <formula>$D18="Prospect - HOT!"</formula>
    </cfRule>
    <cfRule type="expression" dxfId="865" priority="695">
      <formula>$D18="Prospect - Warm"</formula>
    </cfRule>
  </conditionalFormatting>
  <conditionalFormatting sqref="D18:J18">
    <cfRule type="expression" dxfId="864" priority="626">
      <formula>$D18="Potential Cancel"</formula>
    </cfRule>
    <cfRule type="expression" dxfId="863" priority="627">
      <formula>$D18="Suspended-Restructure"</formula>
    </cfRule>
    <cfRule type="expression" dxfId="862" priority="628">
      <formula>$D18="Clear to Close"</formula>
    </cfRule>
    <cfRule type="expression" dxfId="861" priority="629">
      <formula>$D18="Submitted to Underwriting"</formula>
    </cfRule>
  </conditionalFormatting>
  <conditionalFormatting sqref="D19:J19">
    <cfRule type="expression" dxfId="860" priority="560">
      <formula>$D19="Cancel-Decline"</formula>
    </cfRule>
    <cfRule type="expression" dxfId="859" priority="561">
      <formula>$D19="Funded"</formula>
    </cfRule>
    <cfRule type="expression" dxfId="858" priority="562">
      <formula>$D19="0 - MessageError!"</formula>
    </cfRule>
    <cfRule type="expression" dxfId="857" priority="563">
      <formula>$D19="9- Changed Mind"</formula>
    </cfRule>
    <cfRule type="expression" dxfId="856" priority="564">
      <formula>$D19="8- Home Values"</formula>
    </cfRule>
    <cfRule type="expression" dxfId="855" priority="565">
      <formula>$D19="7- Market Drop"</formula>
    </cfRule>
    <cfRule type="expression" dxfId="854" priority="566">
      <formula>$D19="6- Another Lender"</formula>
    </cfRule>
    <cfRule type="expression" dxfId="853" priority="567">
      <formula>$D19="5- ChangedMind?"</formula>
    </cfRule>
    <cfRule type="expression" dxfId="852" priority="568">
      <formula>$D19="4- Don'tQualify"</formula>
    </cfRule>
    <cfRule type="expression" dxfId="851" priority="569">
      <formula>$D19="3- CashOut"</formula>
    </cfRule>
    <cfRule type="expression" dxfId="850" priority="570">
      <formula>$D19="2- RevisedQuote"</formula>
    </cfRule>
    <cfRule type="expression" dxfId="849" priority="571">
      <formula>$D19="1- FollowUp"</formula>
    </cfRule>
    <cfRule type="expression" dxfId="848" priority="572" stopIfTrue="1">
      <formula>$D19="Responded"</formula>
    </cfRule>
    <cfRule type="expression" dxfId="847" priority="573">
      <formula>$D19="Locked!"</formula>
    </cfRule>
    <cfRule type="expression" dxfId="846" priority="574">
      <formula>$D19="E-signed!"</formula>
    </cfRule>
    <cfRule type="expression" dxfId="845" priority="575">
      <formula>$D19="Docs Received!"</formula>
    </cfRule>
    <cfRule type="expression" dxfId="844" priority="576">
      <formula>$D19="Disclosures Going Out..."</formula>
    </cfRule>
    <cfRule type="expression" dxfId="843" priority="577">
      <formula>$D19="Disclosures Sent!"</formula>
    </cfRule>
    <cfRule type="expression" dxfId="842" priority="578">
      <formula>$D19="FIGURE - Link Sent!"</formula>
    </cfRule>
    <cfRule type="expression" dxfId="841" priority="579">
      <formula>$D19="Hard Money Opportunity"</formula>
    </cfRule>
    <cfRule type="expression" dxfId="840" priority="580">
      <formula>$D19="Communicating..."</formula>
    </cfRule>
    <cfRule type="expression" dxfId="839" priority="581">
      <formula>$D19="Not Interested"</formula>
    </cfRule>
    <cfRule type="expression" dxfId="838" priority="582">
      <formula>$D19="APP - Pitched &gt; Follow up"</formula>
    </cfRule>
    <cfRule type="expression" dxfId="837" priority="583">
      <formula>$D19="Appt Scheduled"</formula>
    </cfRule>
    <cfRule type="expression" dxfId="836" priority="584">
      <formula>$D19="Reverse Mortgage Opportunity"</formula>
    </cfRule>
    <cfRule type="expression" dxfId="835" priority="585">
      <formula>$D19="Purchase"</formula>
    </cfRule>
    <cfRule type="expression" dxfId="834" priority="586">
      <formula>$D19="Verified Approval Letter"</formula>
    </cfRule>
    <cfRule type="expression" dxfId="833" priority="587">
      <formula>$D19="*Thinking about it*"</formula>
    </cfRule>
    <cfRule type="expression" dxfId="832" priority="588">
      <formula>$D19="DNQ"</formula>
    </cfRule>
    <cfRule type="expression" dxfId="831" priority="589">
      <formula>$D19="Commercial/Business Loan"</formula>
    </cfRule>
    <cfRule type="expression" dxfId="830" priority="590">
      <formula>$D19="Credit - Wayfinder"</formula>
    </cfRule>
    <cfRule type="expression" dxfId="829" priority="591">
      <formula>$D19="Match or Beat"</formula>
    </cfRule>
    <cfRule type="expression" dxfId="828" priority="592">
      <formula>$D19="Future Deal"</formula>
    </cfRule>
    <cfRule type="expression" dxfId="827" priority="593">
      <formula>$D19="Prospect -Email Sent"</formula>
    </cfRule>
    <cfRule type="expression" dxfId="826" priority="594">
      <formula>$D19="STOP!"</formula>
    </cfRule>
    <cfRule type="expression" dxfId="825" priority="595">
      <formula>$D19="No Benefit"</formula>
    </cfRule>
    <cfRule type="expression" dxfId="824" priority="596">
      <formula>$D19="Went With Another Lender"</formula>
    </cfRule>
    <cfRule type="expression" dxfId="823" priority="597">
      <formula>$D19="Called 3x"</formula>
    </cfRule>
    <cfRule type="expression" dxfId="822" priority="598">
      <formula>$D19="Called 2x"</formula>
    </cfRule>
    <cfRule type="expression" dxfId="821" priority="599">
      <formula>$D19="T15 - MessageError!"</formula>
    </cfRule>
    <cfRule type="expression" dxfId="820" priority="600">
      <formula>$D19="T14 - Right Person?"</formula>
    </cfRule>
    <cfRule type="expression" dxfId="819" priority="601">
      <formula>$D19="T13 - Email"</formula>
    </cfRule>
    <cfRule type="expression" dxfId="818" priority="602">
      <formula>$D19="T12 - Blown Up"</formula>
    </cfRule>
    <cfRule type="expression" dxfId="817" priority="603">
      <formula>$D19="T11 - More Time?"</formula>
    </cfRule>
    <cfRule type="expression" dxfId="816" priority="604">
      <formula>$D19="T10 - Really Busy"</formula>
    </cfRule>
    <cfRule type="expression" dxfId="815" priority="605">
      <formula>$D19="T9 - Majority of Clients"</formula>
    </cfRule>
    <cfRule type="expression" dxfId="814" priority="606">
      <formula>$D19="T8 - STOP Contact"</formula>
    </cfRule>
    <cfRule type="expression" dxfId="813" priority="607">
      <formula>$D19="T7 - Another Lender"</formula>
    </cfRule>
    <cfRule type="expression" dxfId="812" priority="608">
      <formula>$D19="T6 - Don’t Qualify?"</formula>
    </cfRule>
    <cfRule type="expression" dxfId="811" priority="609">
      <formula>$D19="T5 - Debt Consolidation"</formula>
    </cfRule>
    <cfRule type="expression" dxfId="810" priority="610">
      <formula>$D19="T4 - Debt / Home"</formula>
    </cfRule>
    <cfRule type="expression" dxfId="809" priority="611">
      <formula>$D19="T3 - Correct Cash"</formula>
    </cfRule>
    <cfRule type="expression" dxfId="808" priority="612">
      <formula>$D19="T2 - Revised"</formula>
    </cfRule>
    <cfRule type="expression" dxfId="807" priority="613">
      <formula>$D19="T1 - Follow Up"</formula>
    </cfRule>
    <cfRule type="expression" dxfId="806" priority="614">
      <formula>$D19="APP - LOCKED!"</formula>
    </cfRule>
    <cfRule type="expression" dxfId="805" priority="615">
      <formula>$D19="LOCKED!"</formula>
    </cfRule>
    <cfRule type="expression" dxfId="804" priority="616">
      <formula>$D19="APP - Pitched &gt; Follow Up!"</formula>
    </cfRule>
    <cfRule type="expression" dxfId="803" priority="617">
      <formula>$D19="Pitched &gt; FOLLOW UP!"</formula>
    </cfRule>
    <cfRule type="expression" dxfId="802" priority="618">
      <formula>$D19="APP - Application Taken"</formula>
    </cfRule>
    <cfRule type="expression" dxfId="801" priority="619">
      <formula>$D19="AL - HOT!"</formula>
    </cfRule>
    <cfRule type="expression" dxfId="800" priority="620">
      <formula>$D19="AL - Responded"</formula>
    </cfRule>
    <cfRule type="expression" dxfId="799" priority="621">
      <formula>$D19="Prospect - Appt Scheduled"</formula>
    </cfRule>
    <cfRule type="expression" dxfId="798" priority="622">
      <formula>$D19="Appt Scheduled"</formula>
    </cfRule>
    <cfRule type="expression" dxfId="797" priority="623">
      <formula>$D19="Prospect - Follow Up"</formula>
    </cfRule>
    <cfRule type="expression" dxfId="796" priority="624">
      <formula>$D19="Prospect - HOT!"</formula>
    </cfRule>
    <cfRule type="expression" dxfId="795" priority="625">
      <formula>$D19="Prospect - Warm"</formula>
    </cfRule>
  </conditionalFormatting>
  <conditionalFormatting sqref="D19:J19">
    <cfRule type="expression" dxfId="794" priority="556">
      <formula>$D19="Potential Cancel"</formula>
    </cfRule>
    <cfRule type="expression" dxfId="793" priority="557">
      <formula>$D19="Suspended-Restructure"</formula>
    </cfRule>
    <cfRule type="expression" dxfId="792" priority="558">
      <formula>$D19="Clear to Close"</formula>
    </cfRule>
    <cfRule type="expression" dxfId="791" priority="559">
      <formula>$D19="Submitted to Underwriting"</formula>
    </cfRule>
  </conditionalFormatting>
  <conditionalFormatting sqref="D20:J20">
    <cfRule type="expression" dxfId="790" priority="490">
      <formula>$D20="Cancel-Decline"</formula>
    </cfRule>
    <cfRule type="expression" dxfId="789" priority="491">
      <formula>$D20="Funded"</formula>
    </cfRule>
    <cfRule type="expression" dxfId="788" priority="492">
      <formula>$D20="0 - MessageError!"</formula>
    </cfRule>
    <cfRule type="expression" dxfId="787" priority="493">
      <formula>$D20="9- Changed Mind"</formula>
    </cfRule>
    <cfRule type="expression" dxfId="786" priority="494">
      <formula>$D20="8- Home Values"</formula>
    </cfRule>
    <cfRule type="expression" dxfId="785" priority="495">
      <formula>$D20="7- Market Drop"</formula>
    </cfRule>
    <cfRule type="expression" dxfId="784" priority="496">
      <formula>$D20="6- Another Lender"</formula>
    </cfRule>
    <cfRule type="expression" dxfId="783" priority="497">
      <formula>$D20="5- ChangedMind?"</formula>
    </cfRule>
    <cfRule type="expression" dxfId="782" priority="498">
      <formula>$D20="4- Don'tQualify"</formula>
    </cfRule>
    <cfRule type="expression" dxfId="781" priority="499">
      <formula>$D20="3- CashOut"</formula>
    </cfRule>
    <cfRule type="expression" dxfId="780" priority="500">
      <formula>$D20="2- RevisedQuote"</formula>
    </cfRule>
    <cfRule type="expression" dxfId="779" priority="501">
      <formula>$D20="1- FollowUp"</formula>
    </cfRule>
    <cfRule type="expression" dxfId="778" priority="502" stopIfTrue="1">
      <formula>$D20="Responded"</formula>
    </cfRule>
    <cfRule type="expression" dxfId="777" priority="503">
      <formula>$D20="Locked!"</formula>
    </cfRule>
    <cfRule type="expression" dxfId="776" priority="504">
      <formula>$D20="E-signed!"</formula>
    </cfRule>
    <cfRule type="expression" dxfId="775" priority="505">
      <formula>$D20="Docs Received!"</formula>
    </cfRule>
    <cfRule type="expression" dxfId="774" priority="506">
      <formula>$D20="Disclosures Going Out..."</formula>
    </cfRule>
    <cfRule type="expression" dxfId="773" priority="507">
      <formula>$D20="Disclosures Sent!"</formula>
    </cfRule>
    <cfRule type="expression" dxfId="772" priority="508">
      <formula>$D20="FIGURE - Link Sent!"</formula>
    </cfRule>
    <cfRule type="expression" dxfId="771" priority="509">
      <formula>$D20="Hard Money Opportunity"</formula>
    </cfRule>
    <cfRule type="expression" dxfId="770" priority="510">
      <formula>$D20="Communicating..."</formula>
    </cfRule>
    <cfRule type="expression" dxfId="769" priority="511">
      <formula>$D20="Not Interested"</formula>
    </cfRule>
    <cfRule type="expression" dxfId="768" priority="512">
      <formula>$D20="APP - Pitched &gt; Follow up"</formula>
    </cfRule>
    <cfRule type="expression" dxfId="767" priority="513">
      <formula>$D20="Appt Scheduled"</formula>
    </cfRule>
    <cfRule type="expression" dxfId="766" priority="514">
      <formula>$D20="Reverse Mortgage Opportunity"</formula>
    </cfRule>
    <cfRule type="expression" dxfId="765" priority="515">
      <formula>$D20="Purchase"</formula>
    </cfRule>
    <cfRule type="expression" dxfId="764" priority="516">
      <formula>$D20="Verified Approval Letter"</formula>
    </cfRule>
    <cfRule type="expression" dxfId="763" priority="517">
      <formula>$D20="*Thinking about it*"</formula>
    </cfRule>
    <cfRule type="expression" dxfId="762" priority="518">
      <formula>$D20="DNQ"</formula>
    </cfRule>
    <cfRule type="expression" dxfId="761" priority="519">
      <formula>$D20="Commercial/Business Loan"</formula>
    </cfRule>
    <cfRule type="expression" dxfId="760" priority="520">
      <formula>$D20="Credit - Wayfinder"</formula>
    </cfRule>
    <cfRule type="expression" dxfId="759" priority="521">
      <formula>$D20="Match or Beat"</formula>
    </cfRule>
    <cfRule type="expression" dxfId="758" priority="522">
      <formula>$D20="Future Deal"</formula>
    </cfRule>
    <cfRule type="expression" dxfId="757" priority="523">
      <formula>$D20="Prospect -Email Sent"</formula>
    </cfRule>
    <cfRule type="expression" dxfId="756" priority="524">
      <formula>$D20="STOP!"</formula>
    </cfRule>
    <cfRule type="expression" dxfId="755" priority="525">
      <formula>$D20="No Benefit"</formula>
    </cfRule>
    <cfRule type="expression" dxfId="754" priority="526">
      <formula>$D20="Went With Another Lender"</formula>
    </cfRule>
    <cfRule type="expression" dxfId="753" priority="527">
      <formula>$D20="Called 3x"</formula>
    </cfRule>
    <cfRule type="expression" dxfId="752" priority="528">
      <formula>$D20="Called 2x"</formula>
    </cfRule>
    <cfRule type="expression" dxfId="751" priority="529">
      <formula>$D20="T15 - MessageError!"</formula>
    </cfRule>
    <cfRule type="expression" dxfId="750" priority="530">
      <formula>$D20="T14 - Right Person?"</formula>
    </cfRule>
    <cfRule type="expression" dxfId="749" priority="531">
      <formula>$D20="T13 - Email"</formula>
    </cfRule>
    <cfRule type="expression" dxfId="748" priority="532">
      <formula>$D20="T12 - Blown Up"</formula>
    </cfRule>
    <cfRule type="expression" dxfId="747" priority="533">
      <formula>$D20="T11 - More Time?"</formula>
    </cfRule>
    <cfRule type="expression" dxfId="746" priority="534">
      <formula>$D20="T10 - Really Busy"</formula>
    </cfRule>
    <cfRule type="expression" dxfId="745" priority="535">
      <formula>$D20="T9 - Majority of Clients"</formula>
    </cfRule>
    <cfRule type="expression" dxfId="744" priority="536">
      <formula>$D20="T8 - STOP Contact"</formula>
    </cfRule>
    <cfRule type="expression" dxfId="743" priority="537">
      <formula>$D20="T7 - Another Lender"</formula>
    </cfRule>
    <cfRule type="expression" dxfId="742" priority="538">
      <formula>$D20="T6 - Don’t Qualify?"</formula>
    </cfRule>
    <cfRule type="expression" dxfId="741" priority="539">
      <formula>$D20="T5 - Debt Consolidation"</formula>
    </cfRule>
    <cfRule type="expression" dxfId="740" priority="540">
      <formula>$D20="T4 - Debt / Home"</formula>
    </cfRule>
    <cfRule type="expression" dxfId="739" priority="541">
      <formula>$D20="T3 - Correct Cash"</formula>
    </cfRule>
    <cfRule type="expression" dxfId="738" priority="542">
      <formula>$D20="T2 - Revised"</formula>
    </cfRule>
    <cfRule type="expression" dxfId="737" priority="543">
      <formula>$D20="T1 - Follow Up"</formula>
    </cfRule>
    <cfRule type="expression" dxfId="736" priority="544">
      <formula>$D20="APP - LOCKED!"</formula>
    </cfRule>
    <cfRule type="expression" dxfId="735" priority="545">
      <formula>$D20="LOCKED!"</formula>
    </cfRule>
    <cfRule type="expression" dxfId="734" priority="546">
      <formula>$D20="APP - Pitched &gt; Follow Up!"</formula>
    </cfRule>
    <cfRule type="expression" dxfId="733" priority="547">
      <formula>$D20="Pitched &gt; FOLLOW UP!"</formula>
    </cfRule>
    <cfRule type="expression" dxfId="732" priority="548">
      <formula>$D20="APP - Application Taken"</formula>
    </cfRule>
    <cfRule type="expression" dxfId="731" priority="549">
      <formula>$D20="AL - HOT!"</formula>
    </cfRule>
    <cfRule type="expression" dxfId="730" priority="550">
      <formula>$D20="AL - Responded"</formula>
    </cfRule>
    <cfRule type="expression" dxfId="729" priority="551">
      <formula>$D20="Prospect - Appt Scheduled"</formula>
    </cfRule>
    <cfRule type="expression" dxfId="728" priority="552">
      <formula>$D20="Appt Scheduled"</formula>
    </cfRule>
    <cfRule type="expression" dxfId="727" priority="553">
      <formula>$D20="Prospect - Follow Up"</formula>
    </cfRule>
    <cfRule type="expression" dxfId="726" priority="554">
      <formula>$D20="Prospect - HOT!"</formula>
    </cfRule>
    <cfRule type="expression" dxfId="725" priority="555">
      <formula>$D20="Prospect - Warm"</formula>
    </cfRule>
  </conditionalFormatting>
  <conditionalFormatting sqref="D20:J20">
    <cfRule type="expression" dxfId="724" priority="486">
      <formula>$D20="Potential Cancel"</formula>
    </cfRule>
    <cfRule type="expression" dxfId="723" priority="487">
      <formula>$D20="Suspended-Restructure"</formula>
    </cfRule>
    <cfRule type="expression" dxfId="722" priority="488">
      <formula>$D20="Clear to Close"</formula>
    </cfRule>
    <cfRule type="expression" dxfId="721" priority="489">
      <formula>$D20="Submitted to Underwriting"</formula>
    </cfRule>
  </conditionalFormatting>
  <conditionalFormatting sqref="D21:J21">
    <cfRule type="expression" dxfId="720" priority="420">
      <formula>$D21="Cancel-Decline"</formula>
    </cfRule>
    <cfRule type="expression" dxfId="719" priority="421">
      <formula>$D21="Funded"</formula>
    </cfRule>
    <cfRule type="expression" dxfId="718" priority="422">
      <formula>$D21="0 - MessageError!"</formula>
    </cfRule>
    <cfRule type="expression" dxfId="717" priority="423">
      <formula>$D21="9- Changed Mind"</formula>
    </cfRule>
    <cfRule type="expression" dxfId="716" priority="424">
      <formula>$D21="8- Home Values"</formula>
    </cfRule>
    <cfRule type="expression" dxfId="715" priority="425">
      <formula>$D21="7- Market Drop"</formula>
    </cfRule>
    <cfRule type="expression" dxfId="714" priority="426">
      <formula>$D21="6- Another Lender"</formula>
    </cfRule>
    <cfRule type="expression" dxfId="713" priority="427">
      <formula>$D21="5- ChangedMind?"</formula>
    </cfRule>
    <cfRule type="expression" dxfId="712" priority="428">
      <formula>$D21="4- Don'tQualify"</formula>
    </cfRule>
    <cfRule type="expression" dxfId="711" priority="429">
      <formula>$D21="3- CashOut"</formula>
    </cfRule>
    <cfRule type="expression" dxfId="710" priority="430">
      <formula>$D21="2- RevisedQuote"</formula>
    </cfRule>
    <cfRule type="expression" dxfId="709" priority="431">
      <formula>$D21="1- FollowUp"</formula>
    </cfRule>
    <cfRule type="expression" dxfId="708" priority="432" stopIfTrue="1">
      <formula>$D21="Responded"</formula>
    </cfRule>
    <cfRule type="expression" dxfId="707" priority="433">
      <formula>$D21="Locked!"</formula>
    </cfRule>
    <cfRule type="expression" dxfId="706" priority="434">
      <formula>$D21="E-signed!"</formula>
    </cfRule>
    <cfRule type="expression" dxfId="705" priority="435">
      <formula>$D21="Docs Received!"</formula>
    </cfRule>
    <cfRule type="expression" dxfId="704" priority="436">
      <formula>$D21="Disclosures Going Out..."</formula>
    </cfRule>
    <cfRule type="expression" dxfId="703" priority="437">
      <formula>$D21="Disclosures Sent!"</formula>
    </cfRule>
    <cfRule type="expression" dxfId="702" priority="438">
      <formula>$D21="FIGURE - Link Sent!"</formula>
    </cfRule>
    <cfRule type="expression" dxfId="701" priority="439">
      <formula>$D21="Hard Money Opportunity"</formula>
    </cfRule>
    <cfRule type="expression" dxfId="700" priority="440">
      <formula>$D21="Communicating..."</formula>
    </cfRule>
    <cfRule type="expression" dxfId="699" priority="441">
      <formula>$D21="Not Interested"</formula>
    </cfRule>
    <cfRule type="expression" dxfId="698" priority="442">
      <formula>$D21="APP - Pitched &gt; Follow up"</formula>
    </cfRule>
    <cfRule type="expression" dxfId="697" priority="443">
      <formula>$D21="Appt Scheduled"</formula>
    </cfRule>
    <cfRule type="expression" dxfId="696" priority="444">
      <formula>$D21="Reverse Mortgage Opportunity"</formula>
    </cfRule>
    <cfRule type="expression" dxfId="695" priority="445">
      <formula>$D21="Purchase"</formula>
    </cfRule>
    <cfRule type="expression" dxfId="694" priority="446">
      <formula>$D21="Verified Approval Letter"</formula>
    </cfRule>
    <cfRule type="expression" dxfId="693" priority="447">
      <formula>$D21="*Thinking about it*"</formula>
    </cfRule>
    <cfRule type="expression" dxfId="692" priority="448">
      <formula>$D21="DNQ"</formula>
    </cfRule>
    <cfRule type="expression" dxfId="691" priority="449">
      <formula>$D21="Commercial/Business Loan"</formula>
    </cfRule>
    <cfRule type="expression" dxfId="690" priority="450">
      <formula>$D21="Credit - Wayfinder"</formula>
    </cfRule>
    <cfRule type="expression" dxfId="689" priority="451">
      <formula>$D21="Match or Beat"</formula>
    </cfRule>
    <cfRule type="expression" dxfId="688" priority="452">
      <formula>$D21="Future Deal"</formula>
    </cfRule>
    <cfRule type="expression" dxfId="687" priority="453">
      <formula>$D21="Prospect -Email Sent"</formula>
    </cfRule>
    <cfRule type="expression" dxfId="686" priority="454">
      <formula>$D21="STOP!"</formula>
    </cfRule>
    <cfRule type="expression" dxfId="685" priority="455">
      <formula>$D21="No Benefit"</formula>
    </cfRule>
    <cfRule type="expression" dxfId="684" priority="456">
      <formula>$D21="Went With Another Lender"</formula>
    </cfRule>
    <cfRule type="expression" dxfId="683" priority="457">
      <formula>$D21="Called 3x"</formula>
    </cfRule>
    <cfRule type="expression" dxfId="682" priority="458">
      <formula>$D21="Called 2x"</formula>
    </cfRule>
    <cfRule type="expression" dxfId="681" priority="459">
      <formula>$D21="T15 - MessageError!"</formula>
    </cfRule>
    <cfRule type="expression" dxfId="680" priority="460">
      <formula>$D21="T14 - Right Person?"</formula>
    </cfRule>
    <cfRule type="expression" dxfId="679" priority="461">
      <formula>$D21="T13 - Email"</formula>
    </cfRule>
    <cfRule type="expression" dxfId="678" priority="462">
      <formula>$D21="T12 - Blown Up"</formula>
    </cfRule>
    <cfRule type="expression" dxfId="677" priority="463">
      <formula>$D21="T11 - More Time?"</formula>
    </cfRule>
    <cfRule type="expression" dxfId="676" priority="464">
      <formula>$D21="T10 - Really Busy"</formula>
    </cfRule>
    <cfRule type="expression" dxfId="675" priority="465">
      <formula>$D21="T9 - Majority of Clients"</formula>
    </cfRule>
    <cfRule type="expression" dxfId="674" priority="466">
      <formula>$D21="T8 - STOP Contact"</formula>
    </cfRule>
    <cfRule type="expression" dxfId="673" priority="467">
      <formula>$D21="T7 - Another Lender"</formula>
    </cfRule>
    <cfRule type="expression" dxfId="672" priority="468">
      <formula>$D21="T6 - Don’t Qualify?"</formula>
    </cfRule>
    <cfRule type="expression" dxfId="671" priority="469">
      <formula>$D21="T5 - Debt Consolidation"</formula>
    </cfRule>
    <cfRule type="expression" dxfId="670" priority="470">
      <formula>$D21="T4 - Debt / Home"</formula>
    </cfRule>
    <cfRule type="expression" dxfId="669" priority="471">
      <formula>$D21="T3 - Correct Cash"</formula>
    </cfRule>
    <cfRule type="expression" dxfId="668" priority="472">
      <formula>$D21="T2 - Revised"</formula>
    </cfRule>
    <cfRule type="expression" dxfId="667" priority="473">
      <formula>$D21="T1 - Follow Up"</formula>
    </cfRule>
    <cfRule type="expression" dxfId="666" priority="474">
      <formula>$D21="APP - LOCKED!"</formula>
    </cfRule>
    <cfRule type="expression" dxfId="665" priority="475">
      <formula>$D21="LOCKED!"</formula>
    </cfRule>
    <cfRule type="expression" dxfId="664" priority="476">
      <formula>$D21="APP - Pitched &gt; Follow Up!"</formula>
    </cfRule>
    <cfRule type="expression" dxfId="663" priority="477">
      <formula>$D21="Pitched &gt; FOLLOW UP!"</formula>
    </cfRule>
    <cfRule type="expression" dxfId="662" priority="478">
      <formula>$D21="APP - Application Taken"</formula>
    </cfRule>
    <cfRule type="expression" dxfId="661" priority="479">
      <formula>$D21="AL - HOT!"</formula>
    </cfRule>
    <cfRule type="expression" dxfId="660" priority="480">
      <formula>$D21="AL - Responded"</formula>
    </cfRule>
    <cfRule type="expression" dxfId="659" priority="481">
      <formula>$D21="Prospect - Appt Scheduled"</formula>
    </cfRule>
    <cfRule type="expression" dxfId="658" priority="482">
      <formula>$D21="Appt Scheduled"</formula>
    </cfRule>
    <cfRule type="expression" dxfId="657" priority="483">
      <formula>$D21="Prospect - Follow Up"</formula>
    </cfRule>
    <cfRule type="expression" dxfId="656" priority="484">
      <formula>$D21="Prospect - HOT!"</formula>
    </cfRule>
    <cfRule type="expression" dxfId="655" priority="485">
      <formula>$D21="Prospect - Warm"</formula>
    </cfRule>
  </conditionalFormatting>
  <conditionalFormatting sqref="D21:J21">
    <cfRule type="expression" dxfId="654" priority="416">
      <formula>$D21="Potential Cancel"</formula>
    </cfRule>
    <cfRule type="expression" dxfId="653" priority="417">
      <formula>$D21="Suspended-Restructure"</formula>
    </cfRule>
    <cfRule type="expression" dxfId="652" priority="418">
      <formula>$D21="Clear to Close"</formula>
    </cfRule>
    <cfRule type="expression" dxfId="651" priority="419">
      <formula>$D21="Submitted to Underwriting"</formula>
    </cfRule>
  </conditionalFormatting>
  <conditionalFormatting sqref="K22:U22">
    <cfRule type="expression" dxfId="650" priority="350">
      <formula>$D22="Cancel-Decline"</formula>
    </cfRule>
    <cfRule type="expression" dxfId="649" priority="351">
      <formula>$D22="Funded"</formula>
    </cfRule>
    <cfRule type="expression" dxfId="648" priority="352">
      <formula>$D22="0 - MessageError!"</formula>
    </cfRule>
    <cfRule type="expression" dxfId="647" priority="353">
      <formula>$D22="9- Changed Mind"</formula>
    </cfRule>
    <cfRule type="expression" dxfId="646" priority="354">
      <formula>$D22="8- Home Values"</formula>
    </cfRule>
    <cfRule type="expression" dxfId="645" priority="355">
      <formula>$D22="7- Market Drop"</formula>
    </cfRule>
    <cfRule type="expression" dxfId="644" priority="356">
      <formula>$D22="6- Another Lender"</formula>
    </cfRule>
    <cfRule type="expression" dxfId="643" priority="357">
      <formula>$D22="5- ChangedMind?"</formula>
    </cfRule>
    <cfRule type="expression" dxfId="642" priority="358">
      <formula>$D22="4- Don'tQualify"</formula>
    </cfRule>
    <cfRule type="expression" dxfId="641" priority="359">
      <formula>$D22="3- CashOut"</formula>
    </cfRule>
    <cfRule type="expression" dxfId="640" priority="360">
      <formula>$D22="2- RevisedQuote"</formula>
    </cfRule>
    <cfRule type="expression" dxfId="639" priority="361">
      <formula>$D22="1- FollowUp"</formula>
    </cfRule>
    <cfRule type="expression" dxfId="638" priority="362" stopIfTrue="1">
      <formula>$D22="Responded"</formula>
    </cfRule>
    <cfRule type="expression" dxfId="637" priority="363">
      <formula>$D22="Locked!"</formula>
    </cfRule>
    <cfRule type="expression" dxfId="636" priority="364">
      <formula>$D22="E-signed!"</formula>
    </cfRule>
    <cfRule type="expression" dxfId="635" priority="365">
      <formula>$D22="Docs Received!"</formula>
    </cfRule>
    <cfRule type="expression" dxfId="634" priority="366">
      <formula>$D22="Disclosures Going Out..."</formula>
    </cfRule>
    <cfRule type="expression" dxfId="633" priority="367">
      <formula>$D22="Disclosures Sent!"</formula>
    </cfRule>
    <cfRule type="expression" dxfId="632" priority="368">
      <formula>$D22="FIGURE - Link Sent!"</formula>
    </cfRule>
    <cfRule type="expression" dxfId="631" priority="369">
      <formula>$D22="Hard Money Opportunity"</formula>
    </cfRule>
    <cfRule type="expression" dxfId="630" priority="370">
      <formula>$D22="Communicating..."</formula>
    </cfRule>
    <cfRule type="expression" dxfId="629" priority="371">
      <formula>$D22="Not Interested"</formula>
    </cfRule>
    <cfRule type="expression" dxfId="628" priority="372">
      <formula>$D22="APP - Pitched &gt; Follow up"</formula>
    </cfRule>
    <cfRule type="expression" dxfId="627" priority="373">
      <formula>$D22="Appt Scheduled"</formula>
    </cfRule>
    <cfRule type="expression" dxfId="626" priority="374">
      <formula>$D22="Reverse Mortgage Opportunity"</formula>
    </cfRule>
    <cfRule type="expression" dxfId="625" priority="375">
      <formula>$D22="Purchase"</formula>
    </cfRule>
    <cfRule type="expression" dxfId="624" priority="376">
      <formula>$D22="Verified Approval Letter"</formula>
    </cfRule>
    <cfRule type="expression" dxfId="623" priority="377">
      <formula>$D22="*Thinking about it*"</formula>
    </cfRule>
    <cfRule type="expression" dxfId="622" priority="378">
      <formula>$D22="DNQ"</formula>
    </cfRule>
    <cfRule type="expression" dxfId="621" priority="379">
      <formula>$D22="Commercial/Business Loan"</formula>
    </cfRule>
    <cfRule type="expression" dxfId="620" priority="380">
      <formula>$D22="Credit - Wayfinder"</formula>
    </cfRule>
    <cfRule type="expression" dxfId="619" priority="381">
      <formula>$D22="Match or Beat"</formula>
    </cfRule>
    <cfRule type="expression" dxfId="618" priority="382">
      <formula>$D22="Future Deal"</formula>
    </cfRule>
    <cfRule type="expression" dxfId="617" priority="383">
      <formula>$D22="Prospect -Email Sent"</formula>
    </cfRule>
    <cfRule type="expression" dxfId="616" priority="384">
      <formula>$D22="STOP!"</formula>
    </cfRule>
    <cfRule type="expression" dxfId="615" priority="385">
      <formula>$D22="No Benefit"</formula>
    </cfRule>
    <cfRule type="expression" dxfId="614" priority="386">
      <formula>$D22="Went With Another Lender"</formula>
    </cfRule>
    <cfRule type="expression" dxfId="613" priority="387">
      <formula>$D22="Called 3x"</formula>
    </cfRule>
    <cfRule type="expression" dxfId="612" priority="388">
      <formula>$D22="Called 2x"</formula>
    </cfRule>
    <cfRule type="expression" dxfId="611" priority="389">
      <formula>$D22="T15 - MessageError!"</formula>
    </cfRule>
    <cfRule type="expression" dxfId="610" priority="390">
      <formula>$D22="T14 - Right Person?"</formula>
    </cfRule>
    <cfRule type="expression" dxfId="609" priority="391">
      <formula>$D22="T13 - Email"</formula>
    </cfRule>
    <cfRule type="expression" dxfId="608" priority="392">
      <formula>$D22="T12 - Blown Up"</formula>
    </cfRule>
    <cfRule type="expression" dxfId="607" priority="393">
      <formula>$D22="T11 - More Time?"</formula>
    </cfRule>
    <cfRule type="expression" dxfId="606" priority="394">
      <formula>$D22="T10 - Really Busy"</formula>
    </cfRule>
    <cfRule type="expression" dxfId="605" priority="395">
      <formula>$D22="T9 - Majority of Clients"</formula>
    </cfRule>
    <cfRule type="expression" dxfId="604" priority="396">
      <formula>$D22="T8 - STOP Contact"</formula>
    </cfRule>
    <cfRule type="expression" dxfId="603" priority="397">
      <formula>$D22="T7 - Another Lender"</formula>
    </cfRule>
    <cfRule type="expression" dxfId="602" priority="398">
      <formula>$D22="T6 - Don’t Qualify?"</formula>
    </cfRule>
    <cfRule type="expression" dxfId="601" priority="399">
      <formula>$D22="T5 - Debt Consolidation"</formula>
    </cfRule>
    <cfRule type="expression" dxfId="600" priority="400">
      <formula>$D22="T4 - Debt / Home"</formula>
    </cfRule>
    <cfRule type="expression" dxfId="599" priority="401">
      <formula>$D22="T3 - Correct Cash"</formula>
    </cfRule>
    <cfRule type="expression" dxfId="598" priority="402">
      <formula>$D22="T2 - Revised"</formula>
    </cfRule>
    <cfRule type="expression" dxfId="597" priority="403">
      <formula>$D22="T1 - Follow Up"</formula>
    </cfRule>
    <cfRule type="expression" dxfId="596" priority="404">
      <formula>$D22="APP - LOCKED!"</formula>
    </cfRule>
    <cfRule type="expression" dxfId="595" priority="405">
      <formula>$D22="LOCKED!"</formula>
    </cfRule>
    <cfRule type="expression" dxfId="594" priority="406">
      <formula>$D22="APP - Pitched &gt; Follow Up!"</formula>
    </cfRule>
    <cfRule type="expression" dxfId="593" priority="407">
      <formula>$D22="Pitched &gt; FOLLOW UP!"</formula>
    </cfRule>
    <cfRule type="expression" dxfId="592" priority="408">
      <formula>$D22="APP - Application Taken"</formula>
    </cfRule>
    <cfRule type="expression" dxfId="591" priority="409">
      <formula>$D22="AL - HOT!"</formula>
    </cfRule>
    <cfRule type="expression" dxfId="590" priority="410">
      <formula>$D22="AL - Responded"</formula>
    </cfRule>
    <cfRule type="expression" dxfId="589" priority="411">
      <formula>$D22="Prospect - Appt Scheduled"</formula>
    </cfRule>
    <cfRule type="expression" dxfId="588" priority="412">
      <formula>$D22="Appt Scheduled"</formula>
    </cfRule>
    <cfRule type="expression" dxfId="587" priority="413">
      <formula>$D22="Prospect - Follow Up"</formula>
    </cfRule>
    <cfRule type="expression" dxfId="586" priority="414">
      <formula>$D22="Prospect - HOT!"</formula>
    </cfRule>
    <cfRule type="expression" dxfId="585" priority="415">
      <formula>$D22="Prospect - Warm"</formula>
    </cfRule>
  </conditionalFormatting>
  <conditionalFormatting sqref="K22:U22">
    <cfRule type="expression" dxfId="584" priority="346">
      <formula>$D22="Potential Cancel"</formula>
    </cfRule>
    <cfRule type="expression" dxfId="583" priority="347">
      <formula>$D22="Suspended-Restructure"</formula>
    </cfRule>
    <cfRule type="expression" dxfId="582" priority="348">
      <formula>$D22="Clear to Close"</formula>
    </cfRule>
    <cfRule type="expression" dxfId="581" priority="349">
      <formula>$D22="Submitted to Underwriting"</formula>
    </cfRule>
  </conditionalFormatting>
  <conditionalFormatting sqref="C22">
    <cfRule type="expression" dxfId="580" priority="282">
      <formula>$D22="0 - MessageError!"</formula>
    </cfRule>
    <cfRule type="expression" dxfId="579" priority="283">
      <formula>$D22="9- Changed Mind"</formula>
    </cfRule>
    <cfRule type="expression" dxfId="578" priority="284">
      <formula>$D22="8- Home Values"</formula>
    </cfRule>
    <cfRule type="expression" dxfId="577" priority="285">
      <formula>$D22="7- Market Drop"</formula>
    </cfRule>
    <cfRule type="expression" dxfId="576" priority="286">
      <formula>$D22="6- Another Lender"</formula>
    </cfRule>
    <cfRule type="expression" dxfId="575" priority="287">
      <formula>$D22="5- ChangedMind?"</formula>
    </cfRule>
    <cfRule type="expression" dxfId="574" priority="288">
      <formula>$D22="4- Don'tQualify"</formula>
    </cfRule>
    <cfRule type="expression" dxfId="573" priority="289">
      <formula>$D22="3- CashOut"</formula>
    </cfRule>
    <cfRule type="expression" dxfId="572" priority="290">
      <formula>$D22="2- RevisedQuote"</formula>
    </cfRule>
    <cfRule type="expression" dxfId="571" priority="291">
      <formula>$D22="1- FollowUp"</formula>
    </cfRule>
    <cfRule type="expression" dxfId="570" priority="292" stopIfTrue="1">
      <formula>$D22="Responded"</formula>
    </cfRule>
    <cfRule type="expression" dxfId="569" priority="293">
      <formula>$D22="Locked!"</formula>
    </cfRule>
    <cfRule type="expression" dxfId="568" priority="294">
      <formula>$D22="E-signed!"</formula>
    </cfRule>
    <cfRule type="expression" dxfId="567" priority="295">
      <formula>$D22="Docs Received!"</formula>
    </cfRule>
    <cfRule type="expression" dxfId="566" priority="296">
      <formula>$D22="Disclosures Going Out..."</formula>
    </cfRule>
    <cfRule type="expression" dxfId="565" priority="297">
      <formula>$D22="Disclosures Sent!"</formula>
    </cfRule>
    <cfRule type="expression" dxfId="564" priority="298">
      <formula>$D22="FIGURE - Link Sent!"</formula>
    </cfRule>
    <cfRule type="expression" dxfId="563" priority="299">
      <formula>$D22="Hard Money Opportunity"</formula>
    </cfRule>
    <cfRule type="expression" dxfId="562" priority="300">
      <formula>$D22="Communicating..."</formula>
    </cfRule>
    <cfRule type="expression" dxfId="561" priority="301">
      <formula>$D22="Not Interested"</formula>
    </cfRule>
    <cfRule type="expression" dxfId="560" priority="302">
      <formula>$D22="APP - Pitched &gt; Follow up"</formula>
    </cfRule>
    <cfRule type="expression" dxfId="559" priority="303">
      <formula>$D22="Appt Scheduled"</formula>
    </cfRule>
    <cfRule type="expression" dxfId="558" priority="304">
      <formula>$D22="Reverse Mortgage Opportunity"</formula>
    </cfRule>
    <cfRule type="expression" dxfId="557" priority="305">
      <formula>$D22="Purchase"</formula>
    </cfRule>
    <cfRule type="expression" dxfId="556" priority="306">
      <formula>$D22="Verified Approval Letter"</formula>
    </cfRule>
    <cfRule type="expression" dxfId="555" priority="307">
      <formula>$D22="*Thinking about it*"</formula>
    </cfRule>
    <cfRule type="expression" dxfId="554" priority="308">
      <formula>$D22="DNQ"</formula>
    </cfRule>
    <cfRule type="expression" dxfId="553" priority="309">
      <formula>$D22="Commercial/Business Loan"</formula>
    </cfRule>
    <cfRule type="expression" dxfId="552" priority="310">
      <formula>$D22="Credit - Wayfinder"</formula>
    </cfRule>
    <cfRule type="expression" dxfId="551" priority="311">
      <formula>$D22="Match or Beat"</formula>
    </cfRule>
    <cfRule type="expression" dxfId="550" priority="312">
      <formula>$D22="Future Deal"</formula>
    </cfRule>
    <cfRule type="expression" dxfId="549" priority="313">
      <formula>$D22="Prospect -Email Sent"</formula>
    </cfRule>
    <cfRule type="expression" dxfId="548" priority="314">
      <formula>$D22="STOP!"</formula>
    </cfRule>
    <cfRule type="expression" dxfId="547" priority="315">
      <formula>$D22="Cold - Unresponsive"</formula>
    </cfRule>
    <cfRule type="expression" dxfId="546" priority="316">
      <formula>$D22="Cold - Wrong Number"</formula>
    </cfRule>
    <cfRule type="expression" dxfId="545" priority="317">
      <formula>$D22="Called 3x"</formula>
    </cfRule>
    <cfRule type="expression" dxfId="544" priority="318">
      <formula>$D22="Called 2x"</formula>
    </cfRule>
    <cfRule type="expression" dxfId="543" priority="319">
      <formula>$D22="T15 - MessageError!"</formula>
    </cfRule>
    <cfRule type="expression" dxfId="542" priority="320">
      <formula>$D22="T14 - Right Person?"</formula>
    </cfRule>
    <cfRule type="expression" dxfId="541" priority="321">
      <formula>$D22="T13 - Email"</formula>
    </cfRule>
    <cfRule type="expression" dxfId="540" priority="322">
      <formula>$D22="T12 - Blown Up"</formula>
    </cfRule>
    <cfRule type="expression" dxfId="539" priority="323">
      <formula>$D22="T11 - More Time?"</formula>
    </cfRule>
    <cfRule type="expression" dxfId="538" priority="324">
      <formula>$D22="T10 - Really Busy"</formula>
    </cfRule>
    <cfRule type="expression" dxfId="537" priority="325">
      <formula>$D22="T9 - Majority of Clients"</formula>
    </cfRule>
    <cfRule type="expression" dxfId="536" priority="326">
      <formula>$D22="T8 - STOP Contact"</formula>
    </cfRule>
    <cfRule type="expression" dxfId="535" priority="327">
      <formula>$D22="T7 - Another Lender"</formula>
    </cfRule>
    <cfRule type="expression" dxfId="534" priority="328">
      <formula>$D22="T6 - Don’t Qualify?"</formula>
    </cfRule>
    <cfRule type="expression" dxfId="533" priority="329">
      <formula>$D22="T5 - Debt Consolidation"</formula>
    </cfRule>
    <cfRule type="expression" dxfId="532" priority="330">
      <formula>$D22="T4 - Debt / Home"</formula>
    </cfRule>
    <cfRule type="expression" dxfId="531" priority="331">
      <formula>$D22="T3 - Correct Cash"</formula>
    </cfRule>
    <cfRule type="expression" dxfId="530" priority="332">
      <formula>$D22="T2 - Revised"</formula>
    </cfRule>
    <cfRule type="expression" dxfId="529" priority="333">
      <formula>$D22="T1 - Follow Up"</formula>
    </cfRule>
    <cfRule type="expression" dxfId="528" priority="334">
      <formula>$D22="APP - LOCKED!"</formula>
    </cfRule>
    <cfRule type="expression" dxfId="527" priority="335">
      <formula>$D22="LOCKED!"</formula>
    </cfRule>
    <cfRule type="expression" dxfId="526" priority="336">
      <formula>$D22="APP - Pitched &gt; Follow Up!"</formula>
    </cfRule>
    <cfRule type="expression" dxfId="525" priority="337">
      <formula>$D22="Pitched &gt; FOLLOW UP!"</formula>
    </cfRule>
    <cfRule type="expression" dxfId="524" priority="338">
      <formula>$D22="APP - Application Taken"</formula>
    </cfRule>
    <cfRule type="expression" dxfId="523" priority="339">
      <formula>$D22="AL - HOT!"</formula>
    </cfRule>
    <cfRule type="expression" dxfId="522" priority="340">
      <formula>$D22="AL - Responded"</formula>
    </cfRule>
    <cfRule type="expression" dxfId="521" priority="341">
      <formula>$D22="Prospect - Appt Scheduled"</formula>
    </cfRule>
    <cfRule type="expression" dxfId="520" priority="342">
      <formula>$D22="Appt Scheduled"</formula>
    </cfRule>
    <cfRule type="expression" dxfId="519" priority="343">
      <formula>$D22="Prospect - Follow Up"</formula>
    </cfRule>
    <cfRule type="expression" dxfId="518" priority="344">
      <formula>$D22="Prospect - HOT!"</formula>
    </cfRule>
    <cfRule type="expression" dxfId="517" priority="345">
      <formula>$D22="Prospect - Warm"</formula>
    </cfRule>
  </conditionalFormatting>
  <conditionalFormatting sqref="C22">
    <cfRule type="expression" dxfId="516" priority="281">
      <formula>$D22="0 - MessageError!"</formula>
    </cfRule>
  </conditionalFormatting>
  <conditionalFormatting sqref="C22">
    <cfRule type="expression" dxfId="515" priority="215">
      <formula>$D22="Cancel-Decline"</formula>
    </cfRule>
    <cfRule type="expression" dxfId="514" priority="216">
      <formula>$D22="Funded"</formula>
    </cfRule>
    <cfRule type="expression" dxfId="513" priority="217">
      <formula>$D22="Pitched &gt; FOLLOW UP!"</formula>
    </cfRule>
    <cfRule type="expression" dxfId="512" priority="218">
      <formula>$D22="0 - MessageError!"</formula>
    </cfRule>
    <cfRule type="expression" dxfId="511" priority="219">
      <formula>$D22="9- Changed Mind"</formula>
    </cfRule>
    <cfRule type="expression" dxfId="510" priority="220">
      <formula>$D22="8- Home Values"</formula>
    </cfRule>
    <cfRule type="expression" dxfId="509" priority="221">
      <formula>$D22="7- Market Drop"</formula>
    </cfRule>
    <cfRule type="expression" dxfId="508" priority="222">
      <formula>$D22="6- Another Lender"</formula>
    </cfRule>
    <cfRule type="expression" dxfId="507" priority="223">
      <formula>$D22="5- ChangedMind?"</formula>
    </cfRule>
    <cfRule type="expression" dxfId="506" priority="224">
      <formula>$D22="4- Don'tQualify"</formula>
    </cfRule>
    <cfRule type="expression" dxfId="505" priority="225">
      <formula>$D22="3- CashOut"</formula>
    </cfRule>
    <cfRule type="expression" dxfId="504" priority="226">
      <formula>$D22="2- RevisedQuote"</formula>
    </cfRule>
    <cfRule type="expression" dxfId="503" priority="227">
      <formula>$D22="1- FollowUp"</formula>
    </cfRule>
    <cfRule type="expression" dxfId="502" priority="228">
      <formula>$D22="Responded"</formula>
    </cfRule>
    <cfRule type="expression" dxfId="501" priority="229">
      <formula>$D22="Locked!"</formula>
    </cfRule>
    <cfRule type="expression" dxfId="500" priority="230">
      <formula>$D22="E-signed!"</formula>
    </cfRule>
    <cfRule type="expression" dxfId="499" priority="231">
      <formula>$D22="Docs Received!"</formula>
    </cfRule>
    <cfRule type="expression" dxfId="498" priority="232">
      <formula>$D22="Disclosures Going Out..."</formula>
    </cfRule>
    <cfRule type="expression" dxfId="497" priority="233">
      <formula>$D22="Disclosures Sent!"</formula>
    </cfRule>
    <cfRule type="expression" dxfId="496" priority="234">
      <formula>$D22="FIGURE - Link Sent!"</formula>
    </cfRule>
    <cfRule type="expression" dxfId="495" priority="235">
      <formula>$D22="Hard Money Opportunity"</formula>
    </cfRule>
    <cfRule type="expression" dxfId="494" priority="236">
      <formula>$D22="Communicating..."</formula>
    </cfRule>
    <cfRule type="expression" dxfId="493" priority="237">
      <formula>$D22="Not Interested"</formula>
    </cfRule>
    <cfRule type="expression" dxfId="492" priority="238">
      <formula>$D22="APP - Pitched &gt; Follow up"</formula>
    </cfRule>
    <cfRule type="expression" dxfId="491" priority="239">
      <formula>$D22="Appt Scheduled"</formula>
    </cfRule>
    <cfRule type="expression" dxfId="490" priority="240">
      <formula>$D22="Reverse Mortgage Opportunity"</formula>
    </cfRule>
    <cfRule type="expression" dxfId="489" priority="241">
      <formula>$D22="Purchase"</formula>
    </cfRule>
    <cfRule type="expression" dxfId="488" priority="242">
      <formula>$D22="Verified Approval Letter"</formula>
    </cfRule>
    <cfRule type="expression" dxfId="487" priority="243">
      <formula>$D22="*Thinking about it*"</formula>
    </cfRule>
    <cfRule type="expression" dxfId="486" priority="244">
      <formula>$D22="DNQ"</formula>
    </cfRule>
    <cfRule type="expression" dxfId="485" priority="245">
      <formula>$D22="Commercial/Business Loan"</formula>
    </cfRule>
    <cfRule type="expression" dxfId="484" priority="246">
      <formula>$D22="Credit - Wayfinder"</formula>
    </cfRule>
    <cfRule type="expression" dxfId="483" priority="247">
      <formula>$D22="Match or Beat"</formula>
    </cfRule>
    <cfRule type="expression" dxfId="482" priority="248">
      <formula>$D22="Future Deal"</formula>
    </cfRule>
    <cfRule type="expression" dxfId="481" priority="249">
      <formula>$D22="Prospect -Email Sent"</formula>
    </cfRule>
    <cfRule type="expression" dxfId="480" priority="250">
      <formula>$D22="STOP!"</formula>
    </cfRule>
    <cfRule type="expression" dxfId="479" priority="251">
      <formula>$D22="Cold - Unresponsive"</formula>
    </cfRule>
    <cfRule type="expression" dxfId="478" priority="252">
      <formula>$D22="Cold - Wrong Number"</formula>
    </cfRule>
    <cfRule type="expression" dxfId="477" priority="253">
      <formula>$D22="Called 3x"</formula>
    </cfRule>
    <cfRule type="expression" dxfId="476" priority="254">
      <formula>$D22="Called 2x"</formula>
    </cfRule>
    <cfRule type="expression" dxfId="475" priority="255">
      <formula>$D22="T15 - MessageError!"</formula>
    </cfRule>
    <cfRule type="expression" dxfId="474" priority="256">
      <formula>$D22="T14 - Right Person?"</formula>
    </cfRule>
    <cfRule type="expression" dxfId="473" priority="257">
      <formula>$D22="T13 - Email"</formula>
    </cfRule>
    <cfRule type="expression" dxfId="472" priority="258">
      <formula>$D22="T12 - Blown Up"</formula>
    </cfRule>
    <cfRule type="expression" dxfId="471" priority="259">
      <formula>$D22="T11 - More Time?"</formula>
    </cfRule>
    <cfRule type="expression" dxfId="470" priority="260">
      <formula>$D22="T10 - Really Busy"</formula>
    </cfRule>
    <cfRule type="expression" dxfId="469" priority="261">
      <formula>$D22="T9 - Majority of Clients"</formula>
    </cfRule>
    <cfRule type="expression" dxfId="468" priority="262">
      <formula>$D22="T8 - STOP Contact"</formula>
    </cfRule>
    <cfRule type="expression" dxfId="467" priority="263">
      <formula>$D22="T7 - Another Lender"</formula>
    </cfRule>
    <cfRule type="expression" dxfId="466" priority="264">
      <formula>$D22="T6 - Don’t Qualify?"</formula>
    </cfRule>
    <cfRule type="expression" dxfId="465" priority="265">
      <formula>$D22="T5 - Debt Consolidation"</formula>
    </cfRule>
    <cfRule type="expression" dxfId="464" priority="266">
      <formula>$D22="T4 - Debt / Home"</formula>
    </cfRule>
    <cfRule type="expression" dxfId="463" priority="267">
      <formula>$D22="T3 - Correct Cash"</formula>
    </cfRule>
    <cfRule type="expression" dxfId="462" priority="268">
      <formula>$D22="T2 - Revised"</formula>
    </cfRule>
    <cfRule type="expression" dxfId="461" priority="269">
      <formula>$D22="T1 - Follow Up"</formula>
    </cfRule>
    <cfRule type="expression" dxfId="460" priority="270">
      <formula>$D22="APP - LOCKED!"</formula>
    </cfRule>
    <cfRule type="expression" dxfId="459" priority="271">
      <formula>$D22="LOCKED!"</formula>
    </cfRule>
    <cfRule type="expression" dxfId="458" priority="272">
      <formula>$D22="APP - Pitched &gt; Follow Up!"</formula>
    </cfRule>
    <cfRule type="expression" dxfId="457" priority="273">
      <formula>$D22="APP - Application Taken"</formula>
    </cfRule>
    <cfRule type="expression" dxfId="456" priority="274">
      <formula>$D22="AL - HOT!"</formula>
    </cfRule>
    <cfRule type="expression" dxfId="455" priority="275">
      <formula>$D22="AL - Responded"</formula>
    </cfRule>
    <cfRule type="expression" dxfId="454" priority="276">
      <formula>$D22="Prospect - Appt Scheduled"</formula>
    </cfRule>
    <cfRule type="expression" dxfId="453" priority="277">
      <formula>$D22="Appt Scheduled"</formula>
    </cfRule>
    <cfRule type="expression" dxfId="452" priority="278">
      <formula>$D22="Prospect - Follow Up"</formula>
    </cfRule>
    <cfRule type="expression" dxfId="451" priority="279">
      <formula>$D22="Prospect - HOT!"</formula>
    </cfRule>
    <cfRule type="expression" dxfId="450" priority="280">
      <formula>$D22="Prospect - Warm"</formula>
    </cfRule>
  </conditionalFormatting>
  <conditionalFormatting sqref="D22:J22">
    <cfRule type="expression" dxfId="449" priority="149">
      <formula>$D22="Cancel-Decline"</formula>
    </cfRule>
    <cfRule type="expression" dxfId="448" priority="150">
      <formula>$D22="Funded"</formula>
    </cfRule>
    <cfRule type="expression" dxfId="447" priority="151">
      <formula>$D22="0 - MessageError!"</formula>
    </cfRule>
    <cfRule type="expression" dxfId="446" priority="152">
      <formula>$D22="9- Changed Mind"</formula>
    </cfRule>
    <cfRule type="expression" dxfId="445" priority="153">
      <formula>$D22="8- Home Values"</formula>
    </cfRule>
    <cfRule type="expression" dxfId="444" priority="154">
      <formula>$D22="7- Market Drop"</formula>
    </cfRule>
    <cfRule type="expression" dxfId="443" priority="155">
      <formula>$D22="6- Another Lender"</formula>
    </cfRule>
    <cfRule type="expression" dxfId="442" priority="156">
      <formula>$D22="5- ChangedMind?"</formula>
    </cfRule>
    <cfRule type="expression" dxfId="441" priority="157">
      <formula>$D22="4- Don'tQualify"</formula>
    </cfRule>
    <cfRule type="expression" dxfId="440" priority="158">
      <formula>$D22="3- CashOut"</formula>
    </cfRule>
    <cfRule type="expression" dxfId="439" priority="159">
      <formula>$D22="2- RevisedQuote"</formula>
    </cfRule>
    <cfRule type="expression" dxfId="438" priority="160">
      <formula>$D22="1- FollowUp"</formula>
    </cfRule>
    <cfRule type="expression" dxfId="437" priority="161" stopIfTrue="1">
      <formula>$D22="Responded"</formula>
    </cfRule>
    <cfRule type="expression" dxfId="436" priority="162">
      <formula>$D22="Locked!"</formula>
    </cfRule>
    <cfRule type="expression" dxfId="435" priority="163">
      <formula>$D22="E-signed!"</formula>
    </cfRule>
    <cfRule type="expression" dxfId="434" priority="164">
      <formula>$D22="Docs Received!"</formula>
    </cfRule>
    <cfRule type="expression" dxfId="433" priority="165">
      <formula>$D22="Disclosures Going Out..."</formula>
    </cfRule>
    <cfRule type="expression" dxfId="432" priority="166">
      <formula>$D22="Disclosures Sent!"</formula>
    </cfRule>
    <cfRule type="expression" dxfId="431" priority="167">
      <formula>$D22="FIGURE - Link Sent!"</formula>
    </cfRule>
    <cfRule type="expression" dxfId="430" priority="168">
      <formula>$D22="Hard Money Opportunity"</formula>
    </cfRule>
    <cfRule type="expression" dxfId="429" priority="169">
      <formula>$D22="Communicating..."</formula>
    </cfRule>
    <cfRule type="expression" dxfId="428" priority="170">
      <formula>$D22="Not Interested"</formula>
    </cfRule>
    <cfRule type="expression" dxfId="427" priority="171">
      <formula>$D22="APP - Pitched &gt; Follow up"</formula>
    </cfRule>
    <cfRule type="expression" dxfId="426" priority="172">
      <formula>$D22="Appt Scheduled"</formula>
    </cfRule>
    <cfRule type="expression" dxfId="425" priority="173">
      <formula>$D22="Reverse Mortgage Opportunity"</formula>
    </cfRule>
    <cfRule type="expression" dxfId="424" priority="174">
      <formula>$D22="Purchase"</formula>
    </cfRule>
    <cfRule type="expression" dxfId="423" priority="175">
      <formula>$D22="Verified Approval Letter"</formula>
    </cfRule>
    <cfRule type="expression" dxfId="422" priority="176">
      <formula>$D22="*Thinking about it*"</formula>
    </cfRule>
    <cfRule type="expression" dxfId="421" priority="177">
      <formula>$D22="DNQ"</formula>
    </cfRule>
    <cfRule type="expression" dxfId="420" priority="178">
      <formula>$D22="Commercial/Business Loan"</formula>
    </cfRule>
    <cfRule type="expression" dxfId="419" priority="179">
      <formula>$D22="Credit - Wayfinder"</formula>
    </cfRule>
    <cfRule type="expression" dxfId="418" priority="180">
      <formula>$D22="Match or Beat"</formula>
    </cfRule>
    <cfRule type="expression" dxfId="417" priority="181">
      <formula>$D22="Future Deal"</formula>
    </cfRule>
    <cfRule type="expression" dxfId="416" priority="182">
      <formula>$D22="Prospect -Email Sent"</formula>
    </cfRule>
    <cfRule type="expression" dxfId="415" priority="183">
      <formula>$D22="STOP!"</formula>
    </cfRule>
    <cfRule type="expression" dxfId="414" priority="184">
      <formula>$D22="No Benefit"</formula>
    </cfRule>
    <cfRule type="expression" dxfId="413" priority="185">
      <formula>$D22="Went With Another Lender"</formula>
    </cfRule>
    <cfRule type="expression" dxfId="412" priority="186">
      <formula>$D22="Called 3x"</formula>
    </cfRule>
    <cfRule type="expression" dxfId="411" priority="187">
      <formula>$D22="Called 2x"</formula>
    </cfRule>
    <cfRule type="expression" dxfId="410" priority="188">
      <formula>$D22="T15 - MessageError!"</formula>
    </cfRule>
    <cfRule type="expression" dxfId="409" priority="189">
      <formula>$D22="T14 - Right Person?"</formula>
    </cfRule>
    <cfRule type="expression" dxfId="408" priority="190">
      <formula>$D22="T13 - Email"</formula>
    </cfRule>
    <cfRule type="expression" dxfId="407" priority="191">
      <formula>$D22="T12 - Blown Up"</formula>
    </cfRule>
    <cfRule type="expression" dxfId="406" priority="192">
      <formula>$D22="T11 - More Time?"</formula>
    </cfRule>
    <cfRule type="expression" dxfId="405" priority="193">
      <formula>$D22="T10 - Really Busy"</formula>
    </cfRule>
    <cfRule type="expression" dxfId="404" priority="194">
      <formula>$D22="T9 - Majority of Clients"</formula>
    </cfRule>
    <cfRule type="expression" dxfId="403" priority="195">
      <formula>$D22="T8 - STOP Contact"</formula>
    </cfRule>
    <cfRule type="expression" dxfId="402" priority="196">
      <formula>$D22="T7 - Another Lender"</formula>
    </cfRule>
    <cfRule type="expression" dxfId="401" priority="197">
      <formula>$D22="T6 - Don’t Qualify?"</formula>
    </cfRule>
    <cfRule type="expression" dxfId="400" priority="198">
      <formula>$D22="T5 - Debt Consolidation"</formula>
    </cfRule>
    <cfRule type="expression" dxfId="399" priority="199">
      <formula>$D22="T4 - Debt / Home"</formula>
    </cfRule>
    <cfRule type="expression" dxfId="398" priority="200">
      <formula>$D22="T3 - Correct Cash"</formula>
    </cfRule>
    <cfRule type="expression" dxfId="397" priority="201">
      <formula>$D22="T2 - Revised"</formula>
    </cfRule>
    <cfRule type="expression" dxfId="396" priority="202">
      <formula>$D22="T1 - Follow Up"</formula>
    </cfRule>
    <cfRule type="expression" dxfId="395" priority="203">
      <formula>$D22="APP - LOCKED!"</formula>
    </cfRule>
    <cfRule type="expression" dxfId="394" priority="204">
      <formula>$D22="LOCKED!"</formula>
    </cfRule>
    <cfRule type="expression" dxfId="393" priority="205">
      <formula>$D22="APP - Pitched &gt; Follow Up!"</formula>
    </cfRule>
    <cfRule type="expression" dxfId="392" priority="206">
      <formula>$D22="Pitched &gt; FOLLOW UP!"</formula>
    </cfRule>
    <cfRule type="expression" dxfId="391" priority="207">
      <formula>$D22="APP - Application Taken"</formula>
    </cfRule>
    <cfRule type="expression" dxfId="390" priority="208">
      <formula>$D22="AL - HOT!"</formula>
    </cfRule>
    <cfRule type="expression" dxfId="389" priority="209">
      <formula>$D22="AL - Responded"</formula>
    </cfRule>
    <cfRule type="expression" dxfId="388" priority="210">
      <formula>$D22="Prospect - Appt Scheduled"</formula>
    </cfRule>
    <cfRule type="expression" dxfId="387" priority="211">
      <formula>$D22="Appt Scheduled"</formula>
    </cfRule>
    <cfRule type="expression" dxfId="386" priority="212">
      <formula>$D22="Prospect - Follow Up"</formula>
    </cfRule>
    <cfRule type="expression" dxfId="385" priority="213">
      <formula>$D22="Prospect - HOT!"</formula>
    </cfRule>
    <cfRule type="expression" dxfId="384" priority="214">
      <formula>$D22="Prospect - Warm"</formula>
    </cfRule>
  </conditionalFormatting>
  <conditionalFormatting sqref="D22:J22">
    <cfRule type="expression" dxfId="383" priority="145">
      <formula>$D22="Potential Cancel"</formula>
    </cfRule>
    <cfRule type="expression" dxfId="382" priority="146">
      <formula>$D22="Suspended-Restructure"</formula>
    </cfRule>
    <cfRule type="expression" dxfId="381" priority="147">
      <formula>$D22="Clear to Close"</formula>
    </cfRule>
    <cfRule type="expression" dxfId="380" priority="148">
      <formula>$D22="Submitted to Underwriting"</formula>
    </cfRule>
  </conditionalFormatting>
  <conditionalFormatting sqref="B22">
    <cfRule type="expression" dxfId="379" priority="79">
      <formula>$D22="Cancel-Decline"</formula>
    </cfRule>
    <cfRule type="expression" dxfId="378" priority="80">
      <formula>$D22="Funded"</formula>
    </cfRule>
    <cfRule type="expression" dxfId="377" priority="81">
      <formula>$D22="0 - MessageError!"</formula>
    </cfRule>
    <cfRule type="expression" dxfId="376" priority="82">
      <formula>$D22="9- Changed Mind"</formula>
    </cfRule>
    <cfRule type="expression" dxfId="375" priority="83">
      <formula>$D22="8- Home Values"</formula>
    </cfRule>
    <cfRule type="expression" dxfId="374" priority="84">
      <formula>$D22="7- Market Drop"</formula>
    </cfRule>
    <cfRule type="expression" dxfId="373" priority="85">
      <formula>$D22="6- Another Lender"</formula>
    </cfRule>
    <cfRule type="expression" dxfId="372" priority="86">
      <formula>$D22="5- ChangedMind?"</formula>
    </cfRule>
    <cfRule type="expression" dxfId="371" priority="87">
      <formula>$D22="4- Don'tQualify"</formula>
    </cfRule>
    <cfRule type="expression" dxfId="370" priority="88">
      <formula>$D22="3- CashOut"</formula>
    </cfRule>
    <cfRule type="expression" dxfId="369" priority="89">
      <formula>$D22="2- RevisedQuote"</formula>
    </cfRule>
    <cfRule type="expression" dxfId="368" priority="90">
      <formula>$D22="1- FollowUp"</formula>
    </cfRule>
    <cfRule type="expression" dxfId="367" priority="91" stopIfTrue="1">
      <formula>$D22="Responded"</formula>
    </cfRule>
    <cfRule type="expression" dxfId="366" priority="92">
      <formula>$D22="Locked!"</formula>
    </cfRule>
    <cfRule type="expression" dxfId="365" priority="93">
      <formula>$D22="E-signed!"</formula>
    </cfRule>
    <cfRule type="expression" dxfId="364" priority="94">
      <formula>$D22="Docs Received!"</formula>
    </cfRule>
    <cfRule type="expression" dxfId="363" priority="95">
      <formula>$D22="Disclosures Going Out..."</formula>
    </cfRule>
    <cfRule type="expression" dxfId="362" priority="96">
      <formula>$D22="Disclosures Sent!"</formula>
    </cfRule>
    <cfRule type="expression" dxfId="361" priority="97">
      <formula>$D22="FIGURE - Link Sent!"</formula>
    </cfRule>
    <cfRule type="expression" dxfId="360" priority="98">
      <formula>$D22="Hard Money Opportunity"</formula>
    </cfRule>
    <cfRule type="expression" dxfId="359" priority="99">
      <formula>$D22="Communicating..."</formula>
    </cfRule>
    <cfRule type="expression" dxfId="358" priority="100">
      <formula>$D22="Not Interested"</formula>
    </cfRule>
    <cfRule type="expression" dxfId="357" priority="101">
      <formula>$D22="APP - Pitched &gt; Follow up"</formula>
    </cfRule>
    <cfRule type="expression" dxfId="356" priority="102">
      <formula>$D22="Appt Scheduled"</formula>
    </cfRule>
    <cfRule type="expression" dxfId="355" priority="103">
      <formula>$D22="Reverse Mortgage Opportunity"</formula>
    </cfRule>
    <cfRule type="expression" dxfId="354" priority="104">
      <formula>$D22="Purchase"</formula>
    </cfRule>
    <cfRule type="expression" dxfId="353" priority="105">
      <formula>$D22="Verified Approval Letter"</formula>
    </cfRule>
    <cfRule type="expression" dxfId="352" priority="106">
      <formula>$D22="*Thinking about it*"</formula>
    </cfRule>
    <cfRule type="expression" dxfId="351" priority="107">
      <formula>$D22="DNQ"</formula>
    </cfRule>
    <cfRule type="expression" dxfId="350" priority="108">
      <formula>$D22="Commercial/Business Loan"</formula>
    </cfRule>
    <cfRule type="expression" dxfId="349" priority="109">
      <formula>$D22="Credit - Wayfinder"</formula>
    </cfRule>
    <cfRule type="expression" dxfId="348" priority="110">
      <formula>$D22="Match or Beat"</formula>
    </cfRule>
    <cfRule type="expression" dxfId="347" priority="111">
      <formula>$D22="Future Deal"</formula>
    </cfRule>
    <cfRule type="expression" dxfId="346" priority="112">
      <formula>$D22="Prospect -Email Sent"</formula>
    </cfRule>
    <cfRule type="expression" dxfId="345" priority="113">
      <formula>$D22="STOP!"</formula>
    </cfRule>
    <cfRule type="expression" dxfId="344" priority="114">
      <formula>$D22="No Benefit"</formula>
    </cfRule>
    <cfRule type="expression" dxfId="343" priority="115">
      <formula>$D22="Went With Another Lender"</formula>
    </cfRule>
    <cfRule type="expression" dxfId="342" priority="116">
      <formula>$D22="Called 3x"</formula>
    </cfRule>
    <cfRule type="expression" dxfId="341" priority="117">
      <formula>$D22="Called 2x"</formula>
    </cfRule>
    <cfRule type="expression" dxfId="340" priority="118">
      <formula>$D22="T15 - MessageError!"</formula>
    </cfRule>
    <cfRule type="expression" dxfId="339" priority="119">
      <formula>$D22="T14 - Right Person?"</formula>
    </cfRule>
    <cfRule type="expression" dxfId="338" priority="120">
      <formula>$D22="T13 - Email"</formula>
    </cfRule>
    <cfRule type="expression" dxfId="337" priority="121">
      <formula>$D22="T12 - Blown Up"</formula>
    </cfRule>
    <cfRule type="expression" dxfId="336" priority="122">
      <formula>$D22="T11 - More Time?"</formula>
    </cfRule>
    <cfRule type="expression" dxfId="335" priority="123">
      <formula>$D22="T10 - Really Busy"</formula>
    </cfRule>
    <cfRule type="expression" dxfId="334" priority="124">
      <formula>$D22="T9 - Majority of Clients"</formula>
    </cfRule>
    <cfRule type="expression" dxfId="333" priority="125">
      <formula>$D22="T8 - STOP Contact"</formula>
    </cfRule>
    <cfRule type="expression" dxfId="332" priority="126">
      <formula>$D22="T7 - Another Lender"</formula>
    </cfRule>
    <cfRule type="expression" dxfId="331" priority="127">
      <formula>$D22="T6 - Don’t Qualify?"</formula>
    </cfRule>
    <cfRule type="expression" dxfId="330" priority="128">
      <formula>$D22="T5 - Debt Consolidation"</formula>
    </cfRule>
    <cfRule type="expression" dxfId="329" priority="129">
      <formula>$D22="T4 - Debt / Home"</formula>
    </cfRule>
    <cfRule type="expression" dxfId="328" priority="130">
      <formula>$D22="T3 - Correct Cash"</formula>
    </cfRule>
    <cfRule type="expression" dxfId="327" priority="131">
      <formula>$D22="T2 - Revised"</formula>
    </cfRule>
    <cfRule type="expression" dxfId="326" priority="132">
      <formula>$D22="T1 - Follow Up"</formula>
    </cfRule>
    <cfRule type="expression" dxfId="325" priority="133">
      <formula>$D22="APP - LOCKED!"</formula>
    </cfRule>
    <cfRule type="expression" dxfId="324" priority="134">
      <formula>$D22="LOCKED!"</formula>
    </cfRule>
    <cfRule type="expression" dxfId="323" priority="135">
      <formula>$D22="APP - Pitched &gt; Follow Up!"</formula>
    </cfRule>
    <cfRule type="expression" dxfId="322" priority="136">
      <formula>$D22="Pitched &gt; FOLLOW UP!"</formula>
    </cfRule>
    <cfRule type="expression" dxfId="321" priority="137">
      <formula>$D22="APP - Application Taken"</formula>
    </cfRule>
    <cfRule type="expression" dxfId="320" priority="138">
      <formula>$D22="AL - HOT!"</formula>
    </cfRule>
    <cfRule type="expression" dxfId="319" priority="139">
      <formula>$D22="AL - Responded"</formula>
    </cfRule>
    <cfRule type="expression" dxfId="318" priority="140">
      <formula>$D22="Prospect - Appt Scheduled"</formula>
    </cfRule>
    <cfRule type="expression" dxfId="317" priority="141">
      <formula>$D22="Appt Scheduled"</formula>
    </cfRule>
    <cfRule type="expression" dxfId="316" priority="142">
      <formula>$D22="Prospect - Follow Up"</formula>
    </cfRule>
    <cfRule type="expression" dxfId="315" priority="143">
      <formula>$D22="Prospect - HOT!"</formula>
    </cfRule>
    <cfRule type="expression" dxfId="314" priority="144">
      <formula>$D22="Prospect - Warm"</formula>
    </cfRule>
  </conditionalFormatting>
  <conditionalFormatting sqref="B22">
    <cfRule type="expression" dxfId="313" priority="75">
      <formula>$D22="Potential Cancel"</formula>
    </cfRule>
    <cfRule type="expression" dxfId="312" priority="76">
      <formula>$D22="Suspended-Restructure"</formula>
    </cfRule>
    <cfRule type="expression" dxfId="311" priority="77">
      <formula>$D22="Clear to Close"</formula>
    </cfRule>
    <cfRule type="expression" dxfId="310" priority="78">
      <formula>$D22="Submitted to Underwriting"</formula>
    </cfRule>
  </conditionalFormatting>
  <conditionalFormatting sqref="B23:V23">
    <cfRule type="expression" dxfId="309" priority="38">
      <formula>$D23="Cancel-Decline"</formula>
    </cfRule>
    <cfRule type="expression" dxfId="308" priority="39">
      <formula>$D23="Funded"</formula>
    </cfRule>
    <cfRule type="expression" dxfId="307" priority="40">
      <formula>$D23="Conditionally Approved"</formula>
    </cfRule>
    <cfRule type="expression" dxfId="306" priority="41">
      <formula>$D23="Quote Sent"</formula>
    </cfRule>
    <cfRule type="expression" dxfId="305" priority="42">
      <formula>$D23="Potential Cancel"</formula>
    </cfRule>
    <cfRule type="expression" dxfId="304" priority="43">
      <formula>$D23="Suspended-Restructure"</formula>
    </cfRule>
    <cfRule type="expression" dxfId="303" priority="44">
      <formula>$D23="Clear to Close"</formula>
    </cfRule>
    <cfRule type="expression" dxfId="302" priority="45">
      <formula>$D23="Submitted to Underwriting"</formula>
    </cfRule>
    <cfRule type="expression" dxfId="301" priority="46">
      <formula>$D23="Responded"</formula>
    </cfRule>
    <cfRule type="expression" dxfId="300" priority="47">
      <formula>$D23="Locked!"</formula>
    </cfRule>
    <cfRule type="expression" dxfId="299" priority="48">
      <formula>$D23="E-signed!"</formula>
    </cfRule>
    <cfRule type="expression" dxfId="298" priority="49">
      <formula>$D23="Docs Received!"</formula>
    </cfRule>
    <cfRule type="expression" dxfId="297" priority="50">
      <formula>$D23="Disclosures Going Out..."</formula>
    </cfRule>
    <cfRule type="expression" dxfId="296" priority="51">
      <formula>$D23="Disclosures Sent!"</formula>
    </cfRule>
    <cfRule type="expression" dxfId="295" priority="52">
      <formula>$D23="FIGURE - Link Sent!"</formula>
    </cfRule>
    <cfRule type="expression" dxfId="294" priority="53">
      <formula>$D23="Hard Money Opportunity"</formula>
    </cfRule>
    <cfRule type="expression" dxfId="293" priority="54">
      <formula>$D23="Communicating..."</formula>
    </cfRule>
    <cfRule type="expression" dxfId="292" priority="55">
      <formula>$D23="Not Interested"</formula>
    </cfRule>
    <cfRule type="expression" dxfId="291" priority="56">
      <formula>$D23="APP - Pitched &gt; Follow up"</formula>
    </cfRule>
    <cfRule type="expression" dxfId="290" priority="57">
      <formula>$D23="Appt Scheduled"</formula>
    </cfRule>
    <cfRule type="expression" dxfId="289" priority="58">
      <formula>$D23="Reverse Mortgage Opportunity"</formula>
    </cfRule>
    <cfRule type="expression" dxfId="288" priority="59">
      <formula>$D23="Purchase"</formula>
    </cfRule>
    <cfRule type="expression" dxfId="287" priority="60">
      <formula>$D23="Verified Approval Letter"</formula>
    </cfRule>
    <cfRule type="expression" dxfId="286" priority="61">
      <formula>$D23="*Thinking about it*"</formula>
    </cfRule>
    <cfRule type="expression" dxfId="285" priority="62">
      <formula>$D23="DNQ"</formula>
    </cfRule>
    <cfRule type="expression" dxfId="284" priority="63">
      <formula>$D23="Commercial/Business Loan"</formula>
    </cfRule>
    <cfRule type="expression" dxfId="283" priority="64">
      <formula>$D23="Credit - Wayfinder"</formula>
    </cfRule>
    <cfRule type="expression" dxfId="282" priority="65">
      <formula>$D23="Match or Beat"</formula>
    </cfRule>
    <cfRule type="expression" dxfId="281" priority="66">
      <formula>$D23="Future Deal"</formula>
    </cfRule>
    <cfRule type="expression" dxfId="280" priority="67">
      <formula>$D23="Prospect -Email Sent"</formula>
    </cfRule>
    <cfRule type="expression" dxfId="279" priority="68">
      <formula>$D23="STOP!"</formula>
    </cfRule>
    <cfRule type="expression" dxfId="278" priority="69">
      <formula>$D23="No Benefit"</formula>
    </cfRule>
    <cfRule type="expression" dxfId="277" priority="70">
      <formula>$D23="Went With Another Lender"</formula>
    </cfRule>
    <cfRule type="expression" dxfId="276" priority="71">
      <formula>$D23="LOCKED!"</formula>
    </cfRule>
    <cfRule type="expression" dxfId="275" priority="72">
      <formula>$D23="APP - Pitched &gt; Follow Up!"</formula>
    </cfRule>
    <cfRule type="expression" dxfId="274" priority="73">
      <formula>$D23="Prospect - Appt Scheduled"</formula>
    </cfRule>
    <cfRule type="expression" dxfId="273" priority="74">
      <formula>$D23="Appt Scheduled"</formula>
    </cfRule>
  </conditionalFormatting>
  <conditionalFormatting sqref="B24:V24">
    <cfRule type="expression" dxfId="272" priority="1">
      <formula>$D24="Cancel-Decline"</formula>
    </cfRule>
    <cfRule type="expression" dxfId="271" priority="2">
      <formula>$D24="Funded"</formula>
    </cfRule>
    <cfRule type="expression" dxfId="270" priority="3">
      <formula>$D24="Conditionally Approved"</formula>
    </cfRule>
    <cfRule type="expression" dxfId="269" priority="4">
      <formula>$D24="Quote Sent"</formula>
    </cfRule>
    <cfRule type="expression" dxfId="268" priority="5">
      <formula>$D24="Potential Cancel"</formula>
    </cfRule>
    <cfRule type="expression" dxfId="267" priority="6">
      <formula>$D24="Suspended-Restructure"</formula>
    </cfRule>
    <cfRule type="expression" dxfId="266" priority="7">
      <formula>$D24="Clear to Close"</formula>
    </cfRule>
    <cfRule type="expression" dxfId="265" priority="8">
      <formula>$D24="Submitted to Underwriting"</formula>
    </cfRule>
    <cfRule type="expression" dxfId="264" priority="9">
      <formula>$D24="Responded"</formula>
    </cfRule>
    <cfRule type="expression" dxfId="263" priority="10">
      <formula>$D24="Locked!"</formula>
    </cfRule>
    <cfRule type="expression" dxfId="262" priority="11">
      <formula>$D24="E-signed!"</formula>
    </cfRule>
    <cfRule type="expression" dxfId="261" priority="12">
      <formula>$D24="Docs Received!"</formula>
    </cfRule>
    <cfRule type="expression" dxfId="260" priority="13">
      <formula>$D24="Disclosures Going Out..."</formula>
    </cfRule>
    <cfRule type="expression" dxfId="259" priority="14">
      <formula>$D24="Disclosures Sent!"</formula>
    </cfRule>
    <cfRule type="expression" dxfId="258" priority="15">
      <formula>$D24="FIGURE - Link Sent!"</formula>
    </cfRule>
    <cfRule type="expression" dxfId="257" priority="16">
      <formula>$D24="Hard Money Opportunity"</formula>
    </cfRule>
    <cfRule type="expression" dxfId="256" priority="17">
      <formula>$D24="Communicating..."</formula>
    </cfRule>
    <cfRule type="expression" dxfId="255" priority="18">
      <formula>$D24="Not Interested"</formula>
    </cfRule>
    <cfRule type="expression" dxfId="254" priority="19">
      <formula>$D24="APP - Pitched &gt; Follow up"</formula>
    </cfRule>
    <cfRule type="expression" dxfId="253" priority="20">
      <formula>$D24="Appt Scheduled"</formula>
    </cfRule>
    <cfRule type="expression" dxfId="252" priority="21">
      <formula>$D24="Reverse Mortgage Opportunity"</formula>
    </cfRule>
    <cfRule type="expression" dxfId="251" priority="22">
      <formula>$D24="Purchase"</formula>
    </cfRule>
    <cfRule type="expression" dxfId="250" priority="23">
      <formula>$D24="Verified Approval Letter"</formula>
    </cfRule>
    <cfRule type="expression" dxfId="249" priority="24">
      <formula>$D24="*Thinking about it*"</formula>
    </cfRule>
    <cfRule type="expression" dxfId="248" priority="25">
      <formula>$D24="DNQ"</formula>
    </cfRule>
    <cfRule type="expression" dxfId="247" priority="26">
      <formula>$D24="Commercial/Business Loan"</formula>
    </cfRule>
    <cfRule type="expression" dxfId="246" priority="27">
      <formula>$D24="Credit - Wayfinder"</formula>
    </cfRule>
    <cfRule type="expression" dxfId="245" priority="28">
      <formula>$D24="Match or Beat"</formula>
    </cfRule>
    <cfRule type="expression" dxfId="244" priority="29">
      <formula>$D24="Future Deal"</formula>
    </cfRule>
    <cfRule type="expression" dxfId="243" priority="30">
      <formula>$D24="Prospect -Email Sent"</formula>
    </cfRule>
    <cfRule type="expression" dxfId="242" priority="31">
      <formula>$D24="STOP!"</formula>
    </cfRule>
    <cfRule type="expression" dxfId="241" priority="32">
      <formula>$D24="No Benefit"</formula>
    </cfRule>
    <cfRule type="expression" dxfId="240" priority="33">
      <formula>$D24="Went With Another Lender"</formula>
    </cfRule>
    <cfRule type="expression" dxfId="239" priority="34">
      <formula>$D24="LOCKED!"</formula>
    </cfRule>
    <cfRule type="expression" dxfId="238" priority="35">
      <formula>$D24="APP - Pitched &gt; Follow Up!"</formula>
    </cfRule>
    <cfRule type="expression" dxfId="237" priority="36">
      <formula>$D24="Prospect - Appt Scheduled"</formula>
    </cfRule>
    <cfRule type="expression" dxfId="236" priority="37">
      <formula>$D24="Appt Scheduled"</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HotToActive">
                <anchor moveWithCells="1" sizeWithCells="1">
                  <from>
                    <xdr:col>1</xdr:col>
                    <xdr:colOff>83820</xdr:colOff>
                    <xdr:row>0</xdr:row>
                    <xdr:rowOff>38100</xdr:rowOff>
                  </from>
                  <to>
                    <xdr:col>3</xdr:col>
                    <xdr:colOff>106680</xdr:colOff>
                    <xdr:row>1</xdr:row>
                    <xdr:rowOff>251460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ontainsText" priority="8628" operator="containsText" text="E-Mail Sent" id="{18EF5AEC-5204-4966-9811-068071D628BB}">
            <xm:f>NOT(ISERROR(SEARCH("E-Mail Sent",LEADS!A1)))</xm:f>
            <x14:dxf>
              <font>
                <b/>
                <i val="0"/>
                <strike val="0"/>
                <u/>
              </font>
              <fill>
                <patternFill patternType="darkTrellis">
                  <fgColor theme="9" tint="0.59996337778862885"/>
                  <bgColor auto="1"/>
                </patternFill>
              </fill>
              <border>
                <left style="thin">
                  <color auto="1"/>
                </left>
                <right style="thin">
                  <color auto="1"/>
                </right>
                <top style="thin">
                  <color auto="1"/>
                </top>
                <bottom style="thin">
                  <color auto="1"/>
                </bottom>
              </border>
            </x14:dxf>
          </x14:cfRule>
          <x14:cfRule type="containsText" priority="8629" operator="containsText" text="E Mail" id="{B2B326C4-BCFD-4B84-B10C-898F3E70855A}">
            <xm:f>NOT(ISERROR(SEARCH("E Mail",LEADS!A1)))</xm:f>
            <x14:dxf>
              <font>
                <b/>
                <i val="0"/>
                <u val="double"/>
                <color auto="1"/>
              </font>
              <fill>
                <patternFill patternType="darkTrellis">
                  <fgColor theme="5" tint="0.39994506668294322"/>
                </patternFill>
              </fill>
              <border>
                <left style="thin">
                  <color auto="1"/>
                </left>
                <right style="thin">
                  <color auto="1"/>
                </right>
                <top style="thin">
                  <color auto="1"/>
                </top>
                <bottom style="thin">
                  <color auto="1"/>
                </bottom>
              </border>
            </x14:dxf>
          </x14:cfRule>
          <xm:sqref>A1:A2</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00000000-0002-0000-0300-000000000000}">
          <x14:formula1>
            <xm:f>WCL!$D$1:$D$4</xm:f>
          </x14:formula1>
          <xm:sqref>A6:A7 A21 A9:A13</xm:sqref>
        </x14:dataValidation>
        <x14:dataValidation type="list" allowBlank="1" showInputMessage="1" showErrorMessage="1" xr:uid="{00000000-0002-0000-0300-000001000000}">
          <x14:formula1>
            <xm:f>WCL!$B$1:$B$47</xm:f>
          </x14:formula1>
          <xm:sqref>D4:D2989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tabColor theme="9"/>
  </sheetPr>
  <dimension ref="A1:W6974"/>
  <sheetViews>
    <sheetView topLeftCell="B1" workbookViewId="0">
      <pane ySplit="3" topLeftCell="A4" activePane="bottomLeft" state="frozen"/>
      <selection activeCell="B1" sqref="B1"/>
      <selection pane="bottomLeft" activeCell="B4" sqref="B4:Y20"/>
    </sheetView>
  </sheetViews>
  <sheetFormatPr defaultRowHeight="14.4"/>
  <cols>
    <col min="1" max="1" width="11" hidden="1" customWidth="1"/>
    <col min="2" max="2" width="26.44140625" customWidth="1"/>
    <col min="3" max="3" width="12.109375" style="120" customWidth="1"/>
    <col min="4" max="4" width="39" customWidth="1"/>
    <col min="5" max="6" width="12.109375" customWidth="1"/>
    <col min="7" max="7" width="14" customWidth="1"/>
    <col min="8" max="8" width="29.44140625" bestFit="1" customWidth="1"/>
    <col min="9" max="9" width="7.44140625" customWidth="1"/>
    <col min="10" max="10" width="68.6640625" bestFit="1" customWidth="1"/>
    <col min="11" max="11" width="11" customWidth="1"/>
    <col min="12" max="13" width="10.33203125" customWidth="1"/>
    <col min="14" max="14" width="9" bestFit="1" customWidth="1"/>
    <col min="15" max="15" width="20.109375" style="120" bestFit="1" customWidth="1"/>
    <col min="16" max="16" width="15.33203125" style="120" customWidth="1"/>
    <col min="17" max="17" width="14.44140625" style="163" customWidth="1"/>
    <col min="18" max="18" width="15.33203125" style="163" customWidth="1"/>
    <col min="19" max="19" width="15.88671875" style="144" bestFit="1" customWidth="1"/>
    <col min="20" max="20" width="9" style="144" customWidth="1"/>
    <col min="21" max="21" width="8.109375" customWidth="1"/>
    <col min="22" max="22" width="11.5546875" style="163" bestFit="1" customWidth="1"/>
  </cols>
  <sheetData>
    <row r="1" spans="1:23" ht="2.25" customHeight="1">
      <c r="A1" s="96"/>
      <c r="B1" s="96"/>
      <c r="C1" s="168"/>
      <c r="D1" s="96"/>
      <c r="E1" s="96"/>
      <c r="F1" s="96"/>
      <c r="G1" s="96"/>
      <c r="H1" s="96"/>
      <c r="I1" s="96"/>
      <c r="J1" s="96"/>
      <c r="K1" s="96"/>
      <c r="L1" s="96"/>
      <c r="M1" s="96"/>
      <c r="N1" s="96"/>
      <c r="O1" s="168"/>
      <c r="P1" s="168"/>
      <c r="Q1" s="169"/>
      <c r="R1" s="169"/>
      <c r="S1" s="142"/>
      <c r="T1" s="142"/>
      <c r="U1" s="96"/>
      <c r="V1" s="169"/>
    </row>
    <row r="2" spans="1:23" ht="33.6">
      <c r="A2" s="96"/>
      <c r="B2" s="290" t="s">
        <v>138</v>
      </c>
      <c r="C2" s="290"/>
      <c r="D2" s="290"/>
      <c r="E2" s="290"/>
      <c r="F2" s="290"/>
      <c r="G2" s="290"/>
      <c r="H2" s="290"/>
      <c r="I2" s="290"/>
      <c r="J2" s="290"/>
      <c r="K2" s="290"/>
      <c r="L2" s="290"/>
      <c r="M2" s="290"/>
      <c r="N2" s="290"/>
      <c r="O2" s="290"/>
      <c r="P2" s="290"/>
      <c r="Q2" s="290"/>
      <c r="R2" s="290"/>
      <c r="S2" s="290"/>
      <c r="T2" s="290"/>
      <c r="U2" s="290"/>
      <c r="V2" s="290"/>
      <c r="W2" s="290"/>
    </row>
    <row r="3" spans="1:23" ht="36.6" customHeight="1">
      <c r="A3" s="62" t="s">
        <v>27</v>
      </c>
      <c r="B3" s="62" t="s">
        <v>102</v>
      </c>
      <c r="C3" s="63" t="s">
        <v>1</v>
      </c>
      <c r="D3" s="62" t="s">
        <v>2</v>
      </c>
      <c r="E3" s="62" t="s">
        <v>3</v>
      </c>
      <c r="F3" s="62" t="s">
        <v>4</v>
      </c>
      <c r="G3" s="62" t="s">
        <v>5</v>
      </c>
      <c r="H3" s="62" t="s">
        <v>6</v>
      </c>
      <c r="I3" s="62" t="s">
        <v>7</v>
      </c>
      <c r="J3" s="62" t="s">
        <v>8</v>
      </c>
      <c r="K3" s="62" t="s">
        <v>18</v>
      </c>
      <c r="L3" s="62" t="s">
        <v>142</v>
      </c>
      <c r="M3" s="62" t="s">
        <v>153</v>
      </c>
      <c r="N3" s="62" t="s">
        <v>10</v>
      </c>
      <c r="O3" s="63" t="s">
        <v>143</v>
      </c>
      <c r="P3" s="63" t="s">
        <v>144</v>
      </c>
      <c r="Q3" s="162" t="s">
        <v>26</v>
      </c>
      <c r="R3" s="162" t="s">
        <v>81</v>
      </c>
      <c r="S3" s="143" t="s">
        <v>145</v>
      </c>
      <c r="T3" s="143" t="s">
        <v>131</v>
      </c>
      <c r="U3" s="62" t="s">
        <v>23</v>
      </c>
      <c r="V3" s="162" t="s">
        <v>146</v>
      </c>
      <c r="W3" s="162" t="s">
        <v>251</v>
      </c>
    </row>
    <row r="4" spans="1:23">
      <c r="A4" s="32"/>
      <c r="D4" s="19"/>
    </row>
    <row r="5" spans="1:23">
      <c r="A5" s="32"/>
      <c r="D5" s="19"/>
    </row>
    <row r="6" spans="1:23">
      <c r="A6" s="32"/>
      <c r="D6" s="19"/>
      <c r="W6" s="204"/>
    </row>
    <row r="7" spans="1:23">
      <c r="A7" s="32"/>
      <c r="D7" s="19"/>
    </row>
    <row r="8" spans="1:23">
      <c r="A8" s="32"/>
      <c r="D8" s="19"/>
    </row>
    <row r="9" spans="1:23">
      <c r="A9" s="32"/>
      <c r="D9" s="19"/>
    </row>
    <row r="10" spans="1:23">
      <c r="A10" s="32"/>
      <c r="D10" s="19"/>
    </row>
    <row r="11" spans="1:23">
      <c r="A11" s="32"/>
      <c r="D11" s="19"/>
    </row>
    <row r="12" spans="1:23">
      <c r="A12" s="32"/>
      <c r="D12" s="19"/>
    </row>
    <row r="13" spans="1:23">
      <c r="A13" s="32"/>
      <c r="D13" s="19"/>
    </row>
    <row r="14" spans="1:23">
      <c r="A14" s="32"/>
      <c r="D14" s="19"/>
    </row>
    <row r="15" spans="1:23">
      <c r="A15" s="32"/>
      <c r="D15" s="19"/>
    </row>
    <row r="16" spans="1:23">
      <c r="A16" s="32"/>
      <c r="D16" s="19"/>
    </row>
    <row r="17" spans="1:18">
      <c r="A17" s="32"/>
      <c r="D17" s="19"/>
    </row>
    <row r="18" spans="1:18">
      <c r="A18" s="32"/>
      <c r="Q18" s="223"/>
      <c r="R18" s="223"/>
    </row>
    <row r="19" spans="1:18">
      <c r="A19" s="32"/>
    </row>
    <row r="20" spans="1:18">
      <c r="A20" s="32"/>
    </row>
    <row r="21" spans="1:18">
      <c r="A21" s="32"/>
    </row>
    <row r="22" spans="1:18">
      <c r="A22" s="32"/>
    </row>
    <row r="23" spans="1:18">
      <c r="A23" s="32"/>
    </row>
    <row r="24" spans="1:18">
      <c r="A24" s="32"/>
    </row>
    <row r="25" spans="1:18">
      <c r="A25" s="32"/>
    </row>
    <row r="26" spans="1:18">
      <c r="A26" s="32"/>
    </row>
    <row r="27" spans="1:18">
      <c r="A27" s="32"/>
    </row>
    <row r="28" spans="1:18">
      <c r="A28" s="32"/>
    </row>
    <row r="29" spans="1:18">
      <c r="A29" s="32"/>
    </row>
    <row r="30" spans="1:18">
      <c r="A30" s="32"/>
    </row>
    <row r="31" spans="1:18">
      <c r="A31" s="32"/>
    </row>
    <row r="32" spans="1:18">
      <c r="A32" s="32"/>
    </row>
    <row r="33" spans="1:1">
      <c r="A33" s="32"/>
    </row>
    <row r="34" spans="1:1">
      <c r="A34" s="32"/>
    </row>
    <row r="35" spans="1:1">
      <c r="A35" s="32"/>
    </row>
    <row r="36" spans="1:1">
      <c r="A36" s="32"/>
    </row>
    <row r="37" spans="1:1">
      <c r="A37" s="32"/>
    </row>
    <row r="38" spans="1:1">
      <c r="A38" s="32"/>
    </row>
    <row r="39" spans="1:1">
      <c r="A39" s="32"/>
    </row>
    <row r="40" spans="1:1">
      <c r="A40" s="32"/>
    </row>
    <row r="41" spans="1:1">
      <c r="A41" s="32"/>
    </row>
    <row r="42" spans="1:1">
      <c r="A42" s="32"/>
    </row>
    <row r="43" spans="1:1">
      <c r="A43" s="32"/>
    </row>
    <row r="44" spans="1:1">
      <c r="A44" s="32"/>
    </row>
    <row r="45" spans="1:1">
      <c r="A45" s="32"/>
    </row>
    <row r="46" spans="1:1">
      <c r="A46" s="32"/>
    </row>
    <row r="47" spans="1:1">
      <c r="A47" s="32"/>
    </row>
    <row r="48" spans="1:1">
      <c r="A48" s="32"/>
    </row>
    <row r="49" spans="1:1">
      <c r="A49" s="32"/>
    </row>
    <row r="50" spans="1:1">
      <c r="A50" s="32"/>
    </row>
    <row r="51" spans="1:1">
      <c r="A51" s="32"/>
    </row>
    <row r="52" spans="1:1">
      <c r="A52" s="32"/>
    </row>
    <row r="53" spans="1:1">
      <c r="A53" s="32"/>
    </row>
    <row r="54" spans="1:1">
      <c r="A54" s="32"/>
    </row>
    <row r="55" spans="1:1">
      <c r="A55" s="32"/>
    </row>
    <row r="56" spans="1:1">
      <c r="A56" s="32"/>
    </row>
    <row r="57" spans="1:1">
      <c r="A57" s="32"/>
    </row>
    <row r="58" spans="1:1">
      <c r="A58" s="32"/>
    </row>
    <row r="59" spans="1:1">
      <c r="A59" s="32"/>
    </row>
    <row r="60" spans="1:1">
      <c r="A60" s="32"/>
    </row>
    <row r="61" spans="1:1">
      <c r="A61" s="32"/>
    </row>
    <row r="62" spans="1:1">
      <c r="A62" s="32"/>
    </row>
    <row r="63" spans="1:1">
      <c r="A63" s="32"/>
    </row>
    <row r="64" spans="1:1">
      <c r="A64" s="32"/>
    </row>
    <row r="65" spans="1:1">
      <c r="A65" s="32"/>
    </row>
    <row r="66" spans="1:1">
      <c r="A66" s="32"/>
    </row>
    <row r="67" spans="1:1">
      <c r="A67" s="32"/>
    </row>
    <row r="68" spans="1:1">
      <c r="A68" s="32"/>
    </row>
    <row r="69" spans="1:1">
      <c r="A69" s="32"/>
    </row>
    <row r="70" spans="1:1">
      <c r="A70" s="32"/>
    </row>
    <row r="71" spans="1:1">
      <c r="A71" s="32"/>
    </row>
    <row r="72" spans="1:1">
      <c r="A72" s="32"/>
    </row>
    <row r="73" spans="1:1">
      <c r="A73" s="32"/>
    </row>
    <row r="74" spans="1:1">
      <c r="A74" s="32"/>
    </row>
    <row r="75" spans="1:1">
      <c r="A75" s="32"/>
    </row>
    <row r="76" spans="1:1">
      <c r="A76" s="32"/>
    </row>
    <row r="77" spans="1:1">
      <c r="A77" s="32"/>
    </row>
    <row r="78" spans="1:1">
      <c r="A78" s="32"/>
    </row>
    <row r="79" spans="1:1">
      <c r="A79" s="32"/>
    </row>
    <row r="80" spans="1:1">
      <c r="A80" s="32"/>
    </row>
    <row r="81" spans="1:1">
      <c r="A81" s="32"/>
    </row>
    <row r="82" spans="1:1">
      <c r="A82" s="32"/>
    </row>
    <row r="83" spans="1:1">
      <c r="A83" s="32"/>
    </row>
    <row r="84" spans="1:1">
      <c r="A84" s="32"/>
    </row>
    <row r="85" spans="1:1">
      <c r="A85" s="32"/>
    </row>
    <row r="86" spans="1:1">
      <c r="A86" s="32"/>
    </row>
    <row r="87" spans="1:1">
      <c r="A87" s="32"/>
    </row>
    <row r="88" spans="1:1">
      <c r="A88" s="32"/>
    </row>
    <row r="89" spans="1:1">
      <c r="A89" s="32"/>
    </row>
    <row r="90" spans="1:1">
      <c r="A90" s="32"/>
    </row>
    <row r="91" spans="1:1">
      <c r="A91" s="32"/>
    </row>
    <row r="92" spans="1:1">
      <c r="A92" s="32"/>
    </row>
    <row r="93" spans="1:1">
      <c r="A93" s="32"/>
    </row>
    <row r="94" spans="1:1">
      <c r="A94" s="32"/>
    </row>
    <row r="95" spans="1:1">
      <c r="A95" s="32"/>
    </row>
    <row r="96" spans="1:1">
      <c r="A96" s="32"/>
    </row>
    <row r="97" spans="1:1">
      <c r="A97" s="32"/>
    </row>
    <row r="98" spans="1:1">
      <c r="A98" s="32"/>
    </row>
    <row r="99" spans="1:1">
      <c r="A99" s="32"/>
    </row>
    <row r="100" spans="1:1">
      <c r="A100" s="32"/>
    </row>
    <row r="101" spans="1:1">
      <c r="A101" s="32"/>
    </row>
    <row r="102" spans="1:1">
      <c r="A102" s="32"/>
    </row>
    <row r="103" spans="1:1">
      <c r="A103" s="32"/>
    </row>
    <row r="104" spans="1:1">
      <c r="A104" s="32"/>
    </row>
    <row r="105" spans="1:1">
      <c r="A105" s="32"/>
    </row>
    <row r="106" spans="1:1">
      <c r="A106" s="32"/>
    </row>
    <row r="107" spans="1:1">
      <c r="A107" s="32"/>
    </row>
    <row r="108" spans="1:1">
      <c r="A108" s="32"/>
    </row>
    <row r="109" spans="1:1">
      <c r="A109" s="32"/>
    </row>
    <row r="110" spans="1:1">
      <c r="A110" s="32"/>
    </row>
    <row r="111" spans="1:1">
      <c r="A111" s="32"/>
    </row>
    <row r="112" spans="1:1">
      <c r="A112" s="32"/>
    </row>
    <row r="113" spans="1:1">
      <c r="A113" s="32"/>
    </row>
    <row r="114" spans="1:1">
      <c r="A114" s="32"/>
    </row>
    <row r="115" spans="1:1">
      <c r="A115" s="32"/>
    </row>
    <row r="116" spans="1:1">
      <c r="A116" s="32"/>
    </row>
    <row r="117" spans="1:1">
      <c r="A117" s="32"/>
    </row>
    <row r="118" spans="1:1">
      <c r="A118" s="32"/>
    </row>
    <row r="119" spans="1:1">
      <c r="A119" s="32"/>
    </row>
    <row r="120" spans="1:1">
      <c r="A120" s="32"/>
    </row>
    <row r="121" spans="1:1">
      <c r="A121" s="32"/>
    </row>
    <row r="122" spans="1:1">
      <c r="A122" s="32"/>
    </row>
    <row r="123" spans="1:1">
      <c r="A123" s="32"/>
    </row>
    <row r="124" spans="1:1">
      <c r="A124" s="32"/>
    </row>
    <row r="125" spans="1:1">
      <c r="A125" s="32"/>
    </row>
    <row r="126" spans="1:1">
      <c r="A126" s="32"/>
    </row>
    <row r="127" spans="1:1">
      <c r="A127" s="32"/>
    </row>
    <row r="128" spans="1:1">
      <c r="A128" s="32"/>
    </row>
    <row r="129" spans="1:1">
      <c r="A129" s="32"/>
    </row>
    <row r="130" spans="1:1">
      <c r="A130" s="32"/>
    </row>
    <row r="131" spans="1:1">
      <c r="A131" s="32"/>
    </row>
    <row r="132" spans="1:1">
      <c r="A132" s="32"/>
    </row>
    <row r="133" spans="1:1">
      <c r="A133" s="32"/>
    </row>
    <row r="134" spans="1:1">
      <c r="A134" s="32"/>
    </row>
    <row r="135" spans="1:1">
      <c r="A135" s="32"/>
    </row>
    <row r="136" spans="1:1">
      <c r="A136" s="32"/>
    </row>
    <row r="137" spans="1:1">
      <c r="A137" s="32"/>
    </row>
    <row r="138" spans="1:1">
      <c r="A138" s="32"/>
    </row>
    <row r="139" spans="1:1">
      <c r="A139" s="32"/>
    </row>
    <row r="140" spans="1:1">
      <c r="A140" s="32"/>
    </row>
    <row r="141" spans="1:1">
      <c r="A141" s="32"/>
    </row>
    <row r="142" spans="1:1">
      <c r="A142" s="32"/>
    </row>
    <row r="143" spans="1:1">
      <c r="A143" s="32"/>
    </row>
    <row r="144" spans="1:1">
      <c r="A144" s="32"/>
    </row>
    <row r="145" spans="1:1">
      <c r="A145" s="32"/>
    </row>
    <row r="146" spans="1:1">
      <c r="A146" s="32"/>
    </row>
    <row r="147" spans="1:1">
      <c r="A147" s="32"/>
    </row>
    <row r="148" spans="1:1">
      <c r="A148" s="32"/>
    </row>
    <row r="149" spans="1:1">
      <c r="A149" s="32"/>
    </row>
    <row r="150" spans="1:1">
      <c r="A150" s="32"/>
    </row>
    <row r="151" spans="1:1">
      <c r="A151" s="32"/>
    </row>
    <row r="152" spans="1:1">
      <c r="A152" s="32"/>
    </row>
    <row r="153" spans="1:1">
      <c r="A153" s="32"/>
    </row>
    <row r="154" spans="1:1">
      <c r="A154" s="32"/>
    </row>
    <row r="155" spans="1:1">
      <c r="A155" s="32"/>
    </row>
    <row r="156" spans="1:1">
      <c r="A156" s="32"/>
    </row>
    <row r="157" spans="1:1">
      <c r="A157" s="32"/>
    </row>
    <row r="158" spans="1:1">
      <c r="A158" s="32"/>
    </row>
    <row r="159" spans="1:1">
      <c r="A159" s="32"/>
    </row>
    <row r="160" spans="1:1">
      <c r="A160" s="32"/>
    </row>
    <row r="161" spans="1:1">
      <c r="A161" s="32"/>
    </row>
    <row r="162" spans="1:1">
      <c r="A162" s="32"/>
    </row>
    <row r="163" spans="1:1">
      <c r="A163" s="32"/>
    </row>
    <row r="164" spans="1:1">
      <c r="A164" s="32"/>
    </row>
    <row r="165" spans="1:1">
      <c r="A165" s="32"/>
    </row>
    <row r="166" spans="1:1">
      <c r="A166" s="32"/>
    </row>
    <row r="167" spans="1:1">
      <c r="A167" s="32"/>
    </row>
    <row r="168" spans="1:1">
      <c r="A168" s="32"/>
    </row>
    <row r="169" spans="1:1">
      <c r="A169" s="32"/>
    </row>
    <row r="170" spans="1:1">
      <c r="A170" s="32"/>
    </row>
    <row r="171" spans="1:1">
      <c r="A171" s="32"/>
    </row>
    <row r="172" spans="1:1">
      <c r="A172" s="32"/>
    </row>
    <row r="173" spans="1:1">
      <c r="A173" s="32"/>
    </row>
    <row r="174" spans="1:1">
      <c r="A174" s="32"/>
    </row>
    <row r="175" spans="1:1">
      <c r="A175" s="32"/>
    </row>
    <row r="176" spans="1:1">
      <c r="A176" s="32"/>
    </row>
    <row r="177" spans="1:1">
      <c r="A177" s="32"/>
    </row>
    <row r="178" spans="1:1">
      <c r="A178" s="32"/>
    </row>
    <row r="179" spans="1:1">
      <c r="A179" s="32"/>
    </row>
    <row r="180" spans="1:1">
      <c r="A180" s="32"/>
    </row>
    <row r="181" spans="1:1">
      <c r="A181" s="32"/>
    </row>
    <row r="182" spans="1:1">
      <c r="A182" s="32"/>
    </row>
    <row r="183" spans="1:1">
      <c r="A183" s="32"/>
    </row>
    <row r="184" spans="1:1">
      <c r="A184" s="32"/>
    </row>
    <row r="185" spans="1:1">
      <c r="A185" s="32"/>
    </row>
    <row r="186" spans="1:1">
      <c r="A186" s="32"/>
    </row>
    <row r="187" spans="1:1">
      <c r="A187" s="32"/>
    </row>
    <row r="188" spans="1:1">
      <c r="A188" s="32"/>
    </row>
    <row r="189" spans="1:1">
      <c r="A189" s="32"/>
    </row>
    <row r="190" spans="1:1">
      <c r="A190" s="32"/>
    </row>
    <row r="191" spans="1:1">
      <c r="A191" s="32"/>
    </row>
    <row r="192" spans="1:1">
      <c r="A192" s="32"/>
    </row>
    <row r="193" spans="1:1">
      <c r="A193" s="32"/>
    </row>
    <row r="194" spans="1:1">
      <c r="A194" s="32"/>
    </row>
    <row r="195" spans="1:1">
      <c r="A195" s="32"/>
    </row>
    <row r="196" spans="1:1">
      <c r="A196" s="32"/>
    </row>
    <row r="197" spans="1:1">
      <c r="A197" s="32"/>
    </row>
    <row r="198" spans="1:1">
      <c r="A198" s="32"/>
    </row>
    <row r="199" spans="1:1">
      <c r="A199" s="32"/>
    </row>
    <row r="200" spans="1:1">
      <c r="A200" s="32"/>
    </row>
    <row r="201" spans="1:1">
      <c r="A201" s="32"/>
    </row>
    <row r="202" spans="1:1">
      <c r="A202" s="32"/>
    </row>
    <row r="203" spans="1:1">
      <c r="A203" s="32"/>
    </row>
    <row r="204" spans="1:1">
      <c r="A204" s="32"/>
    </row>
    <row r="205" spans="1:1">
      <c r="A205" s="32"/>
    </row>
    <row r="206" spans="1:1">
      <c r="A206" s="32"/>
    </row>
    <row r="207" spans="1:1">
      <c r="A207" s="32"/>
    </row>
    <row r="208" spans="1:1">
      <c r="A208" s="32"/>
    </row>
    <row r="209" spans="1:1">
      <c r="A209" s="32"/>
    </row>
    <row r="210" spans="1:1">
      <c r="A210" s="32"/>
    </row>
    <row r="211" spans="1:1">
      <c r="A211" s="32"/>
    </row>
    <row r="212" spans="1:1">
      <c r="A212" s="32"/>
    </row>
    <row r="213" spans="1:1">
      <c r="A213" s="32"/>
    </row>
    <row r="214" spans="1:1">
      <c r="A214" s="32"/>
    </row>
    <row r="215" spans="1:1">
      <c r="A215" s="32"/>
    </row>
    <row r="216" spans="1:1">
      <c r="A216" s="32"/>
    </row>
    <row r="217" spans="1:1">
      <c r="A217" s="32"/>
    </row>
    <row r="218" spans="1:1">
      <c r="A218" s="32"/>
    </row>
    <row r="219" spans="1:1">
      <c r="A219" s="32"/>
    </row>
    <row r="220" spans="1:1">
      <c r="A220" s="32"/>
    </row>
    <row r="221" spans="1:1">
      <c r="A221" s="32"/>
    </row>
    <row r="222" spans="1:1">
      <c r="A222" s="32"/>
    </row>
    <row r="223" spans="1:1">
      <c r="A223" s="32"/>
    </row>
    <row r="224" spans="1:1">
      <c r="A224" s="32"/>
    </row>
    <row r="225" spans="1:1">
      <c r="A225" s="32"/>
    </row>
    <row r="226" spans="1:1">
      <c r="A226" s="32"/>
    </row>
    <row r="227" spans="1:1">
      <c r="A227" s="32"/>
    </row>
    <row r="228" spans="1:1">
      <c r="A228" s="32"/>
    </row>
    <row r="229" spans="1:1">
      <c r="A229" s="32"/>
    </row>
    <row r="230" spans="1:1">
      <c r="A230" s="32"/>
    </row>
    <row r="231" spans="1:1">
      <c r="A231" s="32"/>
    </row>
    <row r="232" spans="1:1">
      <c r="A232" s="32"/>
    </row>
    <row r="233" spans="1:1">
      <c r="A233" s="32"/>
    </row>
    <row r="234" spans="1:1">
      <c r="A234" s="32"/>
    </row>
    <row r="235" spans="1:1">
      <c r="A235" s="32"/>
    </row>
    <row r="236" spans="1:1">
      <c r="A236" s="32"/>
    </row>
    <row r="237" spans="1:1">
      <c r="A237" s="32"/>
    </row>
    <row r="238" spans="1:1">
      <c r="A238" s="32"/>
    </row>
    <row r="239" spans="1:1">
      <c r="A239" s="32"/>
    </row>
    <row r="240" spans="1:1">
      <c r="A240" s="32"/>
    </row>
    <row r="241" spans="1:1">
      <c r="A241" s="32"/>
    </row>
    <row r="242" spans="1:1">
      <c r="A242" s="32"/>
    </row>
    <row r="243" spans="1:1">
      <c r="A243" s="32"/>
    </row>
    <row r="244" spans="1:1">
      <c r="A244" s="32"/>
    </row>
    <row r="245" spans="1:1">
      <c r="A245" s="32"/>
    </row>
    <row r="246" spans="1:1">
      <c r="A246" s="32"/>
    </row>
    <row r="247" spans="1:1">
      <c r="A247" s="32"/>
    </row>
    <row r="248" spans="1:1">
      <c r="A248" s="32"/>
    </row>
    <row r="249" spans="1:1">
      <c r="A249" s="32"/>
    </row>
    <row r="250" spans="1:1">
      <c r="A250" s="32"/>
    </row>
    <row r="251" spans="1:1">
      <c r="A251" s="32"/>
    </row>
    <row r="252" spans="1:1">
      <c r="A252" s="32"/>
    </row>
    <row r="253" spans="1:1">
      <c r="A253" s="32"/>
    </row>
    <row r="254" spans="1:1">
      <c r="A254" s="32"/>
    </row>
    <row r="255" spans="1:1">
      <c r="A255" s="32"/>
    </row>
    <row r="256" spans="1:1">
      <c r="A256" s="32"/>
    </row>
    <row r="257" spans="1:1">
      <c r="A257" s="32"/>
    </row>
    <row r="258" spans="1:1">
      <c r="A258" s="32"/>
    </row>
    <row r="259" spans="1:1">
      <c r="A259" s="32"/>
    </row>
    <row r="260" spans="1:1">
      <c r="A260" s="32"/>
    </row>
    <row r="261" spans="1:1">
      <c r="A261" s="32"/>
    </row>
    <row r="262" spans="1:1">
      <c r="A262" s="32"/>
    </row>
    <row r="263" spans="1:1">
      <c r="A263" s="32"/>
    </row>
    <row r="264" spans="1:1">
      <c r="A264" s="32"/>
    </row>
    <row r="265" spans="1:1">
      <c r="A265" s="32"/>
    </row>
    <row r="266" spans="1:1">
      <c r="A266" s="32"/>
    </row>
    <row r="267" spans="1:1">
      <c r="A267" s="32"/>
    </row>
    <row r="268" spans="1:1">
      <c r="A268" s="32"/>
    </row>
    <row r="269" spans="1:1">
      <c r="A269" s="32"/>
    </row>
    <row r="270" spans="1:1">
      <c r="A270" s="32"/>
    </row>
    <row r="271" spans="1:1">
      <c r="A271" s="32"/>
    </row>
    <row r="272" spans="1:1">
      <c r="A272" s="32"/>
    </row>
    <row r="273" spans="1:1">
      <c r="A273" s="32"/>
    </row>
    <row r="274" spans="1:1">
      <c r="A274" s="32"/>
    </row>
    <row r="275" spans="1:1">
      <c r="A275" s="32"/>
    </row>
    <row r="276" spans="1:1">
      <c r="A276" s="32"/>
    </row>
    <row r="277" spans="1:1">
      <c r="A277" s="32"/>
    </row>
    <row r="278" spans="1:1">
      <c r="A278" s="32"/>
    </row>
    <row r="279" spans="1:1">
      <c r="A279" s="32"/>
    </row>
    <row r="280" spans="1:1">
      <c r="A280" s="32"/>
    </row>
    <row r="281" spans="1:1">
      <c r="A281" s="32"/>
    </row>
    <row r="282" spans="1:1">
      <c r="A282" s="32"/>
    </row>
    <row r="283" spans="1:1">
      <c r="A283" s="32"/>
    </row>
    <row r="284" spans="1:1">
      <c r="A284" s="32"/>
    </row>
    <row r="285" spans="1:1">
      <c r="A285" s="32"/>
    </row>
    <row r="286" spans="1:1">
      <c r="A286" s="32"/>
    </row>
    <row r="287" spans="1:1">
      <c r="A287" s="32"/>
    </row>
    <row r="288" spans="1:1">
      <c r="A288" s="32"/>
    </row>
    <row r="289" spans="1:1">
      <c r="A289" s="32"/>
    </row>
    <row r="290" spans="1:1">
      <c r="A290" s="32"/>
    </row>
    <row r="291" spans="1:1">
      <c r="A291" s="32"/>
    </row>
    <row r="292" spans="1:1">
      <c r="A292" s="32"/>
    </row>
    <row r="293" spans="1:1">
      <c r="A293" s="32"/>
    </row>
    <row r="294" spans="1:1">
      <c r="A294" s="32"/>
    </row>
    <row r="295" spans="1:1">
      <c r="A295" s="32"/>
    </row>
    <row r="296" spans="1:1">
      <c r="A296" s="32"/>
    </row>
    <row r="297" spans="1:1">
      <c r="A297" s="32"/>
    </row>
    <row r="298" spans="1:1">
      <c r="A298" s="32"/>
    </row>
    <row r="299" spans="1:1">
      <c r="A299" s="32"/>
    </row>
    <row r="300" spans="1:1">
      <c r="A300" s="32"/>
    </row>
    <row r="301" spans="1:1">
      <c r="A301" s="32"/>
    </row>
    <row r="302" spans="1:1">
      <c r="A302" s="32"/>
    </row>
    <row r="303" spans="1:1">
      <c r="A303" s="32"/>
    </row>
    <row r="304" spans="1:1">
      <c r="A304" s="32"/>
    </row>
    <row r="305" spans="1:1">
      <c r="A305" s="32"/>
    </row>
    <row r="306" spans="1:1">
      <c r="A306" s="32"/>
    </row>
    <row r="307" spans="1:1">
      <c r="A307" s="32"/>
    </row>
    <row r="308" spans="1:1">
      <c r="A308" s="32"/>
    </row>
    <row r="309" spans="1:1">
      <c r="A309" s="32"/>
    </row>
    <row r="310" spans="1:1">
      <c r="A310" s="32"/>
    </row>
    <row r="311" spans="1:1">
      <c r="A311" s="32"/>
    </row>
    <row r="312" spans="1:1">
      <c r="A312" s="32"/>
    </row>
    <row r="313" spans="1:1">
      <c r="A313" s="32"/>
    </row>
    <row r="314" spans="1:1">
      <c r="A314" s="32"/>
    </row>
    <row r="315" spans="1:1">
      <c r="A315" s="32"/>
    </row>
    <row r="316" spans="1:1">
      <c r="A316" s="32"/>
    </row>
    <row r="317" spans="1:1">
      <c r="A317" s="32"/>
    </row>
    <row r="318" spans="1:1">
      <c r="A318" s="32"/>
    </row>
    <row r="319" spans="1:1">
      <c r="A319" s="32"/>
    </row>
    <row r="320" spans="1:1">
      <c r="A320" s="32"/>
    </row>
    <row r="321" spans="1:1">
      <c r="A321" s="32"/>
    </row>
    <row r="322" spans="1:1">
      <c r="A322" s="32"/>
    </row>
    <row r="323" spans="1:1">
      <c r="A323" s="32"/>
    </row>
    <row r="324" spans="1:1">
      <c r="A324" s="32"/>
    </row>
    <row r="325" spans="1:1">
      <c r="A325" s="32"/>
    </row>
    <row r="326" spans="1:1">
      <c r="A326" s="32"/>
    </row>
    <row r="327" spans="1:1">
      <c r="A327" s="32"/>
    </row>
    <row r="328" spans="1:1">
      <c r="A328" s="32"/>
    </row>
    <row r="329" spans="1:1">
      <c r="A329" s="32"/>
    </row>
    <row r="330" spans="1:1">
      <c r="A330" s="32"/>
    </row>
    <row r="331" spans="1:1">
      <c r="A331" s="32"/>
    </row>
    <row r="332" spans="1:1">
      <c r="A332" s="32"/>
    </row>
    <row r="333" spans="1:1">
      <c r="A333" s="32"/>
    </row>
    <row r="334" spans="1:1">
      <c r="A334" s="32"/>
    </row>
    <row r="335" spans="1:1">
      <c r="A335" s="32"/>
    </row>
    <row r="336" spans="1:1">
      <c r="A336" s="32"/>
    </row>
    <row r="337" spans="1:1">
      <c r="A337" s="32"/>
    </row>
    <row r="338" spans="1:1">
      <c r="A338" s="32"/>
    </row>
    <row r="339" spans="1:1">
      <c r="A339" s="32"/>
    </row>
    <row r="340" spans="1:1">
      <c r="A340" s="32"/>
    </row>
    <row r="341" spans="1:1">
      <c r="A341" s="32"/>
    </row>
    <row r="342" spans="1:1">
      <c r="A342" s="32"/>
    </row>
    <row r="343" spans="1:1">
      <c r="A343" s="32"/>
    </row>
    <row r="344" spans="1:1">
      <c r="A344" s="32"/>
    </row>
    <row r="345" spans="1:1">
      <c r="A345" s="32"/>
    </row>
    <row r="346" spans="1:1">
      <c r="A346" s="32"/>
    </row>
    <row r="347" spans="1:1">
      <c r="A347" s="32"/>
    </row>
    <row r="348" spans="1:1">
      <c r="A348" s="32"/>
    </row>
    <row r="349" spans="1:1">
      <c r="A349" s="32"/>
    </row>
    <row r="350" spans="1:1">
      <c r="A350" s="32"/>
    </row>
    <row r="351" spans="1:1">
      <c r="A351" s="32"/>
    </row>
    <row r="352" spans="1:1">
      <c r="A352" s="32"/>
    </row>
    <row r="353" spans="1:1">
      <c r="A353" s="32"/>
    </row>
    <row r="354" spans="1:1">
      <c r="A354" s="32"/>
    </row>
    <row r="355" spans="1:1">
      <c r="A355" s="32"/>
    </row>
    <row r="356" spans="1:1">
      <c r="A356" s="32"/>
    </row>
    <row r="357" spans="1:1">
      <c r="A357" s="32"/>
    </row>
    <row r="358" spans="1:1">
      <c r="A358" s="32"/>
    </row>
    <row r="359" spans="1:1">
      <c r="A359" s="32"/>
    </row>
    <row r="360" spans="1:1">
      <c r="A360" s="32"/>
    </row>
    <row r="361" spans="1:1">
      <c r="A361" s="32"/>
    </row>
    <row r="362" spans="1:1">
      <c r="A362" s="32"/>
    </row>
    <row r="363" spans="1:1">
      <c r="A363" s="32"/>
    </row>
    <row r="364" spans="1:1">
      <c r="A364" s="32"/>
    </row>
    <row r="365" spans="1:1">
      <c r="A365" s="32"/>
    </row>
    <row r="366" spans="1:1">
      <c r="A366" s="32"/>
    </row>
    <row r="367" spans="1:1">
      <c r="A367" s="32"/>
    </row>
    <row r="368" spans="1:1">
      <c r="A368" s="32"/>
    </row>
    <row r="369" spans="1:1">
      <c r="A369" s="32"/>
    </row>
    <row r="370" spans="1:1">
      <c r="A370" s="32"/>
    </row>
    <row r="371" spans="1:1">
      <c r="A371" s="32"/>
    </row>
    <row r="372" spans="1:1">
      <c r="A372" s="32"/>
    </row>
    <row r="373" spans="1:1">
      <c r="A373" s="32"/>
    </row>
    <row r="374" spans="1:1">
      <c r="A374" s="32"/>
    </row>
    <row r="375" spans="1:1">
      <c r="A375" s="32"/>
    </row>
    <row r="376" spans="1:1">
      <c r="A376" s="32"/>
    </row>
    <row r="377" spans="1:1">
      <c r="A377" s="32"/>
    </row>
    <row r="378" spans="1:1">
      <c r="A378" s="32"/>
    </row>
    <row r="379" spans="1:1">
      <c r="A379" s="32"/>
    </row>
    <row r="380" spans="1:1">
      <c r="A380" s="32"/>
    </row>
    <row r="381" spans="1:1">
      <c r="A381" s="32"/>
    </row>
    <row r="382" spans="1:1">
      <c r="A382" s="32"/>
    </row>
    <row r="383" spans="1:1">
      <c r="A383" s="32"/>
    </row>
    <row r="384" spans="1:1">
      <c r="A384" s="32"/>
    </row>
    <row r="385" spans="1:1">
      <c r="A385" s="32"/>
    </row>
    <row r="386" spans="1:1">
      <c r="A386" s="32"/>
    </row>
    <row r="387" spans="1:1">
      <c r="A387" s="32"/>
    </row>
    <row r="388" spans="1:1">
      <c r="A388" s="32"/>
    </row>
    <row r="389" spans="1:1">
      <c r="A389" s="32"/>
    </row>
    <row r="390" spans="1:1">
      <c r="A390" s="32"/>
    </row>
    <row r="391" spans="1:1">
      <c r="A391" s="32"/>
    </row>
    <row r="392" spans="1:1">
      <c r="A392" s="32"/>
    </row>
    <row r="393" spans="1:1">
      <c r="A393" s="32"/>
    </row>
    <row r="394" spans="1:1">
      <c r="A394" s="32"/>
    </row>
    <row r="395" spans="1:1">
      <c r="A395" s="32"/>
    </row>
    <row r="396" spans="1:1">
      <c r="A396" s="32"/>
    </row>
    <row r="397" spans="1:1">
      <c r="A397" s="32"/>
    </row>
    <row r="398" spans="1:1">
      <c r="A398" s="32"/>
    </row>
    <row r="399" spans="1:1">
      <c r="A399" s="32"/>
    </row>
    <row r="400" spans="1:1">
      <c r="A400" s="32"/>
    </row>
    <row r="401" spans="1:1">
      <c r="A401" s="32"/>
    </row>
    <row r="402" spans="1:1">
      <c r="A402" s="32"/>
    </row>
    <row r="403" spans="1:1">
      <c r="A403" s="32"/>
    </row>
    <row r="404" spans="1:1">
      <c r="A404" s="32"/>
    </row>
    <row r="405" spans="1:1">
      <c r="A405" s="32"/>
    </row>
    <row r="406" spans="1:1">
      <c r="A406" s="32"/>
    </row>
    <row r="407" spans="1:1">
      <c r="A407" s="32"/>
    </row>
    <row r="408" spans="1:1">
      <c r="A408" s="32"/>
    </row>
    <row r="409" spans="1:1">
      <c r="A409" s="32"/>
    </row>
    <row r="410" spans="1:1">
      <c r="A410" s="32"/>
    </row>
    <row r="411" spans="1:1">
      <c r="A411" s="32"/>
    </row>
    <row r="412" spans="1:1">
      <c r="A412" s="32"/>
    </row>
    <row r="413" spans="1:1">
      <c r="A413" s="32"/>
    </row>
    <row r="414" spans="1:1">
      <c r="A414" s="32"/>
    </row>
    <row r="415" spans="1:1">
      <c r="A415" s="32"/>
    </row>
    <row r="416" spans="1:1">
      <c r="A416" s="32"/>
    </row>
    <row r="417" spans="1:1">
      <c r="A417" s="32"/>
    </row>
    <row r="418" spans="1:1">
      <c r="A418" s="32"/>
    </row>
    <row r="419" spans="1:1">
      <c r="A419" s="32"/>
    </row>
    <row r="420" spans="1:1">
      <c r="A420" s="32"/>
    </row>
    <row r="421" spans="1:1">
      <c r="A421" s="32"/>
    </row>
    <row r="422" spans="1:1">
      <c r="A422" s="32"/>
    </row>
    <row r="423" spans="1:1">
      <c r="A423" s="32"/>
    </row>
    <row r="424" spans="1:1">
      <c r="A424" s="32"/>
    </row>
    <row r="425" spans="1:1">
      <c r="A425" s="32"/>
    </row>
    <row r="426" spans="1:1">
      <c r="A426" s="32"/>
    </row>
    <row r="427" spans="1:1">
      <c r="A427" s="32"/>
    </row>
    <row r="428" spans="1:1">
      <c r="A428" s="32"/>
    </row>
    <row r="429" spans="1:1">
      <c r="A429" s="32"/>
    </row>
    <row r="430" spans="1:1">
      <c r="A430" s="32"/>
    </row>
    <row r="431" spans="1:1">
      <c r="A431" s="32"/>
    </row>
    <row r="432" spans="1:1">
      <c r="A432" s="32"/>
    </row>
    <row r="433" spans="1:1">
      <c r="A433" s="32"/>
    </row>
    <row r="434" spans="1:1">
      <c r="A434" s="32"/>
    </row>
    <row r="435" spans="1:1">
      <c r="A435" s="32"/>
    </row>
    <row r="436" spans="1:1">
      <c r="A436" s="32"/>
    </row>
    <row r="437" spans="1:1">
      <c r="A437" s="32"/>
    </row>
    <row r="438" spans="1:1">
      <c r="A438" s="32"/>
    </row>
    <row r="439" spans="1:1">
      <c r="A439" s="32"/>
    </row>
    <row r="440" spans="1:1">
      <c r="A440" s="32"/>
    </row>
    <row r="441" spans="1:1">
      <c r="A441" s="32"/>
    </row>
    <row r="442" spans="1:1">
      <c r="A442" s="32"/>
    </row>
    <row r="443" spans="1:1">
      <c r="A443" s="32"/>
    </row>
    <row r="444" spans="1:1">
      <c r="A444" s="32"/>
    </row>
    <row r="445" spans="1:1">
      <c r="A445" s="32"/>
    </row>
    <row r="446" spans="1:1">
      <c r="A446" s="32"/>
    </row>
    <row r="447" spans="1:1">
      <c r="A447" s="32"/>
    </row>
    <row r="448" spans="1:1">
      <c r="A448" s="32"/>
    </row>
    <row r="449" spans="1:1">
      <c r="A449" s="32"/>
    </row>
    <row r="450" spans="1:1">
      <c r="A450" s="32"/>
    </row>
    <row r="451" spans="1:1">
      <c r="A451" s="32"/>
    </row>
    <row r="452" spans="1:1">
      <c r="A452" s="32"/>
    </row>
    <row r="453" spans="1:1">
      <c r="A453" s="32"/>
    </row>
    <row r="454" spans="1:1">
      <c r="A454" s="32"/>
    </row>
    <row r="455" spans="1:1">
      <c r="A455" s="32"/>
    </row>
    <row r="456" spans="1:1">
      <c r="A456" s="32"/>
    </row>
    <row r="457" spans="1:1">
      <c r="A457" s="32"/>
    </row>
    <row r="458" spans="1:1">
      <c r="A458" s="32"/>
    </row>
    <row r="459" spans="1:1">
      <c r="A459" s="32"/>
    </row>
    <row r="460" spans="1:1">
      <c r="A460" s="32"/>
    </row>
    <row r="461" spans="1:1">
      <c r="A461" s="32"/>
    </row>
    <row r="462" spans="1:1">
      <c r="A462" s="32"/>
    </row>
    <row r="463" spans="1:1">
      <c r="A463" s="32"/>
    </row>
    <row r="464" spans="1:1">
      <c r="A464" s="32"/>
    </row>
    <row r="465" spans="1:1">
      <c r="A465" s="32"/>
    </row>
    <row r="466" spans="1:1">
      <c r="A466" s="32"/>
    </row>
    <row r="467" spans="1:1">
      <c r="A467" s="32"/>
    </row>
    <row r="468" spans="1:1">
      <c r="A468" s="32"/>
    </row>
    <row r="469" spans="1:1">
      <c r="A469" s="32"/>
    </row>
    <row r="470" spans="1:1">
      <c r="A470" s="32"/>
    </row>
    <row r="471" spans="1:1">
      <c r="A471" s="32"/>
    </row>
    <row r="472" spans="1:1">
      <c r="A472" s="32"/>
    </row>
    <row r="473" spans="1:1">
      <c r="A473" s="32"/>
    </row>
    <row r="474" spans="1:1">
      <c r="A474" s="32"/>
    </row>
    <row r="475" spans="1:1">
      <c r="A475" s="32"/>
    </row>
    <row r="476" spans="1:1">
      <c r="A476" s="32"/>
    </row>
    <row r="477" spans="1:1">
      <c r="A477" s="32"/>
    </row>
    <row r="478" spans="1:1">
      <c r="A478" s="32"/>
    </row>
    <row r="479" spans="1:1">
      <c r="A479" s="32"/>
    </row>
    <row r="480" spans="1:1">
      <c r="A480" s="32"/>
    </row>
    <row r="481" spans="1:1">
      <c r="A481" s="32"/>
    </row>
    <row r="482" spans="1:1">
      <c r="A482" s="32"/>
    </row>
    <row r="483" spans="1:1">
      <c r="A483" s="32"/>
    </row>
    <row r="484" spans="1:1">
      <c r="A484" s="32"/>
    </row>
    <row r="485" spans="1:1">
      <c r="A485" s="32"/>
    </row>
    <row r="486" spans="1:1">
      <c r="A486" s="32"/>
    </row>
    <row r="487" spans="1:1">
      <c r="A487" s="32"/>
    </row>
    <row r="488" spans="1:1">
      <c r="A488" s="32"/>
    </row>
    <row r="489" spans="1:1">
      <c r="A489" s="32"/>
    </row>
    <row r="490" spans="1:1">
      <c r="A490" s="32"/>
    </row>
    <row r="491" spans="1:1">
      <c r="A491" s="32"/>
    </row>
    <row r="492" spans="1:1">
      <c r="A492" s="32"/>
    </row>
    <row r="493" spans="1:1">
      <c r="A493" s="32"/>
    </row>
    <row r="494" spans="1:1">
      <c r="A494" s="32"/>
    </row>
    <row r="495" spans="1:1">
      <c r="A495" s="32"/>
    </row>
    <row r="496" spans="1:1">
      <c r="A496" s="32"/>
    </row>
    <row r="497" spans="1:1">
      <c r="A497" s="32"/>
    </row>
    <row r="498" spans="1:1">
      <c r="A498" s="32"/>
    </row>
    <row r="499" spans="1:1">
      <c r="A499" s="32"/>
    </row>
    <row r="500" spans="1:1">
      <c r="A500" s="32"/>
    </row>
    <row r="501" spans="1:1">
      <c r="A501" s="32"/>
    </row>
    <row r="502" spans="1:1">
      <c r="A502" s="32"/>
    </row>
    <row r="503" spans="1:1">
      <c r="A503" s="32"/>
    </row>
    <row r="504" spans="1:1">
      <c r="A504" s="32"/>
    </row>
    <row r="505" spans="1:1">
      <c r="A505" s="32"/>
    </row>
    <row r="506" spans="1:1">
      <c r="A506" s="32"/>
    </row>
    <row r="507" spans="1:1">
      <c r="A507" s="32"/>
    </row>
    <row r="508" spans="1:1">
      <c r="A508" s="32"/>
    </row>
    <row r="509" spans="1:1">
      <c r="A509" s="32"/>
    </row>
    <row r="510" spans="1:1">
      <c r="A510" s="32"/>
    </row>
    <row r="511" spans="1:1">
      <c r="A511" s="32"/>
    </row>
    <row r="512" spans="1:1">
      <c r="A512" s="32"/>
    </row>
    <row r="513" spans="1:1">
      <c r="A513" s="32"/>
    </row>
    <row r="514" spans="1:1">
      <c r="A514" s="32"/>
    </row>
    <row r="515" spans="1:1">
      <c r="A515" s="32"/>
    </row>
    <row r="516" spans="1:1">
      <c r="A516" s="32"/>
    </row>
    <row r="517" spans="1:1">
      <c r="A517" s="32"/>
    </row>
    <row r="518" spans="1:1">
      <c r="A518" s="32"/>
    </row>
    <row r="519" spans="1:1">
      <c r="A519" s="32"/>
    </row>
    <row r="520" spans="1:1">
      <c r="A520" s="32"/>
    </row>
    <row r="521" spans="1:1">
      <c r="A521" s="32"/>
    </row>
    <row r="522" spans="1:1">
      <c r="A522" s="32"/>
    </row>
    <row r="523" spans="1:1">
      <c r="A523" s="32"/>
    </row>
    <row r="524" spans="1:1">
      <c r="A524" s="32"/>
    </row>
    <row r="525" spans="1:1">
      <c r="A525" s="32"/>
    </row>
    <row r="526" spans="1:1">
      <c r="A526" s="32"/>
    </row>
    <row r="527" spans="1:1">
      <c r="A527" s="32"/>
    </row>
    <row r="528" spans="1:1">
      <c r="A528" s="32"/>
    </row>
    <row r="529" spans="1:1">
      <c r="A529" s="32"/>
    </row>
    <row r="530" spans="1:1">
      <c r="A530" s="32"/>
    </row>
    <row r="531" spans="1:1">
      <c r="A531" s="32"/>
    </row>
    <row r="532" spans="1:1">
      <c r="A532" s="32"/>
    </row>
    <row r="533" spans="1:1">
      <c r="A533" s="32"/>
    </row>
    <row r="534" spans="1:1">
      <c r="A534" s="32"/>
    </row>
    <row r="535" spans="1:1">
      <c r="A535" s="32"/>
    </row>
    <row r="536" spans="1:1">
      <c r="A536" s="32"/>
    </row>
    <row r="537" spans="1:1">
      <c r="A537" s="32"/>
    </row>
    <row r="538" spans="1:1">
      <c r="A538" s="32"/>
    </row>
    <row r="539" spans="1:1">
      <c r="A539" s="32"/>
    </row>
    <row r="540" spans="1:1">
      <c r="A540" s="32"/>
    </row>
    <row r="541" spans="1:1">
      <c r="A541" s="32"/>
    </row>
    <row r="542" spans="1:1">
      <c r="A542" s="32"/>
    </row>
    <row r="543" spans="1:1">
      <c r="A543" s="32"/>
    </row>
    <row r="544" spans="1:1">
      <c r="A544" s="32"/>
    </row>
    <row r="545" spans="1:1">
      <c r="A545" s="32"/>
    </row>
    <row r="546" spans="1:1">
      <c r="A546" s="32"/>
    </row>
    <row r="547" spans="1:1">
      <c r="A547" s="32"/>
    </row>
    <row r="548" spans="1:1">
      <c r="A548" s="32"/>
    </row>
    <row r="549" spans="1:1">
      <c r="A549" s="32"/>
    </row>
    <row r="550" spans="1:1">
      <c r="A550" s="32"/>
    </row>
    <row r="551" spans="1:1">
      <c r="A551" s="32"/>
    </row>
    <row r="552" spans="1:1">
      <c r="A552" s="32"/>
    </row>
    <row r="553" spans="1:1">
      <c r="A553" s="32"/>
    </row>
    <row r="554" spans="1:1">
      <c r="A554" s="32"/>
    </row>
    <row r="555" spans="1:1">
      <c r="A555" s="32"/>
    </row>
    <row r="556" spans="1:1">
      <c r="A556" s="32"/>
    </row>
    <row r="557" spans="1:1">
      <c r="A557" s="32"/>
    </row>
    <row r="558" spans="1:1">
      <c r="A558" s="32"/>
    </row>
    <row r="559" spans="1:1">
      <c r="A559" s="32"/>
    </row>
    <row r="560" spans="1:1">
      <c r="A560" s="32"/>
    </row>
    <row r="561" spans="1:1">
      <c r="A561" s="32"/>
    </row>
    <row r="562" spans="1:1">
      <c r="A562" s="32"/>
    </row>
    <row r="563" spans="1:1">
      <c r="A563" s="32"/>
    </row>
    <row r="564" spans="1:1">
      <c r="A564" s="32"/>
    </row>
    <row r="565" spans="1:1">
      <c r="A565" s="32"/>
    </row>
    <row r="566" spans="1:1">
      <c r="A566" s="32"/>
    </row>
    <row r="567" spans="1:1">
      <c r="A567" s="32"/>
    </row>
    <row r="568" spans="1:1">
      <c r="A568" s="32"/>
    </row>
    <row r="569" spans="1:1">
      <c r="A569" s="32"/>
    </row>
    <row r="570" spans="1:1">
      <c r="A570" s="32"/>
    </row>
    <row r="571" spans="1:1">
      <c r="A571" s="32"/>
    </row>
    <row r="572" spans="1:1">
      <c r="A572" s="32"/>
    </row>
    <row r="573" spans="1:1">
      <c r="A573" s="32"/>
    </row>
    <row r="574" spans="1:1">
      <c r="A574" s="32"/>
    </row>
    <row r="575" spans="1:1">
      <c r="A575" s="32"/>
    </row>
    <row r="576" spans="1:1">
      <c r="A576" s="32"/>
    </row>
    <row r="577" spans="1:1">
      <c r="A577" s="32"/>
    </row>
    <row r="578" spans="1:1">
      <c r="A578" s="32"/>
    </row>
    <row r="579" spans="1:1">
      <c r="A579" s="32"/>
    </row>
    <row r="580" spans="1:1">
      <c r="A580" s="32"/>
    </row>
    <row r="581" spans="1:1">
      <c r="A581" s="32"/>
    </row>
    <row r="582" spans="1:1">
      <c r="A582" s="32"/>
    </row>
    <row r="583" spans="1:1">
      <c r="A583" s="32"/>
    </row>
    <row r="584" spans="1:1">
      <c r="A584" s="32"/>
    </row>
    <row r="585" spans="1:1">
      <c r="A585" s="32"/>
    </row>
    <row r="586" spans="1:1">
      <c r="A586" s="32"/>
    </row>
    <row r="587" spans="1:1">
      <c r="A587" s="32"/>
    </row>
    <row r="588" spans="1:1">
      <c r="A588" s="32"/>
    </row>
    <row r="589" spans="1:1">
      <c r="A589" s="32"/>
    </row>
    <row r="590" spans="1:1">
      <c r="A590" s="32"/>
    </row>
    <row r="591" spans="1:1">
      <c r="A591" s="32"/>
    </row>
    <row r="592" spans="1:1">
      <c r="A592" s="32"/>
    </row>
    <row r="593" spans="1:1">
      <c r="A593" s="32"/>
    </row>
    <row r="594" spans="1:1">
      <c r="A594" s="32"/>
    </row>
    <row r="595" spans="1:1">
      <c r="A595" s="32"/>
    </row>
    <row r="596" spans="1:1">
      <c r="A596" s="32"/>
    </row>
    <row r="597" spans="1:1">
      <c r="A597" s="32"/>
    </row>
    <row r="598" spans="1:1">
      <c r="A598" s="32"/>
    </row>
    <row r="599" spans="1:1">
      <c r="A599" s="32"/>
    </row>
    <row r="600" spans="1:1">
      <c r="A600" s="32"/>
    </row>
    <row r="601" spans="1:1">
      <c r="A601" s="32"/>
    </row>
    <row r="602" spans="1:1">
      <c r="A602" s="32"/>
    </row>
    <row r="603" spans="1:1">
      <c r="A603" s="32"/>
    </row>
    <row r="604" spans="1:1">
      <c r="A604" s="32"/>
    </row>
    <row r="605" spans="1:1">
      <c r="A605" s="32"/>
    </row>
    <row r="606" spans="1:1">
      <c r="A606" s="32"/>
    </row>
    <row r="607" spans="1:1">
      <c r="A607" s="32"/>
    </row>
    <row r="608" spans="1:1">
      <c r="A608" s="32"/>
    </row>
    <row r="609" spans="1:1">
      <c r="A609" s="32"/>
    </row>
    <row r="610" spans="1:1">
      <c r="A610" s="32"/>
    </row>
    <row r="611" spans="1:1">
      <c r="A611" s="32"/>
    </row>
    <row r="612" spans="1:1">
      <c r="A612" s="32"/>
    </row>
    <row r="613" spans="1:1">
      <c r="A613" s="32"/>
    </row>
    <row r="614" spans="1:1">
      <c r="A614" s="32"/>
    </row>
    <row r="615" spans="1:1">
      <c r="A615" s="32"/>
    </row>
    <row r="616" spans="1:1">
      <c r="A616" s="32"/>
    </row>
    <row r="617" spans="1:1">
      <c r="A617" s="32"/>
    </row>
    <row r="618" spans="1:1">
      <c r="A618" s="32"/>
    </row>
    <row r="619" spans="1:1">
      <c r="A619" s="32"/>
    </row>
    <row r="620" spans="1:1">
      <c r="A620" s="32"/>
    </row>
    <row r="621" spans="1:1">
      <c r="A621" s="32"/>
    </row>
    <row r="622" spans="1:1">
      <c r="A622" s="32"/>
    </row>
    <row r="623" spans="1:1">
      <c r="A623" s="32"/>
    </row>
    <row r="624" spans="1:1">
      <c r="A624" s="32"/>
    </row>
    <row r="625" spans="1:1">
      <c r="A625" s="32"/>
    </row>
    <row r="626" spans="1:1">
      <c r="A626" s="32"/>
    </row>
    <row r="627" spans="1:1">
      <c r="A627" s="32"/>
    </row>
    <row r="628" spans="1:1">
      <c r="A628" s="32"/>
    </row>
    <row r="629" spans="1:1">
      <c r="A629" s="32"/>
    </row>
    <row r="630" spans="1:1">
      <c r="A630" s="32"/>
    </row>
    <row r="631" spans="1:1">
      <c r="A631" s="32"/>
    </row>
    <row r="632" spans="1:1">
      <c r="A632" s="32"/>
    </row>
    <row r="633" spans="1:1">
      <c r="A633" s="32"/>
    </row>
    <row r="634" spans="1:1">
      <c r="A634" s="32"/>
    </row>
    <row r="635" spans="1:1">
      <c r="A635" s="32"/>
    </row>
    <row r="636" spans="1:1">
      <c r="A636" s="32"/>
    </row>
    <row r="637" spans="1:1">
      <c r="A637" s="32"/>
    </row>
    <row r="638" spans="1:1">
      <c r="A638" s="32"/>
    </row>
    <row r="639" spans="1:1">
      <c r="A639" s="32"/>
    </row>
    <row r="640" spans="1:1">
      <c r="A640" s="32"/>
    </row>
    <row r="641" spans="1:1">
      <c r="A641" s="32"/>
    </row>
    <row r="642" spans="1:1">
      <c r="A642" s="32"/>
    </row>
    <row r="643" spans="1:1">
      <c r="A643" s="32"/>
    </row>
    <row r="644" spans="1:1">
      <c r="A644" s="32"/>
    </row>
    <row r="645" spans="1:1">
      <c r="A645" s="32"/>
    </row>
    <row r="646" spans="1:1">
      <c r="A646" s="32"/>
    </row>
    <row r="647" spans="1:1">
      <c r="A647" s="32"/>
    </row>
    <row r="648" spans="1:1">
      <c r="A648" s="32"/>
    </row>
    <row r="649" spans="1:1">
      <c r="A649" s="32"/>
    </row>
    <row r="650" spans="1:1">
      <c r="A650" s="32"/>
    </row>
    <row r="651" spans="1:1">
      <c r="A651" s="32"/>
    </row>
    <row r="652" spans="1:1">
      <c r="A652" s="32"/>
    </row>
    <row r="653" spans="1:1">
      <c r="A653" s="32"/>
    </row>
    <row r="654" spans="1:1">
      <c r="A654" s="32"/>
    </row>
    <row r="655" spans="1:1">
      <c r="A655" s="32"/>
    </row>
    <row r="656" spans="1:1">
      <c r="A656" s="32"/>
    </row>
    <row r="657" spans="1:1">
      <c r="A657" s="32"/>
    </row>
    <row r="658" spans="1:1">
      <c r="A658" s="32"/>
    </row>
    <row r="659" spans="1:1">
      <c r="A659" s="32"/>
    </row>
    <row r="660" spans="1:1">
      <c r="A660" s="32"/>
    </row>
    <row r="661" spans="1:1">
      <c r="A661" s="32"/>
    </row>
    <row r="662" spans="1:1">
      <c r="A662" s="32"/>
    </row>
    <row r="663" spans="1:1">
      <c r="A663" s="32"/>
    </row>
    <row r="664" spans="1:1">
      <c r="A664" s="32"/>
    </row>
    <row r="665" spans="1:1">
      <c r="A665" s="32"/>
    </row>
    <row r="666" spans="1:1">
      <c r="A666" s="32"/>
    </row>
    <row r="667" spans="1:1">
      <c r="A667" s="32"/>
    </row>
    <row r="668" spans="1:1">
      <c r="A668" s="32"/>
    </row>
    <row r="669" spans="1:1">
      <c r="A669" s="32"/>
    </row>
    <row r="670" spans="1:1">
      <c r="A670" s="32"/>
    </row>
    <row r="671" spans="1:1">
      <c r="A671" s="32"/>
    </row>
    <row r="672" spans="1:1">
      <c r="A672" s="32"/>
    </row>
    <row r="673" spans="1:1">
      <c r="A673" s="32"/>
    </row>
    <row r="674" spans="1:1">
      <c r="A674" s="32"/>
    </row>
    <row r="675" spans="1:1">
      <c r="A675" s="32"/>
    </row>
    <row r="676" spans="1:1">
      <c r="A676" s="32"/>
    </row>
    <row r="677" spans="1:1">
      <c r="A677" s="32"/>
    </row>
    <row r="678" spans="1:1">
      <c r="A678" s="32"/>
    </row>
    <row r="679" spans="1:1">
      <c r="A679" s="32"/>
    </row>
    <row r="680" spans="1:1">
      <c r="A680" s="32"/>
    </row>
    <row r="681" spans="1:1">
      <c r="A681" s="32"/>
    </row>
    <row r="682" spans="1:1">
      <c r="A682" s="32"/>
    </row>
    <row r="683" spans="1:1">
      <c r="A683" s="32"/>
    </row>
    <row r="684" spans="1:1">
      <c r="A684" s="32"/>
    </row>
    <row r="685" spans="1:1">
      <c r="A685" s="32"/>
    </row>
    <row r="686" spans="1:1">
      <c r="A686" s="32"/>
    </row>
    <row r="687" spans="1:1">
      <c r="A687" s="32"/>
    </row>
    <row r="688" spans="1:1">
      <c r="A688" s="32"/>
    </row>
    <row r="689" spans="1:1">
      <c r="A689" s="32"/>
    </row>
    <row r="690" spans="1:1">
      <c r="A690" s="32"/>
    </row>
    <row r="691" spans="1:1">
      <c r="A691" s="32"/>
    </row>
    <row r="692" spans="1:1">
      <c r="A692" s="32"/>
    </row>
    <row r="693" spans="1:1">
      <c r="A693" s="32"/>
    </row>
    <row r="694" spans="1:1">
      <c r="A694" s="32"/>
    </row>
    <row r="695" spans="1:1">
      <c r="A695" s="32"/>
    </row>
    <row r="696" spans="1:1">
      <c r="A696" s="32"/>
    </row>
    <row r="697" spans="1:1">
      <c r="A697" s="32"/>
    </row>
    <row r="698" spans="1:1">
      <c r="A698" s="32"/>
    </row>
    <row r="699" spans="1:1">
      <c r="A699" s="32"/>
    </row>
    <row r="700" spans="1:1">
      <c r="A700" s="32"/>
    </row>
    <row r="701" spans="1:1">
      <c r="A701" s="32"/>
    </row>
    <row r="702" spans="1:1">
      <c r="A702" s="32"/>
    </row>
    <row r="703" spans="1:1">
      <c r="A703" s="32"/>
    </row>
    <row r="704" spans="1:1">
      <c r="A704" s="32"/>
    </row>
    <row r="705" spans="1:1">
      <c r="A705" s="32"/>
    </row>
    <row r="706" spans="1:1">
      <c r="A706" s="32"/>
    </row>
    <row r="707" spans="1:1">
      <c r="A707" s="32"/>
    </row>
    <row r="708" spans="1:1">
      <c r="A708" s="32"/>
    </row>
    <row r="709" spans="1:1">
      <c r="A709" s="32"/>
    </row>
    <row r="710" spans="1:1">
      <c r="A710" s="32"/>
    </row>
    <row r="711" spans="1:1">
      <c r="A711" s="32"/>
    </row>
    <row r="712" spans="1:1">
      <c r="A712" s="32"/>
    </row>
    <row r="713" spans="1:1">
      <c r="A713" s="32"/>
    </row>
    <row r="714" spans="1:1">
      <c r="A714" s="32"/>
    </row>
    <row r="715" spans="1:1">
      <c r="A715" s="32"/>
    </row>
    <row r="716" spans="1:1">
      <c r="A716" s="32"/>
    </row>
    <row r="717" spans="1:1">
      <c r="A717" s="32"/>
    </row>
    <row r="718" spans="1:1">
      <c r="A718" s="32"/>
    </row>
    <row r="719" spans="1:1">
      <c r="A719" s="32"/>
    </row>
    <row r="720" spans="1:1">
      <c r="A720" s="32"/>
    </row>
    <row r="721" spans="1:1">
      <c r="A721" s="32"/>
    </row>
    <row r="722" spans="1:1">
      <c r="A722" s="32"/>
    </row>
    <row r="723" spans="1:1">
      <c r="A723" s="32"/>
    </row>
    <row r="724" spans="1:1">
      <c r="A724" s="32"/>
    </row>
    <row r="725" spans="1:1">
      <c r="A725" s="32"/>
    </row>
    <row r="726" spans="1:1">
      <c r="A726" s="32"/>
    </row>
    <row r="727" spans="1:1">
      <c r="A727" s="32"/>
    </row>
    <row r="728" spans="1:1">
      <c r="A728" s="32"/>
    </row>
    <row r="729" spans="1:1">
      <c r="A729" s="32"/>
    </row>
    <row r="730" spans="1:1">
      <c r="A730" s="32"/>
    </row>
    <row r="731" spans="1:1">
      <c r="A731" s="32"/>
    </row>
    <row r="732" spans="1:1">
      <c r="A732" s="32"/>
    </row>
    <row r="733" spans="1:1">
      <c r="A733" s="32"/>
    </row>
    <row r="734" spans="1:1">
      <c r="A734" s="32"/>
    </row>
    <row r="735" spans="1:1">
      <c r="A735" s="32"/>
    </row>
    <row r="736" spans="1:1">
      <c r="A736" s="32"/>
    </row>
    <row r="737" spans="1:1">
      <c r="A737" s="32"/>
    </row>
    <row r="738" spans="1:1">
      <c r="A738" s="32"/>
    </row>
    <row r="739" spans="1:1">
      <c r="A739" s="32"/>
    </row>
    <row r="740" spans="1:1">
      <c r="A740" s="32"/>
    </row>
    <row r="741" spans="1:1">
      <c r="A741" s="32"/>
    </row>
    <row r="742" spans="1:1">
      <c r="A742" s="32"/>
    </row>
    <row r="743" spans="1:1">
      <c r="A743" s="32"/>
    </row>
    <row r="744" spans="1:1">
      <c r="A744" s="32"/>
    </row>
    <row r="745" spans="1:1">
      <c r="A745" s="32"/>
    </row>
    <row r="746" spans="1:1">
      <c r="A746" s="32"/>
    </row>
    <row r="747" spans="1:1">
      <c r="A747" s="32"/>
    </row>
    <row r="748" spans="1:1">
      <c r="A748" s="32"/>
    </row>
    <row r="749" spans="1:1">
      <c r="A749" s="32"/>
    </row>
    <row r="750" spans="1:1">
      <c r="A750" s="32"/>
    </row>
    <row r="751" spans="1:1">
      <c r="A751" s="32"/>
    </row>
    <row r="752" spans="1:1">
      <c r="A752" s="32"/>
    </row>
    <row r="753" spans="1:1">
      <c r="A753" s="32"/>
    </row>
    <row r="754" spans="1:1">
      <c r="A754" s="32"/>
    </row>
    <row r="755" spans="1:1">
      <c r="A755" s="32"/>
    </row>
    <row r="756" spans="1:1">
      <c r="A756" s="32"/>
    </row>
    <row r="757" spans="1:1">
      <c r="A757" s="32"/>
    </row>
    <row r="758" spans="1:1">
      <c r="A758" s="32"/>
    </row>
    <row r="759" spans="1:1">
      <c r="A759" s="32"/>
    </row>
    <row r="760" spans="1:1">
      <c r="A760" s="32"/>
    </row>
    <row r="761" spans="1:1">
      <c r="A761" s="32"/>
    </row>
    <row r="762" spans="1:1">
      <c r="A762" s="32"/>
    </row>
    <row r="763" spans="1:1">
      <c r="A763" s="32"/>
    </row>
    <row r="764" spans="1:1">
      <c r="A764" s="32"/>
    </row>
    <row r="765" spans="1:1">
      <c r="A765" s="32"/>
    </row>
    <row r="766" spans="1:1">
      <c r="A766" s="32"/>
    </row>
    <row r="767" spans="1:1">
      <c r="A767" s="32"/>
    </row>
    <row r="768" spans="1:1">
      <c r="A768" s="32"/>
    </row>
    <row r="769" spans="1:1">
      <c r="A769" s="32"/>
    </row>
    <row r="770" spans="1:1">
      <c r="A770" s="32"/>
    </row>
    <row r="771" spans="1:1">
      <c r="A771" s="32"/>
    </row>
    <row r="772" spans="1:1">
      <c r="A772" s="32"/>
    </row>
    <row r="773" spans="1:1">
      <c r="A773" s="32"/>
    </row>
    <row r="774" spans="1:1">
      <c r="A774" s="32"/>
    </row>
    <row r="775" spans="1:1">
      <c r="A775" s="32"/>
    </row>
    <row r="776" spans="1:1">
      <c r="A776" s="32"/>
    </row>
    <row r="777" spans="1:1">
      <c r="A777" s="32"/>
    </row>
    <row r="778" spans="1:1">
      <c r="A778" s="32"/>
    </row>
    <row r="779" spans="1:1">
      <c r="A779" s="32"/>
    </row>
    <row r="780" spans="1:1">
      <c r="A780" s="32"/>
    </row>
    <row r="781" spans="1:1">
      <c r="A781" s="32"/>
    </row>
    <row r="782" spans="1:1">
      <c r="A782" s="32"/>
    </row>
    <row r="783" spans="1:1">
      <c r="A783" s="32"/>
    </row>
    <row r="784" spans="1:1">
      <c r="A784" s="32"/>
    </row>
    <row r="785" spans="1:1">
      <c r="A785" s="32"/>
    </row>
    <row r="786" spans="1:1">
      <c r="A786" s="32"/>
    </row>
    <row r="787" spans="1:1">
      <c r="A787" s="32"/>
    </row>
    <row r="788" spans="1:1">
      <c r="A788" s="32"/>
    </row>
    <row r="789" spans="1:1">
      <c r="A789" s="32"/>
    </row>
    <row r="790" spans="1:1">
      <c r="A790" s="32"/>
    </row>
    <row r="791" spans="1:1">
      <c r="A791" s="32"/>
    </row>
    <row r="792" spans="1:1">
      <c r="A792" s="32"/>
    </row>
    <row r="793" spans="1:1">
      <c r="A793" s="32"/>
    </row>
    <row r="794" spans="1:1">
      <c r="A794" s="32"/>
    </row>
    <row r="795" spans="1:1">
      <c r="A795" s="32"/>
    </row>
    <row r="796" spans="1:1">
      <c r="A796" s="32"/>
    </row>
    <row r="797" spans="1:1">
      <c r="A797" s="32"/>
    </row>
    <row r="798" spans="1:1">
      <c r="A798" s="32"/>
    </row>
    <row r="799" spans="1:1">
      <c r="A799" s="32"/>
    </row>
    <row r="800" spans="1:1">
      <c r="A800" s="32"/>
    </row>
    <row r="801" spans="1:1">
      <c r="A801" s="32"/>
    </row>
    <row r="802" spans="1:1">
      <c r="A802" s="32"/>
    </row>
    <row r="803" spans="1:1">
      <c r="A803" s="32"/>
    </row>
    <row r="804" spans="1:1">
      <c r="A804" s="32"/>
    </row>
    <row r="805" spans="1:1">
      <c r="A805" s="32"/>
    </row>
    <row r="806" spans="1:1">
      <c r="A806" s="32"/>
    </row>
    <row r="807" spans="1:1">
      <c r="A807" s="32"/>
    </row>
    <row r="808" spans="1:1">
      <c r="A808" s="32"/>
    </row>
    <row r="809" spans="1:1">
      <c r="A809" s="32"/>
    </row>
    <row r="810" spans="1:1">
      <c r="A810" s="32"/>
    </row>
    <row r="811" spans="1:1">
      <c r="A811" s="32"/>
    </row>
    <row r="812" spans="1:1">
      <c r="A812" s="32"/>
    </row>
    <row r="813" spans="1:1">
      <c r="A813" s="32"/>
    </row>
    <row r="814" spans="1:1">
      <c r="A814" s="32"/>
    </row>
    <row r="815" spans="1:1">
      <c r="A815" s="32"/>
    </row>
    <row r="816" spans="1:1">
      <c r="A816" s="32"/>
    </row>
    <row r="817" spans="1:1">
      <c r="A817" s="32"/>
    </row>
    <row r="818" spans="1:1">
      <c r="A818" s="32"/>
    </row>
    <row r="819" spans="1:1">
      <c r="A819" s="32"/>
    </row>
    <row r="820" spans="1:1">
      <c r="A820" s="32"/>
    </row>
    <row r="821" spans="1:1">
      <c r="A821" s="32"/>
    </row>
    <row r="822" spans="1:1">
      <c r="A822" s="32"/>
    </row>
    <row r="823" spans="1:1">
      <c r="A823" s="32"/>
    </row>
    <row r="824" spans="1:1">
      <c r="A824" s="32"/>
    </row>
    <row r="825" spans="1:1">
      <c r="A825" s="32"/>
    </row>
    <row r="826" spans="1:1">
      <c r="A826" s="32"/>
    </row>
    <row r="827" spans="1:1">
      <c r="A827" s="32"/>
    </row>
    <row r="828" spans="1:1">
      <c r="A828" s="32"/>
    </row>
    <row r="829" spans="1:1">
      <c r="A829" s="32"/>
    </row>
    <row r="830" spans="1:1">
      <c r="A830" s="32"/>
    </row>
    <row r="831" spans="1:1">
      <c r="A831" s="32"/>
    </row>
    <row r="832" spans="1:1">
      <c r="A832" s="32"/>
    </row>
    <row r="833" spans="1:1">
      <c r="A833" s="32"/>
    </row>
    <row r="834" spans="1:1">
      <c r="A834" s="32"/>
    </row>
    <row r="835" spans="1:1">
      <c r="A835" s="32"/>
    </row>
    <row r="836" spans="1:1">
      <c r="A836" s="32"/>
    </row>
    <row r="837" spans="1:1">
      <c r="A837" s="32"/>
    </row>
    <row r="838" spans="1:1">
      <c r="A838" s="32"/>
    </row>
    <row r="839" spans="1:1">
      <c r="A839" s="32"/>
    </row>
    <row r="840" spans="1:1">
      <c r="A840" s="32"/>
    </row>
    <row r="841" spans="1:1">
      <c r="A841" s="32"/>
    </row>
    <row r="842" spans="1:1">
      <c r="A842" s="32"/>
    </row>
    <row r="843" spans="1:1">
      <c r="A843" s="32"/>
    </row>
    <row r="844" spans="1:1">
      <c r="A844" s="32"/>
    </row>
    <row r="845" spans="1:1">
      <c r="A845" s="32"/>
    </row>
    <row r="846" spans="1:1">
      <c r="A846" s="32"/>
    </row>
    <row r="847" spans="1:1">
      <c r="A847" s="32"/>
    </row>
    <row r="848" spans="1:1">
      <c r="A848" s="32"/>
    </row>
    <row r="849" spans="1:1">
      <c r="A849" s="32"/>
    </row>
    <row r="850" spans="1:1">
      <c r="A850" s="32"/>
    </row>
    <row r="851" spans="1:1">
      <c r="A851" s="32"/>
    </row>
    <row r="852" spans="1:1">
      <c r="A852" s="32"/>
    </row>
    <row r="853" spans="1:1">
      <c r="A853" s="32"/>
    </row>
    <row r="854" spans="1:1">
      <c r="A854" s="32"/>
    </row>
    <row r="855" spans="1:1">
      <c r="A855" s="32"/>
    </row>
    <row r="856" spans="1:1">
      <c r="A856" s="32"/>
    </row>
    <row r="857" spans="1:1">
      <c r="A857" s="32"/>
    </row>
    <row r="858" spans="1:1">
      <c r="A858" s="32"/>
    </row>
    <row r="859" spans="1:1">
      <c r="A859" s="32"/>
    </row>
    <row r="860" spans="1:1">
      <c r="A860" s="32"/>
    </row>
    <row r="861" spans="1:1">
      <c r="A861" s="32"/>
    </row>
    <row r="862" spans="1:1">
      <c r="A862" s="32"/>
    </row>
    <row r="863" spans="1:1">
      <c r="A863" s="32"/>
    </row>
    <row r="864" spans="1:1">
      <c r="A864" s="32"/>
    </row>
    <row r="865" spans="1:1">
      <c r="A865" s="32"/>
    </row>
    <row r="866" spans="1:1">
      <c r="A866" s="32"/>
    </row>
    <row r="867" spans="1:1">
      <c r="A867" s="32"/>
    </row>
    <row r="868" spans="1:1">
      <c r="A868" s="32"/>
    </row>
    <row r="869" spans="1:1">
      <c r="A869" s="32"/>
    </row>
    <row r="870" spans="1:1">
      <c r="A870" s="32"/>
    </row>
    <row r="871" spans="1:1">
      <c r="A871" s="32"/>
    </row>
    <row r="872" spans="1:1">
      <c r="A872" s="32"/>
    </row>
    <row r="873" spans="1:1">
      <c r="A873" s="32"/>
    </row>
    <row r="874" spans="1:1">
      <c r="A874" s="32"/>
    </row>
    <row r="875" spans="1:1">
      <c r="A875" s="32"/>
    </row>
    <row r="876" spans="1:1">
      <c r="A876" s="32"/>
    </row>
    <row r="877" spans="1:1">
      <c r="A877" s="32"/>
    </row>
    <row r="878" spans="1:1">
      <c r="A878" s="32"/>
    </row>
    <row r="879" spans="1:1">
      <c r="A879" s="32"/>
    </row>
    <row r="880" spans="1:1">
      <c r="A880" s="32"/>
    </row>
    <row r="881" spans="1:1">
      <c r="A881" s="32"/>
    </row>
    <row r="882" spans="1:1">
      <c r="A882" s="32"/>
    </row>
    <row r="883" spans="1:1">
      <c r="A883" s="32"/>
    </row>
    <row r="884" spans="1:1">
      <c r="A884" s="32"/>
    </row>
    <row r="885" spans="1:1">
      <c r="A885" s="32"/>
    </row>
    <row r="886" spans="1:1">
      <c r="A886" s="32"/>
    </row>
    <row r="887" spans="1:1">
      <c r="A887" s="32"/>
    </row>
    <row r="888" spans="1:1">
      <c r="A888" s="32"/>
    </row>
    <row r="889" spans="1:1">
      <c r="A889" s="32"/>
    </row>
    <row r="890" spans="1:1">
      <c r="A890" s="32"/>
    </row>
    <row r="891" spans="1:1">
      <c r="A891" s="32"/>
    </row>
    <row r="892" spans="1:1">
      <c r="A892" s="32"/>
    </row>
    <row r="893" spans="1:1">
      <c r="A893" s="32"/>
    </row>
    <row r="894" spans="1:1">
      <c r="A894" s="32"/>
    </row>
    <row r="895" spans="1:1">
      <c r="A895" s="32"/>
    </row>
    <row r="896" spans="1:1">
      <c r="A896" s="32"/>
    </row>
    <row r="897" spans="1:1">
      <c r="A897" s="32"/>
    </row>
    <row r="898" spans="1:1">
      <c r="A898" s="32"/>
    </row>
    <row r="899" spans="1:1">
      <c r="A899" s="32"/>
    </row>
    <row r="900" spans="1:1">
      <c r="A900" s="32"/>
    </row>
    <row r="901" spans="1:1">
      <c r="A901" s="32"/>
    </row>
    <row r="902" spans="1:1">
      <c r="A902" s="32"/>
    </row>
    <row r="903" spans="1:1">
      <c r="A903" s="32"/>
    </row>
    <row r="904" spans="1:1">
      <c r="A904" s="32"/>
    </row>
    <row r="905" spans="1:1">
      <c r="A905" s="32"/>
    </row>
    <row r="906" spans="1:1">
      <c r="A906" s="32"/>
    </row>
    <row r="907" spans="1:1">
      <c r="A907" s="32"/>
    </row>
    <row r="908" spans="1:1">
      <c r="A908" s="32"/>
    </row>
    <row r="909" spans="1:1">
      <c r="A909" s="32"/>
    </row>
    <row r="910" spans="1:1">
      <c r="A910" s="32"/>
    </row>
    <row r="911" spans="1:1">
      <c r="A911" s="32"/>
    </row>
    <row r="912" spans="1:1">
      <c r="A912" s="32"/>
    </row>
    <row r="913" spans="1:1">
      <c r="A913" s="32"/>
    </row>
    <row r="914" spans="1:1">
      <c r="A914" s="32"/>
    </row>
    <row r="915" spans="1:1">
      <c r="A915" s="32"/>
    </row>
    <row r="916" spans="1:1">
      <c r="A916" s="32"/>
    </row>
    <row r="917" spans="1:1">
      <c r="A917" s="32"/>
    </row>
    <row r="918" spans="1:1">
      <c r="A918" s="32"/>
    </row>
    <row r="919" spans="1:1">
      <c r="A919" s="32"/>
    </row>
    <row r="920" spans="1:1">
      <c r="A920" s="32"/>
    </row>
    <row r="921" spans="1:1">
      <c r="A921" s="32"/>
    </row>
    <row r="922" spans="1:1">
      <c r="A922" s="32"/>
    </row>
    <row r="923" spans="1:1">
      <c r="A923" s="32"/>
    </row>
    <row r="924" spans="1:1">
      <c r="A924" s="32"/>
    </row>
    <row r="925" spans="1:1">
      <c r="A925" s="32"/>
    </row>
    <row r="926" spans="1:1">
      <c r="A926" s="32"/>
    </row>
    <row r="927" spans="1:1">
      <c r="A927" s="32"/>
    </row>
    <row r="928" spans="1:1">
      <c r="A928" s="32"/>
    </row>
    <row r="929" spans="1:1">
      <c r="A929" s="32"/>
    </row>
    <row r="930" spans="1:1">
      <c r="A930" s="32"/>
    </row>
    <row r="931" spans="1:1">
      <c r="A931" s="32"/>
    </row>
    <row r="932" spans="1:1">
      <c r="A932" s="32"/>
    </row>
    <row r="933" spans="1:1">
      <c r="A933" s="32"/>
    </row>
    <row r="934" spans="1:1">
      <c r="A934" s="32"/>
    </row>
    <row r="935" spans="1:1">
      <c r="A935" s="32"/>
    </row>
    <row r="936" spans="1:1">
      <c r="A936" s="32"/>
    </row>
    <row r="937" spans="1:1">
      <c r="A937" s="32"/>
    </row>
    <row r="938" spans="1:1">
      <c r="A938" s="32"/>
    </row>
    <row r="939" spans="1:1">
      <c r="A939" s="32"/>
    </row>
    <row r="940" spans="1:1">
      <c r="A940" s="32"/>
    </row>
    <row r="941" spans="1:1">
      <c r="A941" s="32"/>
    </row>
    <row r="942" spans="1:1">
      <c r="A942" s="32"/>
    </row>
    <row r="943" spans="1:1">
      <c r="A943" s="32"/>
    </row>
    <row r="944" spans="1:1">
      <c r="A944" s="32"/>
    </row>
    <row r="945" spans="1:1">
      <c r="A945" s="32"/>
    </row>
    <row r="946" spans="1:1">
      <c r="A946" s="32"/>
    </row>
    <row r="947" spans="1:1">
      <c r="A947" s="32"/>
    </row>
    <row r="948" spans="1:1">
      <c r="A948" s="32"/>
    </row>
    <row r="949" spans="1:1">
      <c r="A949" s="32"/>
    </row>
    <row r="950" spans="1:1">
      <c r="A950" s="32"/>
    </row>
    <row r="951" spans="1:1">
      <c r="A951" s="32"/>
    </row>
    <row r="952" spans="1:1">
      <c r="A952" s="32"/>
    </row>
    <row r="953" spans="1:1">
      <c r="A953" s="32"/>
    </row>
    <row r="954" spans="1:1">
      <c r="A954" s="32"/>
    </row>
    <row r="955" spans="1:1">
      <c r="A955" s="32"/>
    </row>
    <row r="956" spans="1:1">
      <c r="A956" s="32"/>
    </row>
    <row r="957" spans="1:1">
      <c r="A957" s="32"/>
    </row>
    <row r="958" spans="1:1">
      <c r="A958" s="32"/>
    </row>
    <row r="959" spans="1:1">
      <c r="A959" s="32"/>
    </row>
    <row r="960" spans="1:1">
      <c r="A960" s="32"/>
    </row>
    <row r="961" spans="1:1">
      <c r="A961" s="32"/>
    </row>
    <row r="962" spans="1:1">
      <c r="A962" s="32"/>
    </row>
    <row r="963" spans="1:1">
      <c r="A963" s="32"/>
    </row>
    <row r="964" spans="1:1">
      <c r="A964" s="32"/>
    </row>
    <row r="965" spans="1:1">
      <c r="A965" s="32"/>
    </row>
    <row r="966" spans="1:1">
      <c r="A966" s="32"/>
    </row>
    <row r="967" spans="1:1">
      <c r="A967" s="32"/>
    </row>
    <row r="968" spans="1:1">
      <c r="A968" s="32"/>
    </row>
    <row r="969" spans="1:1">
      <c r="A969" s="32"/>
    </row>
    <row r="970" spans="1:1">
      <c r="A970" s="32"/>
    </row>
    <row r="971" spans="1:1">
      <c r="A971" s="32"/>
    </row>
    <row r="972" spans="1:1">
      <c r="A972" s="32"/>
    </row>
    <row r="973" spans="1:1">
      <c r="A973" s="32"/>
    </row>
    <row r="974" spans="1:1">
      <c r="A974" s="32"/>
    </row>
    <row r="975" spans="1:1">
      <c r="A975" s="32"/>
    </row>
    <row r="976" spans="1:1">
      <c r="A976" s="32"/>
    </row>
    <row r="977" spans="1:1">
      <c r="A977" s="32"/>
    </row>
    <row r="978" spans="1:1">
      <c r="A978" s="32"/>
    </row>
    <row r="979" spans="1:1">
      <c r="A979" s="32"/>
    </row>
    <row r="980" spans="1:1">
      <c r="A980" s="32"/>
    </row>
    <row r="981" spans="1:1">
      <c r="A981" s="32"/>
    </row>
    <row r="982" spans="1:1">
      <c r="A982" s="32"/>
    </row>
    <row r="983" spans="1:1">
      <c r="A983" s="32"/>
    </row>
    <row r="984" spans="1:1">
      <c r="A984" s="32"/>
    </row>
    <row r="985" spans="1:1">
      <c r="A985" s="32"/>
    </row>
    <row r="986" spans="1:1">
      <c r="A986" s="32"/>
    </row>
    <row r="987" spans="1:1">
      <c r="A987" s="32"/>
    </row>
    <row r="988" spans="1:1">
      <c r="A988" s="32"/>
    </row>
    <row r="989" spans="1:1">
      <c r="A989" s="32"/>
    </row>
    <row r="990" spans="1:1">
      <c r="A990" s="32"/>
    </row>
    <row r="991" spans="1:1">
      <c r="A991" s="32"/>
    </row>
    <row r="992" spans="1:1">
      <c r="A992" s="32"/>
    </row>
    <row r="993" spans="1:1">
      <c r="A993" s="32"/>
    </row>
    <row r="994" spans="1:1">
      <c r="A994" s="32"/>
    </row>
    <row r="995" spans="1:1">
      <c r="A995" s="32"/>
    </row>
    <row r="996" spans="1:1">
      <c r="A996" s="32"/>
    </row>
    <row r="997" spans="1:1">
      <c r="A997" s="32"/>
    </row>
    <row r="998" spans="1:1">
      <c r="A998" s="32"/>
    </row>
    <row r="999" spans="1:1">
      <c r="A999" s="32"/>
    </row>
    <row r="1000" spans="1:1">
      <c r="A1000" s="32"/>
    </row>
    <row r="1001" spans="1:1">
      <c r="A1001" s="32"/>
    </row>
    <row r="1002" spans="1:1">
      <c r="A1002" s="32"/>
    </row>
    <row r="1003" spans="1:1">
      <c r="A1003" s="32"/>
    </row>
    <row r="1004" spans="1:1">
      <c r="A1004" s="32"/>
    </row>
    <row r="1005" spans="1:1">
      <c r="A1005" s="32"/>
    </row>
    <row r="1006" spans="1:1">
      <c r="A1006" s="32"/>
    </row>
    <row r="1007" spans="1:1">
      <c r="A1007" s="32"/>
    </row>
    <row r="1008" spans="1:1">
      <c r="A1008" s="32"/>
    </row>
    <row r="1009" spans="1:1">
      <c r="A1009" s="32"/>
    </row>
    <row r="1010" spans="1:1">
      <c r="A1010" s="32"/>
    </row>
    <row r="1011" spans="1:1">
      <c r="A1011" s="32"/>
    </row>
    <row r="1012" spans="1:1">
      <c r="A1012" s="32"/>
    </row>
    <row r="1013" spans="1:1">
      <c r="A1013" s="32"/>
    </row>
    <row r="1014" spans="1:1">
      <c r="A1014" s="32"/>
    </row>
    <row r="1015" spans="1:1">
      <c r="A1015" s="32"/>
    </row>
    <row r="1016" spans="1:1">
      <c r="A1016" s="32"/>
    </row>
    <row r="1017" spans="1:1">
      <c r="A1017" s="32"/>
    </row>
    <row r="1018" spans="1:1">
      <c r="A1018" s="32"/>
    </row>
    <row r="1019" spans="1:1">
      <c r="A1019" s="32"/>
    </row>
    <row r="1020" spans="1:1">
      <c r="A1020" s="32"/>
    </row>
    <row r="1021" spans="1:1">
      <c r="A1021" s="32"/>
    </row>
    <row r="1022" spans="1:1">
      <c r="A1022" s="32"/>
    </row>
    <row r="1023" spans="1:1">
      <c r="A1023" s="32"/>
    </row>
    <row r="1024" spans="1:1">
      <c r="A1024" s="32"/>
    </row>
    <row r="1025" spans="1:1">
      <c r="A1025" s="32"/>
    </row>
    <row r="1026" spans="1:1">
      <c r="A1026" s="32"/>
    </row>
    <row r="1027" spans="1:1">
      <c r="A1027" s="32"/>
    </row>
    <row r="1028" spans="1:1">
      <c r="A1028" s="32"/>
    </row>
    <row r="1029" spans="1:1">
      <c r="A1029" s="32"/>
    </row>
    <row r="1030" spans="1:1">
      <c r="A1030" s="32"/>
    </row>
    <row r="1031" spans="1:1">
      <c r="A1031" s="32"/>
    </row>
    <row r="1032" spans="1:1">
      <c r="A1032" s="32"/>
    </row>
    <row r="1033" spans="1:1">
      <c r="A1033" s="32"/>
    </row>
    <row r="1034" spans="1:1">
      <c r="A1034" s="32"/>
    </row>
    <row r="1035" spans="1:1">
      <c r="A1035" s="32"/>
    </row>
    <row r="1036" spans="1:1">
      <c r="A1036" s="32"/>
    </row>
    <row r="1037" spans="1:1">
      <c r="A1037" s="32"/>
    </row>
    <row r="1038" spans="1:1">
      <c r="A1038" s="32"/>
    </row>
    <row r="1039" spans="1:1">
      <c r="A1039" s="32"/>
    </row>
    <row r="1040" spans="1:1">
      <c r="A1040" s="32"/>
    </row>
    <row r="1041" spans="1:1">
      <c r="A1041" s="32"/>
    </row>
    <row r="1042" spans="1:1">
      <c r="A1042" s="32"/>
    </row>
    <row r="1043" spans="1:1">
      <c r="A1043" s="32"/>
    </row>
    <row r="1044" spans="1:1">
      <c r="A1044" s="32"/>
    </row>
    <row r="1045" spans="1:1">
      <c r="A1045" s="32"/>
    </row>
    <row r="1046" spans="1:1">
      <c r="A1046" s="32"/>
    </row>
    <row r="1047" spans="1:1">
      <c r="A1047" s="32"/>
    </row>
    <row r="1048" spans="1:1">
      <c r="A1048" s="32"/>
    </row>
    <row r="1049" spans="1:1">
      <c r="A1049" s="32"/>
    </row>
    <row r="1050" spans="1:1">
      <c r="A1050" s="32"/>
    </row>
    <row r="1051" spans="1:1">
      <c r="A1051" s="32"/>
    </row>
    <row r="1052" spans="1:1">
      <c r="A1052" s="32"/>
    </row>
    <row r="1053" spans="1:1">
      <c r="A1053" s="32"/>
    </row>
    <row r="1054" spans="1:1">
      <c r="A1054" s="32"/>
    </row>
    <row r="1055" spans="1:1">
      <c r="A1055" s="32"/>
    </row>
    <row r="1056" spans="1:1">
      <c r="A1056" s="32"/>
    </row>
    <row r="1057" spans="1:1">
      <c r="A1057" s="32"/>
    </row>
    <row r="1058" spans="1:1">
      <c r="A1058" s="32"/>
    </row>
    <row r="1059" spans="1:1">
      <c r="A1059" s="32"/>
    </row>
    <row r="1060" spans="1:1">
      <c r="A1060" s="32"/>
    </row>
    <row r="1061" spans="1:1">
      <c r="A1061" s="32"/>
    </row>
    <row r="1062" spans="1:1">
      <c r="A1062" s="32"/>
    </row>
    <row r="1063" spans="1:1">
      <c r="A1063" s="32"/>
    </row>
    <row r="1064" spans="1:1">
      <c r="A1064" s="32"/>
    </row>
    <row r="1065" spans="1:1">
      <c r="A1065" s="32"/>
    </row>
    <row r="1066" spans="1:1">
      <c r="A1066" s="32"/>
    </row>
    <row r="1067" spans="1:1">
      <c r="A1067" s="32"/>
    </row>
    <row r="1068" spans="1:1">
      <c r="A1068" s="32"/>
    </row>
    <row r="1069" spans="1:1">
      <c r="A1069" s="32"/>
    </row>
    <row r="1070" spans="1:1">
      <c r="A1070" s="32"/>
    </row>
    <row r="1071" spans="1:1">
      <c r="A1071" s="32"/>
    </row>
    <row r="1072" spans="1:1">
      <c r="A1072" s="32"/>
    </row>
    <row r="1073" spans="1:1">
      <c r="A1073" s="32"/>
    </row>
    <row r="1074" spans="1:1">
      <c r="A1074" s="32"/>
    </row>
    <row r="1075" spans="1:1">
      <c r="A1075" s="32"/>
    </row>
    <row r="1076" spans="1:1">
      <c r="A1076" s="32"/>
    </row>
    <row r="1077" spans="1:1">
      <c r="A1077" s="32"/>
    </row>
    <row r="1078" spans="1:1">
      <c r="A1078" s="32"/>
    </row>
    <row r="1079" spans="1:1">
      <c r="A1079" s="32"/>
    </row>
    <row r="1080" spans="1:1">
      <c r="A1080" s="32"/>
    </row>
    <row r="1081" spans="1:1">
      <c r="A1081" s="32"/>
    </row>
    <row r="1082" spans="1:1">
      <c r="A1082" s="32"/>
    </row>
    <row r="1083" spans="1:1">
      <c r="A1083" s="32"/>
    </row>
    <row r="1084" spans="1:1">
      <c r="A1084" s="32"/>
    </row>
    <row r="1085" spans="1:1">
      <c r="A1085" s="32"/>
    </row>
    <row r="1086" spans="1:1">
      <c r="A1086" s="32"/>
    </row>
    <row r="1087" spans="1:1">
      <c r="A1087" s="32"/>
    </row>
    <row r="1088" spans="1:1">
      <c r="A1088" s="32"/>
    </row>
    <row r="1089" spans="1:1">
      <c r="A1089" s="32"/>
    </row>
    <row r="1090" spans="1:1">
      <c r="A1090" s="32"/>
    </row>
    <row r="1091" spans="1:1">
      <c r="A1091" s="32"/>
    </row>
    <row r="1092" spans="1:1">
      <c r="A1092" s="32"/>
    </row>
    <row r="1093" spans="1:1">
      <c r="A1093" s="32"/>
    </row>
    <row r="1094" spans="1:1">
      <c r="A1094" s="32"/>
    </row>
    <row r="1095" spans="1:1">
      <c r="A1095" s="32"/>
    </row>
    <row r="1096" spans="1:1">
      <c r="A1096" s="32"/>
    </row>
    <row r="1097" spans="1:1">
      <c r="A1097" s="32"/>
    </row>
    <row r="1098" spans="1:1">
      <c r="A1098" s="32"/>
    </row>
    <row r="1099" spans="1:1">
      <c r="A1099" s="32"/>
    </row>
    <row r="1100" spans="1:1">
      <c r="A1100" s="32"/>
    </row>
    <row r="1101" spans="1:1">
      <c r="A1101" s="32"/>
    </row>
    <row r="1102" spans="1:1">
      <c r="A1102" s="32"/>
    </row>
    <row r="1103" spans="1:1">
      <c r="A1103" s="32"/>
    </row>
    <row r="1104" spans="1:1">
      <c r="A1104" s="32"/>
    </row>
    <row r="1105" spans="1:1">
      <c r="A1105" s="32"/>
    </row>
    <row r="1106" spans="1:1">
      <c r="A1106" s="32"/>
    </row>
    <row r="1107" spans="1:1">
      <c r="A1107" s="32"/>
    </row>
    <row r="1108" spans="1:1">
      <c r="A1108" s="32"/>
    </row>
    <row r="1109" spans="1:1">
      <c r="A1109" s="32"/>
    </row>
    <row r="1110" spans="1:1">
      <c r="A1110" s="32"/>
    </row>
    <row r="1111" spans="1:1">
      <c r="A1111" s="32"/>
    </row>
    <row r="1112" spans="1:1">
      <c r="A1112" s="32"/>
    </row>
    <row r="1113" spans="1:1">
      <c r="A1113" s="32"/>
    </row>
    <row r="1114" spans="1:1">
      <c r="A1114" s="32"/>
    </row>
    <row r="1115" spans="1:1">
      <c r="A1115" s="32"/>
    </row>
    <row r="1116" spans="1:1">
      <c r="A1116" s="32"/>
    </row>
    <row r="1117" spans="1:1">
      <c r="A1117" s="32"/>
    </row>
    <row r="1118" spans="1:1">
      <c r="A1118" s="32"/>
    </row>
    <row r="1119" spans="1:1">
      <c r="A1119" s="32"/>
    </row>
    <row r="1120" spans="1:1">
      <c r="A1120" s="32"/>
    </row>
    <row r="1121" spans="1:1">
      <c r="A1121" s="32"/>
    </row>
    <row r="1122" spans="1:1">
      <c r="A1122" s="32"/>
    </row>
    <row r="1123" spans="1:1">
      <c r="A1123" s="32"/>
    </row>
    <row r="1124" spans="1:1">
      <c r="A1124" s="32"/>
    </row>
    <row r="1125" spans="1:1">
      <c r="A1125" s="32"/>
    </row>
    <row r="1126" spans="1:1">
      <c r="A1126" s="32"/>
    </row>
    <row r="1127" spans="1:1">
      <c r="A1127" s="32"/>
    </row>
    <row r="1128" spans="1:1">
      <c r="A1128" s="32"/>
    </row>
    <row r="1129" spans="1:1">
      <c r="A1129" s="32"/>
    </row>
    <row r="1130" spans="1:1">
      <c r="A1130" s="32"/>
    </row>
    <row r="1131" spans="1:1">
      <c r="A1131" s="32"/>
    </row>
    <row r="1132" spans="1:1">
      <c r="A1132" s="32"/>
    </row>
    <row r="1133" spans="1:1">
      <c r="A1133" s="32"/>
    </row>
    <row r="1134" spans="1:1">
      <c r="A1134" s="32"/>
    </row>
    <row r="1135" spans="1:1">
      <c r="A1135" s="32"/>
    </row>
    <row r="1136" spans="1:1">
      <c r="A1136" s="32"/>
    </row>
    <row r="1137" spans="1:1">
      <c r="A1137" s="32"/>
    </row>
    <row r="1138" spans="1:1">
      <c r="A1138" s="32"/>
    </row>
    <row r="1139" spans="1:1">
      <c r="A1139" s="32"/>
    </row>
    <row r="1140" spans="1:1">
      <c r="A1140" s="32"/>
    </row>
    <row r="1141" spans="1:1">
      <c r="A1141" s="32"/>
    </row>
    <row r="1142" spans="1:1">
      <c r="A1142" s="32"/>
    </row>
    <row r="1143" spans="1:1">
      <c r="A1143" s="32"/>
    </row>
    <row r="1144" spans="1:1">
      <c r="A1144" s="32"/>
    </row>
    <row r="1145" spans="1:1">
      <c r="A1145" s="32"/>
    </row>
    <row r="1146" spans="1:1">
      <c r="A1146" s="32"/>
    </row>
    <row r="1147" spans="1:1">
      <c r="A1147" s="32"/>
    </row>
    <row r="1148" spans="1:1">
      <c r="A1148" s="32"/>
    </row>
    <row r="1149" spans="1:1">
      <c r="A1149" s="32"/>
    </row>
    <row r="1150" spans="1:1">
      <c r="A1150" s="32"/>
    </row>
    <row r="1151" spans="1:1">
      <c r="A1151" s="32"/>
    </row>
    <row r="1152" spans="1:1">
      <c r="A1152" s="32"/>
    </row>
    <row r="1153" spans="1:1">
      <c r="A1153" s="32"/>
    </row>
    <row r="1154" spans="1:1">
      <c r="A1154" s="32"/>
    </row>
    <row r="1155" spans="1:1">
      <c r="A1155" s="32"/>
    </row>
    <row r="1156" spans="1:1">
      <c r="A1156" s="32"/>
    </row>
    <row r="1157" spans="1:1">
      <c r="A1157" s="32"/>
    </row>
    <row r="1158" spans="1:1">
      <c r="A1158" s="32"/>
    </row>
    <row r="1159" spans="1:1">
      <c r="A1159" s="32"/>
    </row>
    <row r="1160" spans="1:1">
      <c r="A1160" s="32"/>
    </row>
    <row r="1161" spans="1:1">
      <c r="A1161" s="32"/>
    </row>
    <row r="1162" spans="1:1">
      <c r="A1162" s="32"/>
    </row>
    <row r="1163" spans="1:1">
      <c r="A1163" s="32"/>
    </row>
    <row r="1164" spans="1:1">
      <c r="A1164" s="32"/>
    </row>
    <row r="1165" spans="1:1">
      <c r="A1165" s="32"/>
    </row>
    <row r="1166" spans="1:1">
      <c r="A1166" s="32"/>
    </row>
    <row r="1167" spans="1:1">
      <c r="A1167" s="32"/>
    </row>
    <row r="1168" spans="1:1">
      <c r="A1168" s="32"/>
    </row>
    <row r="1169" spans="1:1">
      <c r="A1169" s="32"/>
    </row>
    <row r="1170" spans="1:1">
      <c r="A1170" s="32"/>
    </row>
    <row r="1171" spans="1:1">
      <c r="A1171" s="32"/>
    </row>
    <row r="1172" spans="1:1">
      <c r="A1172" s="32"/>
    </row>
    <row r="1173" spans="1:1">
      <c r="A1173" s="32"/>
    </row>
    <row r="1174" spans="1:1">
      <c r="A1174" s="32"/>
    </row>
    <row r="1175" spans="1:1">
      <c r="A1175" s="32"/>
    </row>
    <row r="1176" spans="1:1">
      <c r="A1176" s="32"/>
    </row>
    <row r="1177" spans="1:1">
      <c r="A1177" s="32"/>
    </row>
    <row r="1178" spans="1:1">
      <c r="A1178" s="32"/>
    </row>
    <row r="1179" spans="1:1">
      <c r="A1179" s="32"/>
    </row>
    <row r="1180" spans="1:1">
      <c r="A1180" s="32"/>
    </row>
    <row r="1181" spans="1:1">
      <c r="A1181" s="32"/>
    </row>
    <row r="1182" spans="1:1">
      <c r="A1182" s="32"/>
    </row>
    <row r="1183" spans="1:1">
      <c r="A1183" s="32"/>
    </row>
    <row r="1184" spans="1:1">
      <c r="A1184" s="32"/>
    </row>
    <row r="1185" spans="1:1">
      <c r="A1185" s="32"/>
    </row>
    <row r="1186" spans="1:1">
      <c r="A1186" s="32"/>
    </row>
    <row r="1187" spans="1:1">
      <c r="A1187" s="32"/>
    </row>
    <row r="1188" spans="1:1">
      <c r="A1188" s="32"/>
    </row>
    <row r="1189" spans="1:1">
      <c r="A1189" s="32"/>
    </row>
    <row r="1190" spans="1:1">
      <c r="A1190" s="32"/>
    </row>
    <row r="1191" spans="1:1">
      <c r="A1191" s="32"/>
    </row>
    <row r="1192" spans="1:1">
      <c r="A1192" s="32"/>
    </row>
    <row r="1193" spans="1:1">
      <c r="A1193" s="32"/>
    </row>
    <row r="1194" spans="1:1">
      <c r="A1194" s="32"/>
    </row>
    <row r="1195" spans="1:1">
      <c r="A1195" s="32"/>
    </row>
    <row r="1196" spans="1:1">
      <c r="A1196" s="32"/>
    </row>
    <row r="1197" spans="1:1">
      <c r="A1197" s="32"/>
    </row>
    <row r="1198" spans="1:1">
      <c r="A1198" s="32"/>
    </row>
    <row r="1199" spans="1:1">
      <c r="A1199" s="32"/>
    </row>
    <row r="1200" spans="1:1">
      <c r="A1200" s="32"/>
    </row>
    <row r="1201" spans="1:1">
      <c r="A1201" s="32"/>
    </row>
    <row r="1202" spans="1:1">
      <c r="A1202" s="32"/>
    </row>
    <row r="1203" spans="1:1">
      <c r="A1203" s="32"/>
    </row>
    <row r="1204" spans="1:1">
      <c r="A1204" s="32"/>
    </row>
    <row r="1205" spans="1:1">
      <c r="A1205" s="32"/>
    </row>
    <row r="1206" spans="1:1">
      <c r="A1206" s="32"/>
    </row>
    <row r="1207" spans="1:1">
      <c r="A1207" s="32"/>
    </row>
    <row r="1208" spans="1:1">
      <c r="A1208" s="32"/>
    </row>
    <row r="1209" spans="1:1">
      <c r="A1209" s="32"/>
    </row>
    <row r="1210" spans="1:1">
      <c r="A1210" s="32"/>
    </row>
    <row r="1211" spans="1:1">
      <c r="A1211" s="32"/>
    </row>
    <row r="1212" spans="1:1">
      <c r="A1212" s="32"/>
    </row>
    <row r="1213" spans="1:1">
      <c r="A1213" s="32"/>
    </row>
    <row r="1214" spans="1:1">
      <c r="A1214" s="32"/>
    </row>
    <row r="1215" spans="1:1">
      <c r="A1215" s="32"/>
    </row>
    <row r="1216" spans="1:1">
      <c r="A1216" s="32"/>
    </row>
    <row r="1217" spans="1:1">
      <c r="A1217" s="32"/>
    </row>
    <row r="1218" spans="1:1">
      <c r="A1218" s="32"/>
    </row>
    <row r="1219" spans="1:1">
      <c r="A1219" s="32"/>
    </row>
    <row r="1220" spans="1:1">
      <c r="A1220" s="32"/>
    </row>
    <row r="1221" spans="1:1">
      <c r="A1221" s="32"/>
    </row>
    <row r="1222" spans="1:1">
      <c r="A1222" s="32"/>
    </row>
    <row r="1223" spans="1:1">
      <c r="A1223" s="32"/>
    </row>
    <row r="1224" spans="1:1">
      <c r="A1224" s="32"/>
    </row>
    <row r="1225" spans="1:1">
      <c r="A1225" s="32"/>
    </row>
    <row r="1226" spans="1:1">
      <c r="A1226" s="32"/>
    </row>
    <row r="1227" spans="1:1">
      <c r="A1227" s="32"/>
    </row>
    <row r="1228" spans="1:1">
      <c r="A1228" s="32"/>
    </row>
    <row r="1229" spans="1:1">
      <c r="A1229" s="32"/>
    </row>
    <row r="1230" spans="1:1">
      <c r="A1230" s="32"/>
    </row>
    <row r="1231" spans="1:1">
      <c r="A1231" s="32"/>
    </row>
    <row r="1232" spans="1:1">
      <c r="A1232" s="32"/>
    </row>
    <row r="1233" spans="1:1">
      <c r="A1233" s="32"/>
    </row>
    <row r="1234" spans="1:1">
      <c r="A1234" s="32"/>
    </row>
    <row r="1235" spans="1:1">
      <c r="A1235" s="32"/>
    </row>
    <row r="1236" spans="1:1">
      <c r="A1236" s="32"/>
    </row>
    <row r="1237" spans="1:1">
      <c r="A1237" s="32"/>
    </row>
    <row r="1238" spans="1:1">
      <c r="A1238" s="32"/>
    </row>
    <row r="1239" spans="1:1">
      <c r="A1239" s="32"/>
    </row>
    <row r="1240" spans="1:1">
      <c r="A1240" s="32"/>
    </row>
    <row r="1241" spans="1:1">
      <c r="A1241" s="32"/>
    </row>
    <row r="1242" spans="1:1">
      <c r="A1242" s="32"/>
    </row>
    <row r="1243" spans="1:1">
      <c r="A1243" s="32"/>
    </row>
    <row r="1244" spans="1:1">
      <c r="A1244" s="32"/>
    </row>
    <row r="1245" spans="1:1">
      <c r="A1245" s="32"/>
    </row>
    <row r="1246" spans="1:1">
      <c r="A1246" s="32"/>
    </row>
    <row r="1247" spans="1:1">
      <c r="A1247" s="32"/>
    </row>
    <row r="1248" spans="1:1">
      <c r="A1248" s="32"/>
    </row>
    <row r="1249" spans="1:1">
      <c r="A1249" s="32"/>
    </row>
    <row r="1250" spans="1:1">
      <c r="A1250" s="32"/>
    </row>
    <row r="1251" spans="1:1">
      <c r="A1251" s="32"/>
    </row>
    <row r="1252" spans="1:1">
      <c r="A1252" s="32"/>
    </row>
    <row r="1253" spans="1:1">
      <c r="A1253" s="32"/>
    </row>
    <row r="1254" spans="1:1">
      <c r="A1254" s="32"/>
    </row>
    <row r="1255" spans="1:1">
      <c r="A1255" s="32"/>
    </row>
    <row r="1256" spans="1:1">
      <c r="A1256" s="32"/>
    </row>
    <row r="1257" spans="1:1">
      <c r="A1257" s="32"/>
    </row>
    <row r="1258" spans="1:1">
      <c r="A1258" s="32"/>
    </row>
    <row r="1259" spans="1:1">
      <c r="A1259" s="32"/>
    </row>
    <row r="1260" spans="1:1">
      <c r="A1260" s="32"/>
    </row>
    <row r="1261" spans="1:1">
      <c r="A1261" s="32"/>
    </row>
    <row r="1262" spans="1:1">
      <c r="A1262" s="32"/>
    </row>
    <row r="1263" spans="1:1">
      <c r="A1263" s="32"/>
    </row>
    <row r="1264" spans="1:1">
      <c r="A1264" s="32"/>
    </row>
    <row r="1265" spans="1:1">
      <c r="A1265" s="32"/>
    </row>
    <row r="1266" spans="1:1">
      <c r="A1266" s="32"/>
    </row>
    <row r="1267" spans="1:1">
      <c r="A1267" s="32"/>
    </row>
    <row r="1268" spans="1:1">
      <c r="A1268" s="32"/>
    </row>
    <row r="1269" spans="1:1">
      <c r="A1269" s="32"/>
    </row>
    <row r="1270" spans="1:1">
      <c r="A1270" s="32"/>
    </row>
    <row r="1271" spans="1:1">
      <c r="A1271" s="32"/>
    </row>
    <row r="1272" spans="1:1">
      <c r="A1272" s="32"/>
    </row>
    <row r="1273" spans="1:1">
      <c r="A1273" s="32"/>
    </row>
    <row r="1274" spans="1:1">
      <c r="A1274" s="32"/>
    </row>
    <row r="1275" spans="1:1">
      <c r="A1275" s="32"/>
    </row>
    <row r="1276" spans="1:1">
      <c r="A1276" s="32"/>
    </row>
    <row r="1277" spans="1:1">
      <c r="A1277" s="32"/>
    </row>
    <row r="1278" spans="1:1">
      <c r="A1278" s="32"/>
    </row>
    <row r="1279" spans="1:1">
      <c r="A1279" s="32"/>
    </row>
    <row r="1280" spans="1:1">
      <c r="A1280" s="32"/>
    </row>
    <row r="1281" spans="1:1">
      <c r="A1281" s="32"/>
    </row>
    <row r="1282" spans="1:1">
      <c r="A1282" s="32"/>
    </row>
    <row r="1283" spans="1:1">
      <c r="A1283" s="32"/>
    </row>
    <row r="1284" spans="1:1">
      <c r="A1284" s="32"/>
    </row>
    <row r="1285" spans="1:1">
      <c r="A1285" s="32"/>
    </row>
    <row r="1286" spans="1:1">
      <c r="A1286" s="32"/>
    </row>
    <row r="1287" spans="1:1">
      <c r="A1287" s="32"/>
    </row>
    <row r="1288" spans="1:1">
      <c r="A1288" s="32"/>
    </row>
    <row r="1289" spans="1:1">
      <c r="A1289" s="32"/>
    </row>
    <row r="1290" spans="1:1">
      <c r="A1290" s="32"/>
    </row>
    <row r="1291" spans="1:1">
      <c r="A1291" s="32"/>
    </row>
    <row r="1292" spans="1:1">
      <c r="A1292" s="32"/>
    </row>
    <row r="1293" spans="1:1">
      <c r="A1293" s="32"/>
    </row>
    <row r="1294" spans="1:1">
      <c r="A1294" s="32"/>
    </row>
    <row r="1295" spans="1:1">
      <c r="A1295" s="32"/>
    </row>
    <row r="1296" spans="1:1">
      <c r="A1296" s="32"/>
    </row>
    <row r="1297" spans="1:1">
      <c r="A1297" s="32"/>
    </row>
    <row r="1298" spans="1:1">
      <c r="A1298" s="32"/>
    </row>
    <row r="1299" spans="1:1">
      <c r="A1299" s="32"/>
    </row>
    <row r="1300" spans="1:1">
      <c r="A1300" s="32"/>
    </row>
    <row r="1301" spans="1:1">
      <c r="A1301" s="32"/>
    </row>
    <row r="1302" spans="1:1">
      <c r="A1302" s="32"/>
    </row>
    <row r="1303" spans="1:1">
      <c r="A1303" s="32"/>
    </row>
    <row r="1304" spans="1:1">
      <c r="A1304" s="32"/>
    </row>
    <row r="1305" spans="1:1">
      <c r="A1305" s="32"/>
    </row>
    <row r="1306" spans="1:1">
      <c r="A1306" s="32"/>
    </row>
    <row r="1307" spans="1:1">
      <c r="A1307" s="32"/>
    </row>
    <row r="1308" spans="1:1">
      <c r="A1308" s="32"/>
    </row>
    <row r="1309" spans="1:1">
      <c r="A1309" s="32"/>
    </row>
    <row r="1310" spans="1:1">
      <c r="A1310" s="32"/>
    </row>
    <row r="1311" spans="1:1">
      <c r="A1311" s="32"/>
    </row>
    <row r="1312" spans="1:1">
      <c r="A1312" s="32"/>
    </row>
    <row r="1313" spans="1:1">
      <c r="A1313" s="32"/>
    </row>
    <row r="1314" spans="1:1">
      <c r="A1314" s="32"/>
    </row>
    <row r="1315" spans="1:1">
      <c r="A1315" s="32"/>
    </row>
    <row r="1316" spans="1:1">
      <c r="A1316" s="32"/>
    </row>
    <row r="1317" spans="1:1">
      <c r="A1317" s="32"/>
    </row>
    <row r="1318" spans="1:1">
      <c r="A1318" s="32"/>
    </row>
    <row r="1319" spans="1:1">
      <c r="A1319" s="32"/>
    </row>
    <row r="1320" spans="1:1">
      <c r="A1320" s="32"/>
    </row>
    <row r="1321" spans="1:1">
      <c r="A1321" s="32"/>
    </row>
    <row r="1322" spans="1:1">
      <c r="A1322" s="32"/>
    </row>
    <row r="1323" spans="1:1">
      <c r="A1323" s="32"/>
    </row>
    <row r="1324" spans="1:1">
      <c r="A1324" s="32"/>
    </row>
    <row r="1325" spans="1:1">
      <c r="A1325" s="32"/>
    </row>
    <row r="1326" spans="1:1">
      <c r="A1326" s="32"/>
    </row>
    <row r="1327" spans="1:1">
      <c r="A1327" s="32"/>
    </row>
    <row r="1328" spans="1:1">
      <c r="A1328" s="32"/>
    </row>
    <row r="1329" spans="1:1">
      <c r="A1329" s="32"/>
    </row>
    <row r="1330" spans="1:1">
      <c r="A1330" s="32"/>
    </row>
    <row r="1331" spans="1:1">
      <c r="A1331" s="32"/>
    </row>
    <row r="1332" spans="1:1">
      <c r="A1332" s="32"/>
    </row>
    <row r="1333" spans="1:1">
      <c r="A1333" s="32"/>
    </row>
    <row r="1334" spans="1:1">
      <c r="A1334" s="32"/>
    </row>
    <row r="1335" spans="1:1">
      <c r="A1335" s="32"/>
    </row>
    <row r="1336" spans="1:1">
      <c r="A1336" s="32"/>
    </row>
    <row r="1337" spans="1:1">
      <c r="A1337" s="32"/>
    </row>
    <row r="1338" spans="1:1">
      <c r="A1338" s="32"/>
    </row>
    <row r="1339" spans="1:1">
      <c r="A1339" s="32"/>
    </row>
    <row r="1340" spans="1:1">
      <c r="A1340" s="32"/>
    </row>
    <row r="1341" spans="1:1">
      <c r="A1341" s="32"/>
    </row>
    <row r="1342" spans="1:1">
      <c r="A1342" s="32"/>
    </row>
    <row r="1343" spans="1:1">
      <c r="A1343" s="32"/>
    </row>
    <row r="1344" spans="1:1">
      <c r="A1344" s="32"/>
    </row>
    <row r="1345" spans="1:1">
      <c r="A1345" s="32"/>
    </row>
    <row r="1346" spans="1:1">
      <c r="A1346" s="32"/>
    </row>
    <row r="1347" spans="1:1">
      <c r="A1347" s="32"/>
    </row>
    <row r="1348" spans="1:1">
      <c r="A1348" s="32"/>
    </row>
    <row r="1349" spans="1:1">
      <c r="A1349" s="32"/>
    </row>
    <row r="1350" spans="1:1">
      <c r="A1350" s="32"/>
    </row>
    <row r="1351" spans="1:1">
      <c r="A1351" s="32"/>
    </row>
    <row r="1352" spans="1:1">
      <c r="A1352" s="32"/>
    </row>
    <row r="1353" spans="1:1">
      <c r="A1353" s="32"/>
    </row>
    <row r="1354" spans="1:1">
      <c r="A1354" s="32"/>
    </row>
    <row r="1355" spans="1:1">
      <c r="A1355" s="32"/>
    </row>
    <row r="1356" spans="1:1">
      <c r="A1356" s="32"/>
    </row>
    <row r="1357" spans="1:1">
      <c r="A1357" s="32"/>
    </row>
    <row r="1358" spans="1:1">
      <c r="A1358" s="32"/>
    </row>
    <row r="1359" spans="1:1">
      <c r="A1359" s="32"/>
    </row>
    <row r="1360" spans="1:1">
      <c r="A1360" s="32"/>
    </row>
    <row r="1361" spans="1:1">
      <c r="A1361" s="32"/>
    </row>
    <row r="1362" spans="1:1">
      <c r="A1362" s="32"/>
    </row>
    <row r="1363" spans="1:1">
      <c r="A1363" s="32"/>
    </row>
    <row r="1364" spans="1:1">
      <c r="A1364" s="32"/>
    </row>
    <row r="1365" spans="1:1">
      <c r="A1365" s="32"/>
    </row>
    <row r="1366" spans="1:1">
      <c r="A1366" s="32"/>
    </row>
    <row r="1367" spans="1:1">
      <c r="A1367" s="32"/>
    </row>
    <row r="1368" spans="1:1">
      <c r="A1368" s="32"/>
    </row>
    <row r="1369" spans="1:1">
      <c r="A1369" s="32"/>
    </row>
    <row r="1370" spans="1:1">
      <c r="A1370" s="32"/>
    </row>
    <row r="1371" spans="1:1">
      <c r="A1371" s="32"/>
    </row>
    <row r="1372" spans="1:1">
      <c r="A1372" s="32"/>
    </row>
    <row r="1373" spans="1:1">
      <c r="A1373" s="32"/>
    </row>
    <row r="1374" spans="1:1">
      <c r="A1374" s="32"/>
    </row>
    <row r="1375" spans="1:1">
      <c r="A1375" s="32"/>
    </row>
    <row r="1376" spans="1:1">
      <c r="A1376" s="32"/>
    </row>
    <row r="1377" spans="1:1">
      <c r="A1377" s="32"/>
    </row>
    <row r="1378" spans="1:1">
      <c r="A1378" s="32"/>
    </row>
    <row r="1379" spans="1:1">
      <c r="A1379" s="32"/>
    </row>
    <row r="1380" spans="1:1">
      <c r="A1380" s="32"/>
    </row>
    <row r="1381" spans="1:1">
      <c r="A1381" s="32"/>
    </row>
    <row r="1382" spans="1:1">
      <c r="A1382" s="32"/>
    </row>
    <row r="1383" spans="1:1">
      <c r="A1383" s="32"/>
    </row>
    <row r="1384" spans="1:1">
      <c r="A1384" s="32"/>
    </row>
    <row r="1385" spans="1:1">
      <c r="A1385" s="32"/>
    </row>
    <row r="1386" spans="1:1">
      <c r="A1386" s="32"/>
    </row>
    <row r="1387" spans="1:1">
      <c r="A1387" s="32"/>
    </row>
    <row r="1388" spans="1:1">
      <c r="A1388" s="32"/>
    </row>
    <row r="1389" spans="1:1">
      <c r="A1389" s="32"/>
    </row>
    <row r="1390" spans="1:1">
      <c r="A1390" s="32"/>
    </row>
    <row r="1391" spans="1:1">
      <c r="A1391" s="32"/>
    </row>
    <row r="1392" spans="1:1">
      <c r="A1392" s="32"/>
    </row>
    <row r="1393" spans="1:1">
      <c r="A1393" s="32"/>
    </row>
    <row r="1394" spans="1:1">
      <c r="A1394" s="32"/>
    </row>
    <row r="1395" spans="1:1">
      <c r="A1395" s="32"/>
    </row>
    <row r="1396" spans="1:1">
      <c r="A1396" s="32"/>
    </row>
    <row r="1397" spans="1:1">
      <c r="A1397" s="32"/>
    </row>
    <row r="1398" spans="1:1">
      <c r="A1398" s="32"/>
    </row>
    <row r="1399" spans="1:1">
      <c r="A1399" s="32"/>
    </row>
    <row r="1400" spans="1:1">
      <c r="A1400" s="32"/>
    </row>
    <row r="1401" spans="1:1">
      <c r="A1401" s="32"/>
    </row>
    <row r="1402" spans="1:1">
      <c r="A1402" s="32"/>
    </row>
    <row r="1403" spans="1:1">
      <c r="A1403" s="32"/>
    </row>
    <row r="1404" spans="1:1">
      <c r="A1404" s="32"/>
    </row>
    <row r="1405" spans="1:1">
      <c r="A1405" s="32"/>
    </row>
    <row r="1406" spans="1:1">
      <c r="A1406" s="32"/>
    </row>
    <row r="1407" spans="1:1">
      <c r="A1407" s="32"/>
    </row>
    <row r="1408" spans="1:1">
      <c r="A1408" s="32"/>
    </row>
    <row r="1409" spans="1:1">
      <c r="A1409" s="32"/>
    </row>
    <row r="1410" spans="1:1">
      <c r="A1410" s="32"/>
    </row>
    <row r="1411" spans="1:1">
      <c r="A1411" s="32"/>
    </row>
    <row r="1412" spans="1:1">
      <c r="A1412" s="32"/>
    </row>
    <row r="1413" spans="1:1">
      <c r="A1413" s="32"/>
    </row>
    <row r="1414" spans="1:1">
      <c r="A1414" s="32"/>
    </row>
    <row r="1415" spans="1:1">
      <c r="A1415" s="32"/>
    </row>
    <row r="1416" spans="1:1">
      <c r="A1416" s="32"/>
    </row>
    <row r="1417" spans="1:1">
      <c r="A1417" s="32"/>
    </row>
    <row r="1418" spans="1:1">
      <c r="A1418" s="32"/>
    </row>
    <row r="1419" spans="1:1">
      <c r="A1419" s="32"/>
    </row>
    <row r="1420" spans="1:1">
      <c r="A1420" s="32"/>
    </row>
    <row r="1421" spans="1:1">
      <c r="A1421" s="32"/>
    </row>
    <row r="1422" spans="1:1">
      <c r="A1422" s="32"/>
    </row>
    <row r="1423" spans="1:1">
      <c r="A1423" s="32"/>
    </row>
    <row r="1424" spans="1:1">
      <c r="A1424" s="32"/>
    </row>
    <row r="1425" spans="1:1">
      <c r="A1425" s="32"/>
    </row>
    <row r="1426" spans="1:1">
      <c r="A1426" s="32"/>
    </row>
    <row r="1427" spans="1:1">
      <c r="A1427" s="32"/>
    </row>
    <row r="1428" spans="1:1">
      <c r="A1428" s="32"/>
    </row>
    <row r="1429" spans="1:1">
      <c r="A1429" s="32"/>
    </row>
    <row r="1430" spans="1:1">
      <c r="A1430" s="32"/>
    </row>
    <row r="1431" spans="1:1">
      <c r="A1431" s="32"/>
    </row>
    <row r="1432" spans="1:1">
      <c r="A1432" s="32"/>
    </row>
    <row r="1433" spans="1:1">
      <c r="A1433" s="32"/>
    </row>
    <row r="1434" spans="1:1">
      <c r="A1434" s="32"/>
    </row>
    <row r="1435" spans="1:1">
      <c r="A1435" s="32"/>
    </row>
    <row r="1436" spans="1:1">
      <c r="A1436" s="32"/>
    </row>
    <row r="1437" spans="1:1">
      <c r="A1437" s="32"/>
    </row>
    <row r="1438" spans="1:1">
      <c r="A1438" s="32"/>
    </row>
    <row r="1439" spans="1:1">
      <c r="A1439" s="32"/>
    </row>
    <row r="1440" spans="1:1">
      <c r="A1440" s="32"/>
    </row>
    <row r="1441" spans="1:1">
      <c r="A1441" s="32"/>
    </row>
    <row r="1442" spans="1:1">
      <c r="A1442" s="32"/>
    </row>
    <row r="1443" spans="1:1">
      <c r="A1443" s="32"/>
    </row>
    <row r="1444" spans="1:1">
      <c r="A1444" s="32"/>
    </row>
    <row r="1445" spans="1:1">
      <c r="A1445" s="32"/>
    </row>
    <row r="1446" spans="1:1">
      <c r="A1446" s="32"/>
    </row>
    <row r="1447" spans="1:1">
      <c r="A1447" s="32"/>
    </row>
    <row r="1448" spans="1:1">
      <c r="A1448" s="32"/>
    </row>
    <row r="1449" spans="1:1">
      <c r="A1449" s="32"/>
    </row>
    <row r="1450" spans="1:1">
      <c r="A1450" s="32"/>
    </row>
    <row r="1451" spans="1:1">
      <c r="A1451" s="32"/>
    </row>
    <row r="1452" spans="1:1">
      <c r="A1452" s="32"/>
    </row>
    <row r="1453" spans="1:1">
      <c r="A1453" s="32"/>
    </row>
    <row r="1454" spans="1:1">
      <c r="A1454" s="32"/>
    </row>
    <row r="1455" spans="1:1">
      <c r="A1455" s="32"/>
    </row>
    <row r="1456" spans="1:1">
      <c r="A1456" s="32"/>
    </row>
    <row r="1457" spans="1:1">
      <c r="A1457" s="32"/>
    </row>
    <row r="1458" spans="1:1">
      <c r="A1458" s="32"/>
    </row>
    <row r="1459" spans="1:1">
      <c r="A1459" s="32"/>
    </row>
    <row r="1460" spans="1:1">
      <c r="A1460" s="32"/>
    </row>
    <row r="1461" spans="1:1">
      <c r="A1461" s="32"/>
    </row>
    <row r="1462" spans="1:1">
      <c r="A1462" s="32"/>
    </row>
    <row r="1463" spans="1:1">
      <c r="A1463" s="32"/>
    </row>
    <row r="1464" spans="1:1">
      <c r="A1464" s="32"/>
    </row>
    <row r="1465" spans="1:1">
      <c r="A1465" s="32"/>
    </row>
    <row r="1466" spans="1:1">
      <c r="A1466" s="32"/>
    </row>
    <row r="1467" spans="1:1">
      <c r="A1467" s="32"/>
    </row>
    <row r="1468" spans="1:1">
      <c r="A1468" s="32"/>
    </row>
    <row r="1469" spans="1:1">
      <c r="A1469" s="32"/>
    </row>
    <row r="1470" spans="1:1">
      <c r="A1470" s="32"/>
    </row>
    <row r="1471" spans="1:1">
      <c r="A1471" s="32"/>
    </row>
    <row r="1472" spans="1:1">
      <c r="A1472" s="32"/>
    </row>
    <row r="1473" spans="1:1">
      <c r="A1473" s="32"/>
    </row>
    <row r="1474" spans="1:1">
      <c r="A1474" s="32"/>
    </row>
    <row r="1475" spans="1:1">
      <c r="A1475" s="32"/>
    </row>
    <row r="1476" spans="1:1">
      <c r="A1476" s="32"/>
    </row>
    <row r="1477" spans="1:1">
      <c r="A1477" s="32"/>
    </row>
    <row r="1478" spans="1:1">
      <c r="A1478" s="32"/>
    </row>
    <row r="1479" spans="1:1">
      <c r="A1479" s="32"/>
    </row>
    <row r="1480" spans="1:1">
      <c r="A1480" s="32"/>
    </row>
    <row r="1481" spans="1:1">
      <c r="A1481" s="32"/>
    </row>
    <row r="1482" spans="1:1">
      <c r="A1482" s="32"/>
    </row>
    <row r="1483" spans="1:1">
      <c r="A1483" s="32"/>
    </row>
    <row r="1484" spans="1:1">
      <c r="A1484" s="32"/>
    </row>
    <row r="1485" spans="1:1">
      <c r="A1485" s="32"/>
    </row>
    <row r="1486" spans="1:1">
      <c r="A1486" s="32"/>
    </row>
    <row r="1487" spans="1:1">
      <c r="A1487" s="32"/>
    </row>
    <row r="1488" spans="1:1">
      <c r="A1488" s="32"/>
    </row>
    <row r="1489" spans="1:1">
      <c r="A1489" s="32"/>
    </row>
    <row r="1490" spans="1:1">
      <c r="A1490" s="32"/>
    </row>
    <row r="1491" spans="1:1">
      <c r="A1491" s="32"/>
    </row>
    <row r="1492" spans="1:1">
      <c r="A1492" s="32"/>
    </row>
    <row r="1493" spans="1:1">
      <c r="A1493" s="32"/>
    </row>
    <row r="1494" spans="1:1">
      <c r="A1494" s="32"/>
    </row>
    <row r="1495" spans="1:1">
      <c r="A1495" s="32"/>
    </row>
    <row r="1496" spans="1:1">
      <c r="A1496" s="32"/>
    </row>
    <row r="1497" spans="1:1">
      <c r="A1497" s="32"/>
    </row>
    <row r="1498" spans="1:1">
      <c r="A1498" s="32"/>
    </row>
    <row r="1499" spans="1:1">
      <c r="A1499" s="32"/>
    </row>
    <row r="1500" spans="1:1">
      <c r="A1500" s="32"/>
    </row>
    <row r="1501" spans="1:1">
      <c r="A1501" s="32"/>
    </row>
    <row r="1502" spans="1:1">
      <c r="A1502" s="32"/>
    </row>
    <row r="1503" spans="1:1">
      <c r="A1503" s="32"/>
    </row>
    <row r="1504" spans="1:1">
      <c r="A1504" s="32"/>
    </row>
    <row r="1505" spans="1:1">
      <c r="A1505" s="32"/>
    </row>
    <row r="1506" spans="1:1">
      <c r="A1506" s="32"/>
    </row>
    <row r="1507" spans="1:1">
      <c r="A1507" s="32"/>
    </row>
    <row r="1508" spans="1:1">
      <c r="A1508" s="32"/>
    </row>
    <row r="1509" spans="1:1">
      <c r="A1509" s="32"/>
    </row>
    <row r="1510" spans="1:1">
      <c r="A1510" s="32"/>
    </row>
    <row r="1511" spans="1:1">
      <c r="A1511" s="32"/>
    </row>
    <row r="1512" spans="1:1">
      <c r="A1512" s="32"/>
    </row>
    <row r="1513" spans="1:1">
      <c r="A1513" s="32"/>
    </row>
    <row r="1514" spans="1:1">
      <c r="A1514" s="32"/>
    </row>
    <row r="1515" spans="1:1">
      <c r="A1515" s="32"/>
    </row>
    <row r="1516" spans="1:1">
      <c r="A1516" s="32"/>
    </row>
    <row r="1517" spans="1:1">
      <c r="A1517" s="32"/>
    </row>
    <row r="1518" spans="1:1">
      <c r="A1518" s="32"/>
    </row>
    <row r="1519" spans="1:1">
      <c r="A1519" s="32"/>
    </row>
    <row r="1520" spans="1:1">
      <c r="A1520" s="32"/>
    </row>
    <row r="1521" spans="1:1">
      <c r="A1521" s="32"/>
    </row>
    <row r="1522" spans="1:1">
      <c r="A1522" s="32"/>
    </row>
    <row r="1523" spans="1:1">
      <c r="A1523" s="32"/>
    </row>
    <row r="1524" spans="1:1">
      <c r="A1524" s="32"/>
    </row>
    <row r="1525" spans="1:1">
      <c r="A1525" s="32"/>
    </row>
    <row r="1526" spans="1:1">
      <c r="A1526" s="32"/>
    </row>
    <row r="1527" spans="1:1">
      <c r="A1527" s="32"/>
    </row>
    <row r="1528" spans="1:1">
      <c r="A1528" s="32"/>
    </row>
    <row r="1529" spans="1:1">
      <c r="A1529" s="32"/>
    </row>
    <row r="1530" spans="1:1">
      <c r="A1530" s="32"/>
    </row>
    <row r="1531" spans="1:1">
      <c r="A1531" s="32"/>
    </row>
    <row r="1532" spans="1:1">
      <c r="A1532" s="32"/>
    </row>
    <row r="1533" spans="1:1">
      <c r="A1533" s="32"/>
    </row>
    <row r="1534" spans="1:1">
      <c r="A1534" s="32"/>
    </row>
    <row r="1535" spans="1:1">
      <c r="A1535" s="32"/>
    </row>
    <row r="1536" spans="1:1">
      <c r="A1536" s="32"/>
    </row>
    <row r="1537" spans="1:1">
      <c r="A1537" s="32"/>
    </row>
    <row r="1538" spans="1:1">
      <c r="A1538" s="32"/>
    </row>
    <row r="1539" spans="1:1">
      <c r="A1539" s="32"/>
    </row>
    <row r="1540" spans="1:1">
      <c r="A1540" s="32"/>
    </row>
    <row r="1541" spans="1:1">
      <c r="A1541" s="32"/>
    </row>
    <row r="1542" spans="1:1">
      <c r="A1542" s="32"/>
    </row>
    <row r="1543" spans="1:1">
      <c r="A1543" s="32"/>
    </row>
    <row r="1544" spans="1:1">
      <c r="A1544" s="32"/>
    </row>
    <row r="1545" spans="1:1">
      <c r="A1545" s="32"/>
    </row>
    <row r="1546" spans="1:1">
      <c r="A1546" s="32"/>
    </row>
    <row r="1547" spans="1:1">
      <c r="A1547" s="32"/>
    </row>
    <row r="1548" spans="1:1">
      <c r="A1548" s="32"/>
    </row>
    <row r="1549" spans="1:1">
      <c r="A1549" s="32"/>
    </row>
    <row r="1550" spans="1:1">
      <c r="A1550" s="32"/>
    </row>
    <row r="1551" spans="1:1">
      <c r="A1551" s="32"/>
    </row>
    <row r="1552" spans="1:1">
      <c r="A1552" s="32"/>
    </row>
    <row r="1553" spans="1:1">
      <c r="A1553" s="32"/>
    </row>
    <row r="1554" spans="1:1">
      <c r="A1554" s="32"/>
    </row>
    <row r="1555" spans="1:1">
      <c r="A1555" s="32"/>
    </row>
    <row r="1556" spans="1:1">
      <c r="A1556" s="32"/>
    </row>
    <row r="1557" spans="1:1">
      <c r="A1557" s="32"/>
    </row>
    <row r="1558" spans="1:1">
      <c r="A1558" s="32"/>
    </row>
    <row r="1559" spans="1:1">
      <c r="A1559" s="32"/>
    </row>
    <row r="1560" spans="1:1">
      <c r="A1560" s="32"/>
    </row>
    <row r="1561" spans="1:1">
      <c r="A1561" s="32"/>
    </row>
    <row r="1562" spans="1:1">
      <c r="A1562" s="32"/>
    </row>
    <row r="1563" spans="1:1">
      <c r="A1563" s="32"/>
    </row>
    <row r="1564" spans="1:1">
      <c r="A1564" s="32"/>
    </row>
    <row r="1565" spans="1:1">
      <c r="A1565" s="32"/>
    </row>
    <row r="1566" spans="1:1">
      <c r="A1566" s="32"/>
    </row>
    <row r="1567" spans="1:1">
      <c r="A1567" s="32"/>
    </row>
    <row r="1568" spans="1:1">
      <c r="A1568" s="32"/>
    </row>
    <row r="1569" spans="1:1">
      <c r="A1569" s="32"/>
    </row>
    <row r="1570" spans="1:1">
      <c r="A1570" s="32"/>
    </row>
    <row r="1571" spans="1:1">
      <c r="A1571" s="32"/>
    </row>
    <row r="1572" spans="1:1">
      <c r="A1572" s="32"/>
    </row>
    <row r="1573" spans="1:1">
      <c r="A1573" s="32"/>
    </row>
    <row r="1574" spans="1:1">
      <c r="A1574" s="32"/>
    </row>
    <row r="1575" spans="1:1">
      <c r="A1575" s="32"/>
    </row>
    <row r="1576" spans="1:1">
      <c r="A1576" s="32"/>
    </row>
    <row r="1577" spans="1:1">
      <c r="A1577" s="32"/>
    </row>
    <row r="1578" spans="1:1">
      <c r="A1578" s="32"/>
    </row>
    <row r="1579" spans="1:1">
      <c r="A1579" s="32"/>
    </row>
    <row r="1580" spans="1:1">
      <c r="A1580" s="32"/>
    </row>
    <row r="1581" spans="1:1">
      <c r="A1581" s="32"/>
    </row>
    <row r="1582" spans="1:1">
      <c r="A1582" s="32"/>
    </row>
    <row r="1583" spans="1:1">
      <c r="A1583" s="32"/>
    </row>
    <row r="1584" spans="1:1">
      <c r="A1584" s="32"/>
    </row>
    <row r="1585" spans="1:1">
      <c r="A1585" s="32"/>
    </row>
    <row r="1586" spans="1:1">
      <c r="A1586" s="32"/>
    </row>
    <row r="1587" spans="1:1">
      <c r="A1587" s="32"/>
    </row>
    <row r="1588" spans="1:1">
      <c r="A1588" s="32"/>
    </row>
    <row r="1589" spans="1:1">
      <c r="A1589" s="32"/>
    </row>
    <row r="1590" spans="1:1">
      <c r="A1590" s="32"/>
    </row>
    <row r="1591" spans="1:1">
      <c r="A1591" s="32"/>
    </row>
    <row r="1592" spans="1:1">
      <c r="A1592" s="32"/>
    </row>
    <row r="1593" spans="1:1">
      <c r="A1593" s="32"/>
    </row>
    <row r="1594" spans="1:1">
      <c r="A1594" s="32"/>
    </row>
    <row r="1595" spans="1:1">
      <c r="A1595" s="32"/>
    </row>
    <row r="1596" spans="1:1">
      <c r="A1596" s="32"/>
    </row>
    <row r="1597" spans="1:1">
      <c r="A1597" s="32"/>
    </row>
    <row r="1598" spans="1:1">
      <c r="A1598" s="32"/>
    </row>
    <row r="1599" spans="1:1">
      <c r="A1599" s="32"/>
    </row>
    <row r="1600" spans="1:1">
      <c r="A1600" s="32"/>
    </row>
    <row r="1601" spans="1:1">
      <c r="A1601" s="32"/>
    </row>
    <row r="1602" spans="1:1">
      <c r="A1602" s="32"/>
    </row>
    <row r="1603" spans="1:1">
      <c r="A1603" s="32"/>
    </row>
    <row r="1604" spans="1:1">
      <c r="A1604" s="32"/>
    </row>
    <row r="1605" spans="1:1">
      <c r="A1605" s="32"/>
    </row>
    <row r="1606" spans="1:1">
      <c r="A1606" s="32"/>
    </row>
    <row r="1607" spans="1:1">
      <c r="A1607" s="32"/>
    </row>
    <row r="1608" spans="1:1">
      <c r="A1608" s="32"/>
    </row>
    <row r="1609" spans="1:1">
      <c r="A1609" s="32"/>
    </row>
    <row r="1610" spans="1:1">
      <c r="A1610" s="32"/>
    </row>
    <row r="1611" spans="1:1">
      <c r="A1611" s="32"/>
    </row>
    <row r="1612" spans="1:1">
      <c r="A1612" s="32"/>
    </row>
    <row r="1613" spans="1:1">
      <c r="A1613" s="32"/>
    </row>
    <row r="1614" spans="1:1">
      <c r="A1614" s="32"/>
    </row>
    <row r="1615" spans="1:1">
      <c r="A1615" s="32"/>
    </row>
    <row r="1616" spans="1:1">
      <c r="A1616" s="32"/>
    </row>
    <row r="1617" spans="1:1">
      <c r="A1617" s="32"/>
    </row>
    <row r="1618" spans="1:1">
      <c r="A1618" s="32"/>
    </row>
    <row r="1619" spans="1:1">
      <c r="A1619" s="32"/>
    </row>
    <row r="1620" spans="1:1">
      <c r="A1620" s="32"/>
    </row>
    <row r="1621" spans="1:1">
      <c r="A1621" s="32"/>
    </row>
    <row r="1622" spans="1:1">
      <c r="A1622" s="32"/>
    </row>
    <row r="1623" spans="1:1">
      <c r="A1623" s="32"/>
    </row>
    <row r="1624" spans="1:1">
      <c r="A1624" s="32"/>
    </row>
    <row r="1625" spans="1:1">
      <c r="A1625" s="32"/>
    </row>
    <row r="1626" spans="1:1">
      <c r="A1626" s="32"/>
    </row>
    <row r="1627" spans="1:1">
      <c r="A1627" s="32"/>
    </row>
    <row r="1628" spans="1:1">
      <c r="A1628" s="32"/>
    </row>
    <row r="1629" spans="1:1">
      <c r="A1629" s="32"/>
    </row>
    <row r="1630" spans="1:1">
      <c r="A1630" s="32"/>
    </row>
    <row r="1631" spans="1:1">
      <c r="A1631" s="32"/>
    </row>
    <row r="1632" spans="1:1">
      <c r="A1632" s="32"/>
    </row>
    <row r="1633" spans="1:1">
      <c r="A1633" s="32"/>
    </row>
    <row r="1634" spans="1:1">
      <c r="A1634" s="32"/>
    </row>
    <row r="1635" spans="1:1">
      <c r="A1635" s="32"/>
    </row>
    <row r="1636" spans="1:1">
      <c r="A1636" s="32"/>
    </row>
    <row r="1637" spans="1:1">
      <c r="A1637" s="32"/>
    </row>
    <row r="1638" spans="1:1">
      <c r="A1638" s="32"/>
    </row>
    <row r="1639" spans="1:1">
      <c r="A1639" s="32"/>
    </row>
    <row r="1640" spans="1:1">
      <c r="A1640" s="32"/>
    </row>
    <row r="1641" spans="1:1">
      <c r="A1641" s="32"/>
    </row>
    <row r="1642" spans="1:1">
      <c r="A1642" s="32"/>
    </row>
    <row r="1643" spans="1:1">
      <c r="A1643" s="32"/>
    </row>
    <row r="1644" spans="1:1">
      <c r="A1644" s="32"/>
    </row>
    <row r="1645" spans="1:1">
      <c r="A1645" s="32"/>
    </row>
    <row r="1646" spans="1:1">
      <c r="A1646" s="32"/>
    </row>
    <row r="1647" spans="1:1">
      <c r="A1647" s="32"/>
    </row>
    <row r="1648" spans="1:1">
      <c r="A1648" s="32"/>
    </row>
    <row r="1649" spans="1:1">
      <c r="A1649" s="32"/>
    </row>
    <row r="1650" spans="1:1">
      <c r="A1650" s="32"/>
    </row>
    <row r="1651" spans="1:1">
      <c r="A1651" s="32"/>
    </row>
    <row r="1652" spans="1:1">
      <c r="A1652" s="32"/>
    </row>
    <row r="1653" spans="1:1">
      <c r="A1653" s="32"/>
    </row>
    <row r="1654" spans="1:1">
      <c r="A1654" s="32"/>
    </row>
    <row r="1655" spans="1:1">
      <c r="A1655" s="32"/>
    </row>
    <row r="1656" spans="1:1">
      <c r="A1656" s="32"/>
    </row>
    <row r="1657" spans="1:1">
      <c r="A1657" s="32"/>
    </row>
    <row r="1658" spans="1:1">
      <c r="A1658" s="32"/>
    </row>
    <row r="1659" spans="1:1">
      <c r="A1659" s="32"/>
    </row>
    <row r="1660" spans="1:1">
      <c r="A1660" s="32"/>
    </row>
    <row r="1661" spans="1:1">
      <c r="A1661" s="32"/>
    </row>
    <row r="1662" spans="1:1">
      <c r="A1662" s="32"/>
    </row>
    <row r="1663" spans="1:1">
      <c r="A1663" s="32"/>
    </row>
    <row r="1664" spans="1:1">
      <c r="A1664" s="32"/>
    </row>
    <row r="1665" spans="1:1">
      <c r="A1665" s="32"/>
    </row>
    <row r="1666" spans="1:1">
      <c r="A1666" s="32"/>
    </row>
    <row r="1667" spans="1:1">
      <c r="A1667" s="32"/>
    </row>
    <row r="1668" spans="1:1">
      <c r="A1668" s="32"/>
    </row>
    <row r="1669" spans="1:1">
      <c r="A1669" s="32"/>
    </row>
    <row r="1670" spans="1:1">
      <c r="A1670" s="32"/>
    </row>
    <row r="1671" spans="1:1">
      <c r="A1671" s="32"/>
    </row>
    <row r="1672" spans="1:1">
      <c r="A1672" s="32"/>
    </row>
    <row r="1673" spans="1:1">
      <c r="A1673" s="32"/>
    </row>
    <row r="1674" spans="1:1">
      <c r="A1674" s="32"/>
    </row>
    <row r="1675" spans="1:1">
      <c r="A1675" s="32"/>
    </row>
    <row r="1676" spans="1:1">
      <c r="A1676" s="32"/>
    </row>
    <row r="1677" spans="1:1">
      <c r="A1677" s="32"/>
    </row>
    <row r="1678" spans="1:1">
      <c r="A1678" s="32"/>
    </row>
    <row r="1679" spans="1:1">
      <c r="A1679" s="32"/>
    </row>
    <row r="1680" spans="1:1">
      <c r="A1680" s="32"/>
    </row>
    <row r="1681" spans="1:1">
      <c r="A1681" s="32"/>
    </row>
    <row r="1682" spans="1:1">
      <c r="A1682" s="32"/>
    </row>
    <row r="1683" spans="1:1">
      <c r="A1683" s="32"/>
    </row>
    <row r="1684" spans="1:1">
      <c r="A1684" s="32"/>
    </row>
    <row r="1685" spans="1:1">
      <c r="A1685" s="32"/>
    </row>
    <row r="1686" spans="1:1">
      <c r="A1686" s="32"/>
    </row>
    <row r="1687" spans="1:1">
      <c r="A1687" s="32"/>
    </row>
    <row r="1688" spans="1:1">
      <c r="A1688" s="32"/>
    </row>
    <row r="1689" spans="1:1">
      <c r="A1689" s="32"/>
    </row>
    <row r="1690" spans="1:1">
      <c r="A1690" s="32"/>
    </row>
    <row r="1691" spans="1:1">
      <c r="A1691" s="32"/>
    </row>
    <row r="1692" spans="1:1">
      <c r="A1692" s="32"/>
    </row>
    <row r="1693" spans="1:1">
      <c r="A1693" s="32"/>
    </row>
    <row r="1694" spans="1:1">
      <c r="A1694" s="32"/>
    </row>
    <row r="1695" spans="1:1">
      <c r="A1695" s="32"/>
    </row>
    <row r="1696" spans="1:1">
      <c r="A1696" s="32"/>
    </row>
    <row r="1697" spans="1:1">
      <c r="A1697" s="32"/>
    </row>
    <row r="1698" spans="1:1">
      <c r="A1698" s="32"/>
    </row>
    <row r="1699" spans="1:1">
      <c r="A1699" s="32"/>
    </row>
    <row r="1700" spans="1:1">
      <c r="A1700" s="32"/>
    </row>
    <row r="1701" spans="1:1">
      <c r="A1701" s="32"/>
    </row>
    <row r="1702" spans="1:1">
      <c r="A1702" s="32"/>
    </row>
    <row r="1703" spans="1:1">
      <c r="A1703" s="32"/>
    </row>
    <row r="1704" spans="1:1">
      <c r="A1704" s="32"/>
    </row>
    <row r="1705" spans="1:1">
      <c r="A1705" s="32"/>
    </row>
    <row r="1706" spans="1:1">
      <c r="A1706" s="32"/>
    </row>
    <row r="1707" spans="1:1">
      <c r="A1707" s="32"/>
    </row>
    <row r="1708" spans="1:1">
      <c r="A1708" s="32"/>
    </row>
    <row r="1709" spans="1:1">
      <c r="A1709" s="32"/>
    </row>
    <row r="1710" spans="1:1">
      <c r="A1710" s="32"/>
    </row>
    <row r="1711" spans="1:1">
      <c r="A1711" s="32"/>
    </row>
    <row r="1712" spans="1:1">
      <c r="A1712" s="32"/>
    </row>
    <row r="1713" spans="1:1">
      <c r="A1713" s="32"/>
    </row>
    <row r="1714" spans="1:1">
      <c r="A1714" s="32"/>
    </row>
    <row r="1715" spans="1:1">
      <c r="A1715" s="32"/>
    </row>
    <row r="1716" spans="1:1">
      <c r="A1716" s="32"/>
    </row>
    <row r="1717" spans="1:1">
      <c r="A1717" s="32"/>
    </row>
    <row r="1718" spans="1:1">
      <c r="A1718" s="32"/>
    </row>
    <row r="1719" spans="1:1">
      <c r="A1719" s="32"/>
    </row>
    <row r="1720" spans="1:1">
      <c r="A1720" s="32"/>
    </row>
    <row r="1721" spans="1:1">
      <c r="A1721" s="32"/>
    </row>
    <row r="1722" spans="1:1">
      <c r="A1722" s="32"/>
    </row>
    <row r="1723" spans="1:1">
      <c r="A1723" s="32"/>
    </row>
    <row r="1724" spans="1:1">
      <c r="A1724" s="32"/>
    </row>
    <row r="1725" spans="1:1">
      <c r="A1725" s="32"/>
    </row>
    <row r="1726" spans="1:1">
      <c r="A1726" s="32"/>
    </row>
    <row r="1727" spans="1:1">
      <c r="A1727" s="32"/>
    </row>
    <row r="1728" spans="1:1">
      <c r="A1728" s="32"/>
    </row>
    <row r="1729" spans="1:1">
      <c r="A1729" s="32"/>
    </row>
    <row r="1730" spans="1:1">
      <c r="A1730" s="32"/>
    </row>
    <row r="1731" spans="1:1">
      <c r="A1731" s="32"/>
    </row>
    <row r="1732" spans="1:1">
      <c r="A1732" s="32"/>
    </row>
    <row r="1733" spans="1:1">
      <c r="A1733" s="32"/>
    </row>
    <row r="1734" spans="1:1">
      <c r="A1734" s="32"/>
    </row>
    <row r="1735" spans="1:1">
      <c r="A1735" s="32"/>
    </row>
    <row r="1736" spans="1:1">
      <c r="A1736" s="32"/>
    </row>
    <row r="1737" spans="1:1">
      <c r="A1737" s="32"/>
    </row>
    <row r="1738" spans="1:1">
      <c r="A1738" s="32"/>
    </row>
    <row r="1739" spans="1:1">
      <c r="A1739" s="32"/>
    </row>
    <row r="1740" spans="1:1">
      <c r="A1740" s="32"/>
    </row>
    <row r="1741" spans="1:1">
      <c r="A1741" s="32"/>
    </row>
    <row r="1742" spans="1:1">
      <c r="A1742" s="32"/>
    </row>
    <row r="1743" spans="1:1">
      <c r="A1743" s="32"/>
    </row>
    <row r="1744" spans="1:1">
      <c r="A1744" s="32"/>
    </row>
    <row r="1745" spans="1:1">
      <c r="A1745" s="32"/>
    </row>
    <row r="1746" spans="1:1">
      <c r="A1746" s="32"/>
    </row>
    <row r="1747" spans="1:1">
      <c r="A1747" s="32"/>
    </row>
    <row r="1748" spans="1:1">
      <c r="A1748" s="32"/>
    </row>
    <row r="1749" spans="1:1">
      <c r="A1749" s="32"/>
    </row>
    <row r="1750" spans="1:1">
      <c r="A1750" s="32"/>
    </row>
    <row r="1751" spans="1:1">
      <c r="A1751" s="32"/>
    </row>
    <row r="1752" spans="1:1">
      <c r="A1752" s="32"/>
    </row>
    <row r="1753" spans="1:1">
      <c r="A1753" s="32"/>
    </row>
    <row r="1754" spans="1:1">
      <c r="A1754" s="32"/>
    </row>
    <row r="1755" spans="1:1">
      <c r="A1755" s="32"/>
    </row>
    <row r="1756" spans="1:1">
      <c r="A1756" s="32"/>
    </row>
    <row r="1757" spans="1:1">
      <c r="A1757" s="32"/>
    </row>
    <row r="1758" spans="1:1">
      <c r="A1758" s="32"/>
    </row>
    <row r="1759" spans="1:1">
      <c r="A1759" s="32"/>
    </row>
    <row r="1760" spans="1:1">
      <c r="A1760" s="32"/>
    </row>
    <row r="1761" spans="1:1">
      <c r="A1761" s="32"/>
    </row>
    <row r="1762" spans="1:1">
      <c r="A1762" s="32"/>
    </row>
    <row r="1763" spans="1:1">
      <c r="A1763" s="32"/>
    </row>
    <row r="1764" spans="1:1">
      <c r="A1764" s="32"/>
    </row>
    <row r="1765" spans="1:1">
      <c r="A1765" s="32"/>
    </row>
    <row r="1766" spans="1:1">
      <c r="A1766" s="32"/>
    </row>
    <row r="1767" spans="1:1">
      <c r="A1767" s="32"/>
    </row>
    <row r="1768" spans="1:1">
      <c r="A1768" s="32"/>
    </row>
    <row r="1769" spans="1:1">
      <c r="A1769" s="32"/>
    </row>
    <row r="1770" spans="1:1">
      <c r="A1770" s="32"/>
    </row>
    <row r="1771" spans="1:1">
      <c r="A1771" s="32"/>
    </row>
    <row r="1772" spans="1:1">
      <c r="A1772" s="32"/>
    </row>
    <row r="1773" spans="1:1">
      <c r="A1773" s="32"/>
    </row>
    <row r="1774" spans="1:1">
      <c r="A1774" s="32"/>
    </row>
    <row r="1775" spans="1:1">
      <c r="A1775" s="32"/>
    </row>
    <row r="1776" spans="1:1">
      <c r="A1776" s="32"/>
    </row>
    <row r="1777" spans="1:1">
      <c r="A1777" s="32"/>
    </row>
    <row r="1778" spans="1:1">
      <c r="A1778" s="32"/>
    </row>
    <row r="1779" spans="1:1">
      <c r="A1779" s="32"/>
    </row>
    <row r="1780" spans="1:1">
      <c r="A1780" s="32"/>
    </row>
    <row r="1781" spans="1:1">
      <c r="A1781" s="32"/>
    </row>
    <row r="1782" spans="1:1">
      <c r="A1782" s="32"/>
    </row>
    <row r="1783" spans="1:1">
      <c r="A1783" s="32"/>
    </row>
    <row r="1784" spans="1:1">
      <c r="A1784" s="32"/>
    </row>
    <row r="1785" spans="1:1">
      <c r="A1785" s="32"/>
    </row>
    <row r="1786" spans="1:1">
      <c r="A1786" s="32"/>
    </row>
    <row r="1787" spans="1:1">
      <c r="A1787" s="32"/>
    </row>
    <row r="1788" spans="1:1">
      <c r="A1788" s="32"/>
    </row>
    <row r="1789" spans="1:1">
      <c r="A1789" s="32"/>
    </row>
    <row r="1790" spans="1:1">
      <c r="A1790" s="32"/>
    </row>
    <row r="1791" spans="1:1">
      <c r="A1791" s="32"/>
    </row>
    <row r="1792" spans="1:1">
      <c r="A1792" s="32"/>
    </row>
    <row r="1793" spans="1:1">
      <c r="A1793" s="32"/>
    </row>
    <row r="1794" spans="1:1">
      <c r="A1794" s="32"/>
    </row>
    <row r="1795" spans="1:1">
      <c r="A1795" s="32"/>
    </row>
    <row r="1796" spans="1:1">
      <c r="A1796" s="32"/>
    </row>
    <row r="1797" spans="1:1">
      <c r="A1797" s="32"/>
    </row>
    <row r="1798" spans="1:1">
      <c r="A1798" s="32"/>
    </row>
    <row r="1799" spans="1:1">
      <c r="A1799" s="32"/>
    </row>
    <row r="1800" spans="1:1">
      <c r="A1800" s="32"/>
    </row>
    <row r="1801" spans="1:1">
      <c r="A1801" s="32"/>
    </row>
    <row r="1802" spans="1:1">
      <c r="A1802" s="32"/>
    </row>
    <row r="1803" spans="1:1">
      <c r="A1803" s="32"/>
    </row>
    <row r="1804" spans="1:1">
      <c r="A1804" s="32"/>
    </row>
    <row r="1805" spans="1:1">
      <c r="A1805" s="32"/>
    </row>
    <row r="1806" spans="1:1">
      <c r="A1806" s="32"/>
    </row>
    <row r="1807" spans="1:1">
      <c r="A1807" s="32"/>
    </row>
    <row r="1808" spans="1:1">
      <c r="A1808" s="32"/>
    </row>
    <row r="1809" spans="1:1">
      <c r="A1809" s="32"/>
    </row>
    <row r="1810" spans="1:1">
      <c r="A1810" s="32"/>
    </row>
    <row r="1811" spans="1:1">
      <c r="A1811" s="32"/>
    </row>
    <row r="1812" spans="1:1">
      <c r="A1812" s="32"/>
    </row>
    <row r="1813" spans="1:1">
      <c r="A1813" s="32"/>
    </row>
    <row r="1814" spans="1:1">
      <c r="A1814" s="32"/>
    </row>
    <row r="1815" spans="1:1">
      <c r="A1815" s="32"/>
    </row>
    <row r="1816" spans="1:1">
      <c r="A1816" s="32"/>
    </row>
    <row r="1817" spans="1:1">
      <c r="A1817" s="32"/>
    </row>
    <row r="1818" spans="1:1">
      <c r="A1818" s="32"/>
    </row>
    <row r="1819" spans="1:1">
      <c r="A1819" s="32"/>
    </row>
    <row r="1820" spans="1:1">
      <c r="A1820" s="32"/>
    </row>
    <row r="1821" spans="1:1">
      <c r="A1821" s="32"/>
    </row>
    <row r="1822" spans="1:1">
      <c r="A1822" s="32"/>
    </row>
    <row r="1823" spans="1:1">
      <c r="A1823" s="32"/>
    </row>
    <row r="1824" spans="1:1">
      <c r="A1824" s="32"/>
    </row>
    <row r="1825" spans="1:1">
      <c r="A1825" s="32"/>
    </row>
    <row r="1826" spans="1:1">
      <c r="A1826" s="32"/>
    </row>
    <row r="1827" spans="1:1">
      <c r="A1827" s="32"/>
    </row>
    <row r="1828" spans="1:1">
      <c r="A1828" s="32"/>
    </row>
    <row r="1829" spans="1:1">
      <c r="A1829" s="32"/>
    </row>
    <row r="1830" spans="1:1">
      <c r="A1830" s="32"/>
    </row>
    <row r="1831" spans="1:1">
      <c r="A1831" s="32"/>
    </row>
    <row r="1832" spans="1:1">
      <c r="A1832" s="32"/>
    </row>
    <row r="1833" spans="1:1">
      <c r="A1833" s="32"/>
    </row>
    <row r="1834" spans="1:1">
      <c r="A1834" s="32"/>
    </row>
    <row r="1835" spans="1:1">
      <c r="A1835" s="32"/>
    </row>
    <row r="1836" spans="1:1">
      <c r="A1836" s="32"/>
    </row>
    <row r="1837" spans="1:1">
      <c r="A1837" s="32"/>
    </row>
    <row r="1838" spans="1:1">
      <c r="A1838" s="32"/>
    </row>
    <row r="1839" spans="1:1">
      <c r="A1839" s="32"/>
    </row>
    <row r="1840" spans="1:1">
      <c r="A1840" s="32"/>
    </row>
    <row r="1841" spans="1:1">
      <c r="A1841" s="32"/>
    </row>
    <row r="1842" spans="1:1">
      <c r="A1842" s="32"/>
    </row>
    <row r="1843" spans="1:1">
      <c r="A1843" s="32"/>
    </row>
    <row r="1844" spans="1:1">
      <c r="A1844" s="32"/>
    </row>
    <row r="1845" spans="1:1">
      <c r="A1845" s="32"/>
    </row>
    <row r="1846" spans="1:1">
      <c r="A1846" s="32"/>
    </row>
    <row r="1847" spans="1:1">
      <c r="A1847" s="32"/>
    </row>
    <row r="1848" spans="1:1">
      <c r="A1848" s="32"/>
    </row>
    <row r="1849" spans="1:1">
      <c r="A1849" s="32"/>
    </row>
    <row r="1850" spans="1:1">
      <c r="A1850" s="32"/>
    </row>
    <row r="1851" spans="1:1">
      <c r="A1851" s="32"/>
    </row>
    <row r="1852" spans="1:1">
      <c r="A1852" s="32"/>
    </row>
    <row r="1853" spans="1:1">
      <c r="A1853" s="32"/>
    </row>
    <row r="1854" spans="1:1">
      <c r="A1854" s="32"/>
    </row>
    <row r="1855" spans="1:1">
      <c r="A1855" s="32"/>
    </row>
    <row r="1856" spans="1:1">
      <c r="A1856" s="32"/>
    </row>
    <row r="1857" spans="1:1">
      <c r="A1857" s="32"/>
    </row>
    <row r="1858" spans="1:1">
      <c r="A1858" s="32"/>
    </row>
    <row r="1859" spans="1:1">
      <c r="A1859" s="32"/>
    </row>
    <row r="1860" spans="1:1">
      <c r="A1860" s="32"/>
    </row>
    <row r="1861" spans="1:1">
      <c r="A1861" s="32"/>
    </row>
    <row r="1862" spans="1:1">
      <c r="A1862" s="32"/>
    </row>
    <row r="1863" spans="1:1">
      <c r="A1863" s="32"/>
    </row>
    <row r="1864" spans="1:1">
      <c r="A1864" s="32"/>
    </row>
    <row r="1865" spans="1:1">
      <c r="A1865" s="32"/>
    </row>
    <row r="1866" spans="1:1">
      <c r="A1866" s="32"/>
    </row>
    <row r="1867" spans="1:1">
      <c r="A1867" s="32"/>
    </row>
    <row r="1868" spans="1:1">
      <c r="A1868" s="32"/>
    </row>
    <row r="1869" spans="1:1">
      <c r="A1869" s="32"/>
    </row>
    <row r="1870" spans="1:1">
      <c r="A1870" s="32"/>
    </row>
    <row r="1871" spans="1:1">
      <c r="A1871" s="32"/>
    </row>
    <row r="1872" spans="1:1">
      <c r="A1872" s="32"/>
    </row>
    <row r="1873" spans="1:1">
      <c r="A1873" s="32"/>
    </row>
    <row r="1874" spans="1:1">
      <c r="A1874" s="32"/>
    </row>
    <row r="1875" spans="1:1">
      <c r="A1875" s="32"/>
    </row>
    <row r="1876" spans="1:1">
      <c r="A1876" s="32"/>
    </row>
    <row r="1877" spans="1:1">
      <c r="A1877" s="32"/>
    </row>
    <row r="1878" spans="1:1">
      <c r="A1878" s="32"/>
    </row>
    <row r="1879" spans="1:1">
      <c r="A1879" s="32"/>
    </row>
    <row r="1880" spans="1:1">
      <c r="A1880" s="32"/>
    </row>
    <row r="1881" spans="1:1">
      <c r="A1881" s="32"/>
    </row>
    <row r="1882" spans="1:1">
      <c r="A1882" s="32"/>
    </row>
    <row r="1883" spans="1:1">
      <c r="A1883" s="32"/>
    </row>
    <row r="1884" spans="1:1">
      <c r="A1884" s="32"/>
    </row>
    <row r="1885" spans="1:1">
      <c r="A1885" s="32"/>
    </row>
    <row r="1886" spans="1:1">
      <c r="A1886" s="32"/>
    </row>
    <row r="1887" spans="1:1">
      <c r="A1887" s="32"/>
    </row>
    <row r="1888" spans="1:1">
      <c r="A1888" s="32"/>
    </row>
    <row r="1889" spans="1:1">
      <c r="A1889" s="32"/>
    </row>
    <row r="1890" spans="1:1">
      <c r="A1890" s="32"/>
    </row>
    <row r="1891" spans="1:1">
      <c r="A1891" s="32"/>
    </row>
    <row r="1892" spans="1:1">
      <c r="A1892" s="32"/>
    </row>
    <row r="1893" spans="1:1">
      <c r="A1893" s="32"/>
    </row>
    <row r="1894" spans="1:1">
      <c r="A1894" s="32"/>
    </row>
    <row r="1895" spans="1:1">
      <c r="A1895" s="32"/>
    </row>
    <row r="1896" spans="1:1">
      <c r="A1896" s="32"/>
    </row>
    <row r="1897" spans="1:1">
      <c r="A1897" s="32"/>
    </row>
    <row r="1898" spans="1:1">
      <c r="A1898" s="32"/>
    </row>
    <row r="1899" spans="1:1">
      <c r="A1899" s="32"/>
    </row>
    <row r="1900" spans="1:1">
      <c r="A1900" s="32"/>
    </row>
    <row r="1901" spans="1:1">
      <c r="A1901" s="32"/>
    </row>
    <row r="1902" spans="1:1">
      <c r="A1902" s="32"/>
    </row>
    <row r="1903" spans="1:1">
      <c r="A1903" s="32"/>
    </row>
    <row r="1904" spans="1:1">
      <c r="A1904" s="32"/>
    </row>
    <row r="1905" spans="1:1">
      <c r="A1905" s="32"/>
    </row>
    <row r="1906" spans="1:1">
      <c r="A1906" s="32"/>
    </row>
    <row r="1907" spans="1:1">
      <c r="A1907" s="32"/>
    </row>
    <row r="1908" spans="1:1">
      <c r="A1908" s="32"/>
    </row>
    <row r="1909" spans="1:1">
      <c r="A1909" s="32"/>
    </row>
    <row r="1910" spans="1:1">
      <c r="A1910" s="32"/>
    </row>
    <row r="1911" spans="1:1">
      <c r="A1911" s="32"/>
    </row>
    <row r="1912" spans="1:1">
      <c r="A1912" s="32"/>
    </row>
    <row r="1913" spans="1:1">
      <c r="A1913" s="32"/>
    </row>
    <row r="1914" spans="1:1">
      <c r="A1914" s="32"/>
    </row>
    <row r="1915" spans="1:1">
      <c r="A1915" s="32"/>
    </row>
    <row r="1916" spans="1:1">
      <c r="A1916" s="32"/>
    </row>
    <row r="1917" spans="1:1">
      <c r="A1917" s="32"/>
    </row>
    <row r="1918" spans="1:1">
      <c r="A1918" s="32"/>
    </row>
    <row r="1919" spans="1:1">
      <c r="A1919" s="32"/>
    </row>
    <row r="1920" spans="1:1">
      <c r="A1920" s="32"/>
    </row>
    <row r="1921" spans="1:1">
      <c r="A1921" s="32"/>
    </row>
    <row r="1922" spans="1:1">
      <c r="A1922" s="32"/>
    </row>
    <row r="1923" spans="1:1">
      <c r="A1923" s="32"/>
    </row>
    <row r="1924" spans="1:1">
      <c r="A1924" s="32"/>
    </row>
    <row r="1925" spans="1:1">
      <c r="A1925" s="32"/>
    </row>
    <row r="1926" spans="1:1">
      <c r="A1926" s="32"/>
    </row>
    <row r="1927" spans="1:1">
      <c r="A1927" s="32"/>
    </row>
    <row r="1928" spans="1:1">
      <c r="A1928" s="32"/>
    </row>
    <row r="1929" spans="1:1">
      <c r="A1929" s="32"/>
    </row>
    <row r="1930" spans="1:1">
      <c r="A1930" s="32"/>
    </row>
    <row r="1931" spans="1:1">
      <c r="A1931" s="32"/>
    </row>
    <row r="1932" spans="1:1">
      <c r="A1932" s="32"/>
    </row>
    <row r="1933" spans="1:1">
      <c r="A1933" s="32"/>
    </row>
    <row r="1934" spans="1:1">
      <c r="A1934" s="32"/>
    </row>
    <row r="1935" spans="1:1">
      <c r="A1935" s="32"/>
    </row>
    <row r="1936" spans="1:1">
      <c r="A1936" s="32"/>
    </row>
    <row r="1937" spans="1:1">
      <c r="A1937" s="32"/>
    </row>
    <row r="1938" spans="1:1">
      <c r="A1938" s="32"/>
    </row>
    <row r="1939" spans="1:1">
      <c r="A1939" s="32"/>
    </row>
    <row r="1940" spans="1:1">
      <c r="A1940" s="32"/>
    </row>
    <row r="1941" spans="1:1">
      <c r="A1941" s="32"/>
    </row>
    <row r="1942" spans="1:1">
      <c r="A1942" s="32"/>
    </row>
    <row r="1943" spans="1:1">
      <c r="A1943" s="32"/>
    </row>
    <row r="1944" spans="1:1">
      <c r="A1944" s="32"/>
    </row>
    <row r="1945" spans="1:1">
      <c r="A1945" s="32"/>
    </row>
    <row r="1946" spans="1:1">
      <c r="A1946" s="32"/>
    </row>
    <row r="1947" spans="1:1">
      <c r="A1947" s="32"/>
    </row>
    <row r="1948" spans="1:1">
      <c r="A1948" s="32"/>
    </row>
    <row r="1949" spans="1:1">
      <c r="A1949" s="32"/>
    </row>
    <row r="1950" spans="1:1">
      <c r="A1950" s="32"/>
    </row>
    <row r="1951" spans="1:1">
      <c r="A1951" s="32"/>
    </row>
    <row r="1952" spans="1:1">
      <c r="A1952" s="32"/>
    </row>
    <row r="1953" spans="1:1">
      <c r="A1953" s="32"/>
    </row>
    <row r="1954" spans="1:1">
      <c r="A1954" s="32"/>
    </row>
    <row r="1955" spans="1:1">
      <c r="A1955" s="32"/>
    </row>
    <row r="1956" spans="1:1">
      <c r="A1956" s="32"/>
    </row>
    <row r="1957" spans="1:1">
      <c r="A1957" s="32"/>
    </row>
    <row r="1958" spans="1:1">
      <c r="A1958" s="32"/>
    </row>
    <row r="1959" spans="1:1">
      <c r="A1959" s="32"/>
    </row>
    <row r="1960" spans="1:1">
      <c r="A1960" s="32"/>
    </row>
    <row r="1961" spans="1:1">
      <c r="A1961" s="32"/>
    </row>
    <row r="1962" spans="1:1">
      <c r="A1962" s="32"/>
    </row>
    <row r="1963" spans="1:1">
      <c r="A1963" s="32"/>
    </row>
    <row r="1964" spans="1:1">
      <c r="A1964" s="32"/>
    </row>
    <row r="1965" spans="1:1">
      <c r="A1965" s="32"/>
    </row>
    <row r="1966" spans="1:1">
      <c r="A1966" s="32"/>
    </row>
    <row r="1967" spans="1:1">
      <c r="A1967" s="32"/>
    </row>
    <row r="1968" spans="1:1">
      <c r="A1968" s="32"/>
    </row>
    <row r="1969" spans="1:1">
      <c r="A1969" s="32"/>
    </row>
    <row r="1970" spans="1:1">
      <c r="A1970" s="32"/>
    </row>
    <row r="1971" spans="1:1">
      <c r="A1971" s="32"/>
    </row>
    <row r="1972" spans="1:1">
      <c r="A1972" s="32"/>
    </row>
    <row r="1973" spans="1:1">
      <c r="A1973" s="32"/>
    </row>
    <row r="1974" spans="1:1">
      <c r="A1974" s="32"/>
    </row>
    <row r="1975" spans="1:1">
      <c r="A1975" s="32"/>
    </row>
    <row r="1976" spans="1:1">
      <c r="A1976" s="32"/>
    </row>
    <row r="1977" spans="1:1">
      <c r="A1977" s="32"/>
    </row>
    <row r="1978" spans="1:1">
      <c r="A1978" s="32"/>
    </row>
    <row r="1979" spans="1:1">
      <c r="A1979" s="32"/>
    </row>
    <row r="1980" spans="1:1">
      <c r="A1980" s="32"/>
    </row>
    <row r="1981" spans="1:1">
      <c r="A1981" s="32"/>
    </row>
    <row r="1982" spans="1:1">
      <c r="A1982" s="32"/>
    </row>
    <row r="1983" spans="1:1">
      <c r="A1983" s="32"/>
    </row>
    <row r="1984" spans="1:1">
      <c r="A1984" s="32"/>
    </row>
    <row r="1985" spans="1:1">
      <c r="A1985" s="32"/>
    </row>
    <row r="1986" spans="1:1">
      <c r="A1986" s="32"/>
    </row>
    <row r="1987" spans="1:1">
      <c r="A1987" s="32"/>
    </row>
    <row r="1988" spans="1:1">
      <c r="A1988" s="32"/>
    </row>
    <row r="1989" spans="1:1">
      <c r="A1989" s="32"/>
    </row>
    <row r="1990" spans="1:1">
      <c r="A1990" s="32"/>
    </row>
    <row r="1991" spans="1:1">
      <c r="A1991" s="32"/>
    </row>
    <row r="1992" spans="1:1">
      <c r="A1992" s="32"/>
    </row>
    <row r="1993" spans="1:1">
      <c r="A1993" s="32"/>
    </row>
    <row r="1994" spans="1:1">
      <c r="A1994" s="32"/>
    </row>
    <row r="1995" spans="1:1">
      <c r="A1995" s="32"/>
    </row>
    <row r="1996" spans="1:1">
      <c r="A1996" s="32"/>
    </row>
    <row r="1997" spans="1:1">
      <c r="A1997" s="32"/>
    </row>
    <row r="1998" spans="1:1">
      <c r="A1998" s="32"/>
    </row>
    <row r="1999" spans="1:1">
      <c r="A1999" s="32"/>
    </row>
    <row r="2000" spans="1:1">
      <c r="A2000" s="32"/>
    </row>
    <row r="2001" spans="1:1">
      <c r="A2001" s="32"/>
    </row>
    <row r="2002" spans="1:1">
      <c r="A2002" s="32"/>
    </row>
    <row r="2003" spans="1:1">
      <c r="A2003" s="32"/>
    </row>
    <row r="2004" spans="1:1">
      <c r="A2004" s="32"/>
    </row>
    <row r="2005" spans="1:1">
      <c r="A2005" s="32"/>
    </row>
    <row r="2006" spans="1:1">
      <c r="A2006" s="32"/>
    </row>
    <row r="2007" spans="1:1">
      <c r="A2007" s="32"/>
    </row>
    <row r="2008" spans="1:1">
      <c r="A2008" s="32"/>
    </row>
    <row r="2009" spans="1:1">
      <c r="A2009" s="32"/>
    </row>
    <row r="2010" spans="1:1">
      <c r="A2010" s="32"/>
    </row>
    <row r="2011" spans="1:1">
      <c r="A2011" s="32"/>
    </row>
    <row r="2012" spans="1:1">
      <c r="A2012" s="32"/>
    </row>
    <row r="2013" spans="1:1">
      <c r="A2013" s="32"/>
    </row>
    <row r="2014" spans="1:1">
      <c r="A2014" s="32"/>
    </row>
    <row r="2015" spans="1:1">
      <c r="A2015" s="32"/>
    </row>
    <row r="2016" spans="1:1">
      <c r="A2016" s="32"/>
    </row>
    <row r="2017" spans="1:1">
      <c r="A2017" s="32"/>
    </row>
    <row r="2018" spans="1:1">
      <c r="A2018" s="32"/>
    </row>
    <row r="2019" spans="1:1">
      <c r="A2019" s="32"/>
    </row>
    <row r="2020" spans="1:1">
      <c r="A2020" s="32"/>
    </row>
    <row r="2021" spans="1:1">
      <c r="A2021" s="32"/>
    </row>
    <row r="2022" spans="1:1">
      <c r="A2022" s="32"/>
    </row>
    <row r="2023" spans="1:1">
      <c r="A2023" s="32"/>
    </row>
    <row r="2024" spans="1:1">
      <c r="A2024" s="32"/>
    </row>
    <row r="2025" spans="1:1">
      <c r="A2025" s="32"/>
    </row>
    <row r="2026" spans="1:1">
      <c r="A2026" s="32"/>
    </row>
    <row r="2027" spans="1:1">
      <c r="A2027" s="32"/>
    </row>
    <row r="2028" spans="1:1">
      <c r="A2028" s="32"/>
    </row>
    <row r="2029" spans="1:1">
      <c r="A2029" s="32"/>
    </row>
    <row r="2030" spans="1:1">
      <c r="A2030" s="32"/>
    </row>
    <row r="2031" spans="1:1">
      <c r="A2031" s="32"/>
    </row>
    <row r="2032" spans="1:1">
      <c r="A2032" s="32"/>
    </row>
    <row r="2033" spans="1:1">
      <c r="A2033" s="32"/>
    </row>
    <row r="2034" spans="1:1">
      <c r="A2034" s="32"/>
    </row>
    <row r="2035" spans="1:1">
      <c r="A2035" s="32"/>
    </row>
    <row r="2036" spans="1:1">
      <c r="A2036" s="32"/>
    </row>
    <row r="2037" spans="1:1">
      <c r="A2037" s="32"/>
    </row>
    <row r="2038" spans="1:1">
      <c r="A2038" s="32"/>
    </row>
    <row r="2039" spans="1:1">
      <c r="A2039" s="32"/>
    </row>
    <row r="2040" spans="1:1">
      <c r="A2040" s="32"/>
    </row>
    <row r="2041" spans="1:1">
      <c r="A2041" s="32"/>
    </row>
    <row r="2042" spans="1:1">
      <c r="A2042" s="32"/>
    </row>
    <row r="2043" spans="1:1">
      <c r="A2043" s="32"/>
    </row>
    <row r="2044" spans="1:1">
      <c r="A2044" s="32"/>
    </row>
    <row r="2045" spans="1:1">
      <c r="A2045" s="32"/>
    </row>
    <row r="2046" spans="1:1">
      <c r="A2046" s="32"/>
    </row>
    <row r="2047" spans="1:1">
      <c r="A2047" s="32"/>
    </row>
    <row r="2048" spans="1:1">
      <c r="A2048" s="32"/>
    </row>
    <row r="2049" spans="1:1">
      <c r="A2049" s="32"/>
    </row>
    <row r="2050" spans="1:1">
      <c r="A2050" s="32"/>
    </row>
    <row r="2051" spans="1:1">
      <c r="A2051" s="32"/>
    </row>
    <row r="2052" spans="1:1">
      <c r="A2052" s="32"/>
    </row>
    <row r="2053" spans="1:1">
      <c r="A2053" s="32"/>
    </row>
    <row r="2054" spans="1:1">
      <c r="A2054" s="32"/>
    </row>
    <row r="2055" spans="1:1">
      <c r="A2055" s="32"/>
    </row>
    <row r="2056" spans="1:1">
      <c r="A2056" s="32"/>
    </row>
    <row r="2057" spans="1:1">
      <c r="A2057" s="32"/>
    </row>
    <row r="2058" spans="1:1">
      <c r="A2058" s="32"/>
    </row>
    <row r="2059" spans="1:1">
      <c r="A2059" s="32"/>
    </row>
    <row r="2060" spans="1:1">
      <c r="A2060" s="32"/>
    </row>
    <row r="2061" spans="1:1">
      <c r="A2061" s="32"/>
    </row>
    <row r="2062" spans="1:1">
      <c r="A2062" s="32"/>
    </row>
    <row r="2063" spans="1:1">
      <c r="A2063" s="32"/>
    </row>
    <row r="2064" spans="1:1">
      <c r="A2064" s="32"/>
    </row>
    <row r="2065" spans="1:1">
      <c r="A2065" s="32"/>
    </row>
    <row r="2066" spans="1:1">
      <c r="A2066" s="32"/>
    </row>
    <row r="2067" spans="1:1">
      <c r="A2067" s="32"/>
    </row>
    <row r="2068" spans="1:1">
      <c r="A2068" s="32"/>
    </row>
    <row r="2069" spans="1:1">
      <c r="A2069" s="32"/>
    </row>
    <row r="2070" spans="1:1">
      <c r="A2070" s="32"/>
    </row>
    <row r="2071" spans="1:1">
      <c r="A2071" s="32"/>
    </row>
    <row r="2072" spans="1:1">
      <c r="A2072" s="32"/>
    </row>
    <row r="2073" spans="1:1">
      <c r="A2073" s="32"/>
    </row>
    <row r="2074" spans="1:1">
      <c r="A2074" s="32"/>
    </row>
    <row r="2075" spans="1:1">
      <c r="A2075" s="32"/>
    </row>
    <row r="2076" spans="1:1">
      <c r="A2076" s="32"/>
    </row>
    <row r="2077" spans="1:1">
      <c r="A2077" s="32"/>
    </row>
    <row r="2078" spans="1:1">
      <c r="A2078" s="32"/>
    </row>
    <row r="2079" spans="1:1">
      <c r="A2079" s="32"/>
    </row>
    <row r="2080" spans="1:1">
      <c r="A2080" s="32"/>
    </row>
    <row r="2081" spans="1:1">
      <c r="A2081" s="32"/>
    </row>
    <row r="2082" spans="1:1">
      <c r="A2082" s="32"/>
    </row>
    <row r="2083" spans="1:1">
      <c r="A2083" s="32"/>
    </row>
    <row r="2084" spans="1:1">
      <c r="A2084" s="32"/>
    </row>
    <row r="2085" spans="1:1">
      <c r="A2085" s="32"/>
    </row>
    <row r="2086" spans="1:1">
      <c r="A2086" s="32"/>
    </row>
    <row r="2087" spans="1:1">
      <c r="A2087" s="32"/>
    </row>
    <row r="2088" spans="1:1">
      <c r="A2088" s="32"/>
    </row>
    <row r="2089" spans="1:1">
      <c r="A2089" s="32"/>
    </row>
    <row r="2090" spans="1:1">
      <c r="A2090" s="32"/>
    </row>
    <row r="2091" spans="1:1">
      <c r="A2091" s="32"/>
    </row>
    <row r="2092" spans="1:1">
      <c r="A2092" s="32"/>
    </row>
    <row r="2093" spans="1:1">
      <c r="A2093" s="32"/>
    </row>
    <row r="2094" spans="1:1">
      <c r="A2094" s="32"/>
    </row>
    <row r="2095" spans="1:1">
      <c r="A2095" s="32"/>
    </row>
    <row r="2096" spans="1:1">
      <c r="A2096" s="32"/>
    </row>
    <row r="2097" spans="1:1">
      <c r="A2097" s="32"/>
    </row>
    <row r="2098" spans="1:1">
      <c r="A2098" s="32"/>
    </row>
    <row r="2099" spans="1:1">
      <c r="A2099" s="32"/>
    </row>
    <row r="2100" spans="1:1">
      <c r="A2100" s="32"/>
    </row>
    <row r="2101" spans="1:1">
      <c r="A2101" s="32"/>
    </row>
    <row r="2102" spans="1:1">
      <c r="A2102" s="32"/>
    </row>
    <row r="2103" spans="1:1">
      <c r="A2103" s="32"/>
    </row>
    <row r="2104" spans="1:1">
      <c r="A2104" s="32"/>
    </row>
    <row r="2105" spans="1:1">
      <c r="A2105" s="32"/>
    </row>
    <row r="2106" spans="1:1">
      <c r="A2106" s="32"/>
    </row>
    <row r="2107" spans="1:1">
      <c r="A2107" s="32"/>
    </row>
    <row r="2108" spans="1:1">
      <c r="A2108" s="32"/>
    </row>
    <row r="2109" spans="1:1">
      <c r="A2109" s="32"/>
    </row>
    <row r="2110" spans="1:1">
      <c r="A2110" s="32"/>
    </row>
    <row r="2111" spans="1:1">
      <c r="A2111" s="32"/>
    </row>
    <row r="2112" spans="1:1">
      <c r="A2112" s="32"/>
    </row>
    <row r="2113" spans="1:1">
      <c r="A2113" s="32"/>
    </row>
    <row r="2114" spans="1:1">
      <c r="A2114" s="32"/>
    </row>
    <row r="2115" spans="1:1">
      <c r="A2115" s="32"/>
    </row>
    <row r="2116" spans="1:1">
      <c r="A2116" s="32"/>
    </row>
    <row r="2117" spans="1:1">
      <c r="A2117" s="32"/>
    </row>
    <row r="2118" spans="1:1">
      <c r="A2118" s="32"/>
    </row>
    <row r="2119" spans="1:1">
      <c r="A2119" s="32"/>
    </row>
    <row r="2120" spans="1:1">
      <c r="A2120" s="32"/>
    </row>
    <row r="2121" spans="1:1">
      <c r="A2121" s="32"/>
    </row>
    <row r="2122" spans="1:1">
      <c r="A2122" s="32"/>
    </row>
    <row r="2123" spans="1:1">
      <c r="A2123" s="32"/>
    </row>
    <row r="2124" spans="1:1">
      <c r="A2124" s="32"/>
    </row>
    <row r="2125" spans="1:1">
      <c r="A2125" s="32"/>
    </row>
    <row r="2126" spans="1:1">
      <c r="A2126" s="32"/>
    </row>
    <row r="2127" spans="1:1">
      <c r="A2127" s="32"/>
    </row>
    <row r="2128" spans="1:1">
      <c r="A2128" s="32"/>
    </row>
    <row r="2129" spans="1:1">
      <c r="A2129" s="32"/>
    </row>
    <row r="2130" spans="1:1">
      <c r="A2130" s="32"/>
    </row>
    <row r="2131" spans="1:1">
      <c r="A2131" s="32"/>
    </row>
    <row r="2132" spans="1:1">
      <c r="A2132" s="32"/>
    </row>
    <row r="2133" spans="1:1">
      <c r="A2133" s="32"/>
    </row>
    <row r="2134" spans="1:1">
      <c r="A2134" s="32"/>
    </row>
    <row r="2135" spans="1:1">
      <c r="A2135" s="32"/>
    </row>
    <row r="2136" spans="1:1">
      <c r="A2136" s="32"/>
    </row>
    <row r="2137" spans="1:1">
      <c r="A2137" s="32"/>
    </row>
    <row r="2138" spans="1:1">
      <c r="A2138" s="32"/>
    </row>
    <row r="2139" spans="1:1">
      <c r="A2139" s="32"/>
    </row>
    <row r="2140" spans="1:1">
      <c r="A2140" s="32"/>
    </row>
    <row r="2141" spans="1:1">
      <c r="A2141" s="32"/>
    </row>
    <row r="2142" spans="1:1">
      <c r="A2142" s="32"/>
    </row>
    <row r="2143" spans="1:1">
      <c r="A2143" s="32"/>
    </row>
    <row r="2144" spans="1:1">
      <c r="A2144" s="32"/>
    </row>
    <row r="2145" spans="1:1">
      <c r="A2145" s="32"/>
    </row>
    <row r="2146" spans="1:1">
      <c r="A2146" s="32"/>
    </row>
    <row r="2147" spans="1:1">
      <c r="A2147" s="32"/>
    </row>
    <row r="2148" spans="1:1">
      <c r="A2148" s="32"/>
    </row>
    <row r="2149" spans="1:1">
      <c r="A2149" s="32"/>
    </row>
    <row r="2150" spans="1:1">
      <c r="A2150" s="32"/>
    </row>
    <row r="2151" spans="1:1">
      <c r="A2151" s="32"/>
    </row>
    <row r="2152" spans="1:1">
      <c r="A2152" s="32"/>
    </row>
    <row r="2153" spans="1:1">
      <c r="A2153" s="32"/>
    </row>
    <row r="2154" spans="1:1">
      <c r="A2154" s="32"/>
    </row>
    <row r="2155" spans="1:1">
      <c r="A2155" s="32"/>
    </row>
    <row r="2156" spans="1:1">
      <c r="A2156" s="32"/>
    </row>
    <row r="2157" spans="1:1">
      <c r="A2157" s="32"/>
    </row>
    <row r="2158" spans="1:1">
      <c r="A2158" s="32"/>
    </row>
    <row r="2159" spans="1:1">
      <c r="A2159" s="32"/>
    </row>
    <row r="2160" spans="1:1">
      <c r="A2160" s="32"/>
    </row>
    <row r="2161" spans="1:1">
      <c r="A2161" s="32"/>
    </row>
    <row r="2162" spans="1:1">
      <c r="A2162" s="32"/>
    </row>
    <row r="2163" spans="1:1">
      <c r="A2163" s="32"/>
    </row>
    <row r="2164" spans="1:1">
      <c r="A2164" s="32"/>
    </row>
    <row r="2165" spans="1:1">
      <c r="A2165" s="32"/>
    </row>
    <row r="2166" spans="1:1">
      <c r="A2166" s="32"/>
    </row>
    <row r="2167" spans="1:1">
      <c r="A2167" s="32"/>
    </row>
    <row r="2168" spans="1:1">
      <c r="A2168" s="32"/>
    </row>
    <row r="2169" spans="1:1">
      <c r="A2169" s="32"/>
    </row>
    <row r="2170" spans="1:1">
      <c r="A2170" s="32"/>
    </row>
    <row r="2171" spans="1:1">
      <c r="A2171" s="32"/>
    </row>
    <row r="2172" spans="1:1">
      <c r="A2172" s="32"/>
    </row>
    <row r="2173" spans="1:1">
      <c r="A2173" s="32"/>
    </row>
    <row r="2174" spans="1:1">
      <c r="A2174" s="32"/>
    </row>
    <row r="2175" spans="1:1">
      <c r="A2175" s="32"/>
    </row>
    <row r="2176" spans="1:1">
      <c r="A2176" s="32"/>
    </row>
    <row r="2177" spans="1:1">
      <c r="A2177" s="32"/>
    </row>
    <row r="2178" spans="1:1">
      <c r="A2178" s="32"/>
    </row>
    <row r="2179" spans="1:1">
      <c r="A2179" s="32"/>
    </row>
    <row r="2180" spans="1:1">
      <c r="A2180" s="32"/>
    </row>
    <row r="2181" spans="1:1">
      <c r="A2181" s="32"/>
    </row>
    <row r="2182" spans="1:1">
      <c r="A2182" s="32"/>
    </row>
    <row r="2183" spans="1:1">
      <c r="A2183" s="32"/>
    </row>
    <row r="2184" spans="1:1">
      <c r="A2184" s="32"/>
    </row>
    <row r="2185" spans="1:1">
      <c r="A2185" s="32"/>
    </row>
    <row r="2186" spans="1:1">
      <c r="A2186" s="32"/>
    </row>
    <row r="2187" spans="1:1">
      <c r="A2187" s="32"/>
    </row>
    <row r="2188" spans="1:1">
      <c r="A2188" s="32"/>
    </row>
    <row r="2189" spans="1:1">
      <c r="A2189" s="32"/>
    </row>
    <row r="2190" spans="1:1">
      <c r="A2190" s="32"/>
    </row>
    <row r="2191" spans="1:1">
      <c r="A2191" s="32"/>
    </row>
    <row r="2192" spans="1:1">
      <c r="A2192" s="32"/>
    </row>
    <row r="2193" spans="1:1">
      <c r="A2193" s="32"/>
    </row>
    <row r="2194" spans="1:1">
      <c r="A2194" s="32"/>
    </row>
    <row r="2195" spans="1:1">
      <c r="A2195" s="32"/>
    </row>
    <row r="2196" spans="1:1">
      <c r="A2196" s="32"/>
    </row>
    <row r="2197" spans="1:1">
      <c r="A2197" s="32"/>
    </row>
    <row r="2198" spans="1:1">
      <c r="A2198" s="32"/>
    </row>
    <row r="2199" spans="1:1">
      <c r="A2199" s="32"/>
    </row>
    <row r="2200" spans="1:1">
      <c r="A2200" s="32"/>
    </row>
    <row r="2201" spans="1:1">
      <c r="A2201" s="32"/>
    </row>
    <row r="2202" spans="1:1">
      <c r="A2202" s="32"/>
    </row>
    <row r="2203" spans="1:1">
      <c r="A2203" s="32"/>
    </row>
    <row r="2204" spans="1:1">
      <c r="A2204" s="32"/>
    </row>
    <row r="2205" spans="1:1">
      <c r="A2205" s="32"/>
    </row>
    <row r="2206" spans="1:1">
      <c r="A2206" s="32"/>
    </row>
    <row r="2207" spans="1:1">
      <c r="A2207" s="32"/>
    </row>
    <row r="2208" spans="1:1">
      <c r="A2208" s="32"/>
    </row>
    <row r="2209" spans="1:1">
      <c r="A2209" s="32"/>
    </row>
    <row r="2210" spans="1:1">
      <c r="A2210" s="32"/>
    </row>
    <row r="2211" spans="1:1">
      <c r="A2211" s="32"/>
    </row>
    <row r="2212" spans="1:1">
      <c r="A2212" s="32"/>
    </row>
    <row r="2213" spans="1:1">
      <c r="A2213" s="32"/>
    </row>
    <row r="2214" spans="1:1">
      <c r="A2214" s="32"/>
    </row>
    <row r="2215" spans="1:1">
      <c r="A2215" s="32"/>
    </row>
    <row r="2216" spans="1:1">
      <c r="A2216" s="32"/>
    </row>
    <row r="2217" spans="1:1">
      <c r="A2217" s="32"/>
    </row>
    <row r="2218" spans="1:1">
      <c r="A2218" s="32"/>
    </row>
    <row r="2219" spans="1:1">
      <c r="A2219" s="32"/>
    </row>
    <row r="2220" spans="1:1">
      <c r="A2220" s="32"/>
    </row>
    <row r="2221" spans="1:1">
      <c r="A2221" s="32"/>
    </row>
    <row r="2222" spans="1:1">
      <c r="A2222" s="32"/>
    </row>
    <row r="2223" spans="1:1">
      <c r="A2223" s="32"/>
    </row>
    <row r="2224" spans="1:1">
      <c r="A2224" s="32"/>
    </row>
    <row r="2225" spans="1:1">
      <c r="A2225" s="32"/>
    </row>
    <row r="2226" spans="1:1">
      <c r="A2226" s="32"/>
    </row>
    <row r="2227" spans="1:1">
      <c r="A2227" s="32"/>
    </row>
    <row r="2228" spans="1:1">
      <c r="A2228" s="32"/>
    </row>
    <row r="2229" spans="1:1">
      <c r="A2229" s="32"/>
    </row>
    <row r="2230" spans="1:1">
      <c r="A2230" s="32"/>
    </row>
    <row r="2231" spans="1:1">
      <c r="A2231" s="32"/>
    </row>
    <row r="2232" spans="1:1">
      <c r="A2232" s="32"/>
    </row>
    <row r="2233" spans="1:1">
      <c r="A2233" s="32"/>
    </row>
    <row r="2234" spans="1:1">
      <c r="A2234" s="32"/>
    </row>
    <row r="2235" spans="1:1">
      <c r="A2235" s="32"/>
    </row>
    <row r="2236" spans="1:1">
      <c r="A2236" s="32"/>
    </row>
    <row r="2237" spans="1:1">
      <c r="A2237" s="32"/>
    </row>
    <row r="2238" spans="1:1">
      <c r="A2238" s="32"/>
    </row>
    <row r="2239" spans="1:1">
      <c r="A2239" s="32"/>
    </row>
    <row r="2240" spans="1:1">
      <c r="A2240" s="32"/>
    </row>
    <row r="2241" spans="1:1">
      <c r="A2241" s="32"/>
    </row>
    <row r="2242" spans="1:1">
      <c r="A2242" s="32"/>
    </row>
    <row r="2243" spans="1:1">
      <c r="A2243" s="32"/>
    </row>
    <row r="2244" spans="1:1">
      <c r="A2244" s="32"/>
    </row>
    <row r="2245" spans="1:1">
      <c r="A2245" s="32"/>
    </row>
    <row r="2246" spans="1:1">
      <c r="A2246" s="32"/>
    </row>
    <row r="2247" spans="1:1">
      <c r="A2247" s="32"/>
    </row>
    <row r="2248" spans="1:1">
      <c r="A2248" s="32"/>
    </row>
    <row r="2249" spans="1:1">
      <c r="A2249" s="32"/>
    </row>
    <row r="2250" spans="1:1">
      <c r="A2250" s="32"/>
    </row>
    <row r="2251" spans="1:1">
      <c r="A2251" s="32"/>
    </row>
    <row r="2252" spans="1:1">
      <c r="A2252" s="32"/>
    </row>
    <row r="2253" spans="1:1">
      <c r="A2253" s="32"/>
    </row>
    <row r="2254" spans="1:1">
      <c r="A2254" s="32"/>
    </row>
    <row r="2255" spans="1:1">
      <c r="A2255" s="32"/>
    </row>
    <row r="2256" spans="1:1">
      <c r="A2256" s="32"/>
    </row>
    <row r="2257" spans="1:1">
      <c r="A2257" s="32"/>
    </row>
    <row r="2258" spans="1:1">
      <c r="A2258" s="32"/>
    </row>
    <row r="2259" spans="1:1">
      <c r="A2259" s="32"/>
    </row>
    <row r="2260" spans="1:1">
      <c r="A2260" s="32"/>
    </row>
    <row r="2261" spans="1:1">
      <c r="A2261" s="32"/>
    </row>
    <row r="2262" spans="1:1">
      <c r="A2262" s="32"/>
    </row>
    <row r="2263" spans="1:1">
      <c r="A2263" s="32"/>
    </row>
    <row r="2264" spans="1:1">
      <c r="A2264" s="32"/>
    </row>
    <row r="2265" spans="1:1">
      <c r="A2265" s="32"/>
    </row>
    <row r="2266" spans="1:1">
      <c r="A2266" s="32"/>
    </row>
    <row r="2267" spans="1:1">
      <c r="A2267" s="32"/>
    </row>
    <row r="2268" spans="1:1">
      <c r="A2268" s="32"/>
    </row>
    <row r="2269" spans="1:1">
      <c r="A2269" s="32"/>
    </row>
    <row r="2270" spans="1:1">
      <c r="A2270" s="32"/>
    </row>
    <row r="2271" spans="1:1">
      <c r="A2271" s="32"/>
    </row>
    <row r="2272" spans="1:1">
      <c r="A2272" s="32"/>
    </row>
    <row r="2273" spans="1:1">
      <c r="A2273" s="32"/>
    </row>
    <row r="2274" spans="1:1">
      <c r="A2274" s="32"/>
    </row>
    <row r="2275" spans="1:1">
      <c r="A2275" s="32"/>
    </row>
    <row r="2276" spans="1:1">
      <c r="A2276" s="32"/>
    </row>
    <row r="2277" spans="1:1">
      <c r="A2277" s="32"/>
    </row>
    <row r="2278" spans="1:1">
      <c r="A2278" s="32"/>
    </row>
    <row r="2279" spans="1:1">
      <c r="A2279" s="32"/>
    </row>
    <row r="2280" spans="1:1">
      <c r="A2280" s="32"/>
    </row>
    <row r="2281" spans="1:1">
      <c r="A2281" s="32"/>
    </row>
    <row r="2282" spans="1:1">
      <c r="A2282" s="32"/>
    </row>
    <row r="2283" spans="1:1">
      <c r="A2283" s="32"/>
    </row>
    <row r="2284" spans="1:1">
      <c r="A2284" s="32"/>
    </row>
    <row r="2285" spans="1:1">
      <c r="A2285" s="32"/>
    </row>
    <row r="2286" spans="1:1">
      <c r="A2286" s="32"/>
    </row>
    <row r="2287" spans="1:1">
      <c r="A2287" s="32"/>
    </row>
    <row r="2288" spans="1:1">
      <c r="A2288" s="32"/>
    </row>
    <row r="2289" spans="1:1">
      <c r="A2289" s="32"/>
    </row>
    <row r="2290" spans="1:1">
      <c r="A2290" s="32"/>
    </row>
    <row r="2291" spans="1:1">
      <c r="A2291" s="32"/>
    </row>
    <row r="2292" spans="1:1">
      <c r="A2292" s="32"/>
    </row>
    <row r="2293" spans="1:1">
      <c r="A2293" s="32"/>
    </row>
    <row r="2294" spans="1:1">
      <c r="A2294" s="32"/>
    </row>
    <row r="2295" spans="1:1">
      <c r="A2295" s="32"/>
    </row>
    <row r="2296" spans="1:1">
      <c r="A2296" s="32"/>
    </row>
    <row r="2297" spans="1:1">
      <c r="A2297" s="32"/>
    </row>
    <row r="2298" spans="1:1">
      <c r="A2298" s="32"/>
    </row>
    <row r="2299" spans="1:1">
      <c r="A2299" s="32"/>
    </row>
    <row r="2300" spans="1:1">
      <c r="A2300" s="32"/>
    </row>
    <row r="2301" spans="1:1">
      <c r="A2301" s="32"/>
    </row>
    <row r="2302" spans="1:1">
      <c r="A2302" s="32"/>
    </row>
    <row r="2303" spans="1:1">
      <c r="A2303" s="32"/>
    </row>
    <row r="2304" spans="1:1">
      <c r="A2304" s="32"/>
    </row>
    <row r="2305" spans="1:1">
      <c r="A2305" s="32"/>
    </row>
    <row r="2306" spans="1:1">
      <c r="A2306" s="32"/>
    </row>
    <row r="2307" spans="1:1">
      <c r="A2307" s="32"/>
    </row>
    <row r="2308" spans="1:1">
      <c r="A2308" s="32"/>
    </row>
    <row r="2309" spans="1:1">
      <c r="A2309" s="32"/>
    </row>
    <row r="2310" spans="1:1">
      <c r="A2310" s="32"/>
    </row>
    <row r="2311" spans="1:1">
      <c r="A2311" s="32"/>
    </row>
    <row r="2312" spans="1:1">
      <c r="A2312" s="32"/>
    </row>
    <row r="2313" spans="1:1">
      <c r="A2313" s="32"/>
    </row>
    <row r="2314" spans="1:1">
      <c r="A2314" s="32"/>
    </row>
    <row r="2315" spans="1:1">
      <c r="A2315" s="32"/>
    </row>
    <row r="2316" spans="1:1">
      <c r="A2316" s="32"/>
    </row>
    <row r="2317" spans="1:1">
      <c r="A2317" s="32"/>
    </row>
    <row r="2318" spans="1:1">
      <c r="A2318" s="32"/>
    </row>
    <row r="2319" spans="1:1">
      <c r="A2319" s="32"/>
    </row>
    <row r="2320" spans="1:1">
      <c r="A2320" s="32"/>
    </row>
    <row r="2321" spans="1:1">
      <c r="A2321" s="32"/>
    </row>
    <row r="2322" spans="1:1">
      <c r="A2322" s="32"/>
    </row>
    <row r="2323" spans="1:1">
      <c r="A2323" s="32"/>
    </row>
    <row r="2324" spans="1:1">
      <c r="A2324" s="32"/>
    </row>
    <row r="2325" spans="1:1">
      <c r="A2325" s="32"/>
    </row>
    <row r="2326" spans="1:1">
      <c r="A2326" s="32"/>
    </row>
    <row r="2327" spans="1:1">
      <c r="A2327" s="32"/>
    </row>
    <row r="2328" spans="1:1">
      <c r="A2328" s="32"/>
    </row>
    <row r="2329" spans="1:1">
      <c r="A2329" s="32"/>
    </row>
    <row r="2330" spans="1:1">
      <c r="A2330" s="32"/>
    </row>
    <row r="2331" spans="1:1">
      <c r="A2331" s="32"/>
    </row>
    <row r="2332" spans="1:1">
      <c r="A2332" s="32"/>
    </row>
    <row r="2333" spans="1:1">
      <c r="A2333" s="32"/>
    </row>
    <row r="2334" spans="1:1">
      <c r="A2334" s="32"/>
    </row>
    <row r="2335" spans="1:1">
      <c r="A2335" s="32"/>
    </row>
    <row r="2336" spans="1:1">
      <c r="A2336" s="32"/>
    </row>
    <row r="2337" spans="1:1">
      <c r="A2337" s="32"/>
    </row>
    <row r="2338" spans="1:1">
      <c r="A2338" s="32"/>
    </row>
    <row r="2339" spans="1:1">
      <c r="A2339" s="32"/>
    </row>
    <row r="2340" spans="1:1">
      <c r="A2340" s="32"/>
    </row>
    <row r="2341" spans="1:1">
      <c r="A2341" s="32"/>
    </row>
    <row r="2342" spans="1:1">
      <c r="A2342" s="32"/>
    </row>
    <row r="2343" spans="1:1">
      <c r="A2343" s="32"/>
    </row>
    <row r="2344" spans="1:1">
      <c r="A2344" s="32"/>
    </row>
    <row r="2345" spans="1:1">
      <c r="A2345" s="32"/>
    </row>
    <row r="2346" spans="1:1">
      <c r="A2346" s="32"/>
    </row>
    <row r="2347" spans="1:1">
      <c r="A2347" s="32"/>
    </row>
    <row r="2348" spans="1:1">
      <c r="A2348" s="32"/>
    </row>
    <row r="2349" spans="1:1">
      <c r="A2349" s="32"/>
    </row>
    <row r="2350" spans="1:1">
      <c r="A2350" s="32"/>
    </row>
    <row r="2351" spans="1:1">
      <c r="A2351" s="32"/>
    </row>
    <row r="2352" spans="1:1">
      <c r="A2352" s="32"/>
    </row>
    <row r="2353" spans="1:1">
      <c r="A2353" s="32"/>
    </row>
    <row r="2354" spans="1:1">
      <c r="A2354" s="32"/>
    </row>
    <row r="2355" spans="1:1">
      <c r="A2355" s="32"/>
    </row>
    <row r="2356" spans="1:1">
      <c r="A2356" s="32"/>
    </row>
    <row r="2357" spans="1:1">
      <c r="A2357" s="32"/>
    </row>
    <row r="2358" spans="1:1">
      <c r="A2358" s="32"/>
    </row>
    <row r="2359" spans="1:1">
      <c r="A2359" s="32"/>
    </row>
    <row r="2360" spans="1:1">
      <c r="A2360" s="32"/>
    </row>
    <row r="2361" spans="1:1">
      <c r="A2361" s="32"/>
    </row>
    <row r="2362" spans="1:1">
      <c r="A2362" s="32"/>
    </row>
    <row r="2363" spans="1:1">
      <c r="A2363" s="32"/>
    </row>
    <row r="2364" spans="1:1">
      <c r="A2364" s="32"/>
    </row>
    <row r="2365" spans="1:1">
      <c r="A2365" s="32"/>
    </row>
    <row r="2366" spans="1:1">
      <c r="A2366" s="32"/>
    </row>
    <row r="2367" spans="1:1">
      <c r="A2367" s="32"/>
    </row>
    <row r="2368" spans="1:1">
      <c r="A2368" s="32"/>
    </row>
    <row r="2369" spans="1:1">
      <c r="A2369" s="32"/>
    </row>
    <row r="2370" spans="1:1">
      <c r="A2370" s="32"/>
    </row>
    <row r="2371" spans="1:1">
      <c r="A2371" s="32"/>
    </row>
    <row r="2372" spans="1:1">
      <c r="A2372" s="32"/>
    </row>
    <row r="2373" spans="1:1">
      <c r="A2373" s="32"/>
    </row>
    <row r="2374" spans="1:1">
      <c r="A2374" s="32"/>
    </row>
    <row r="2375" spans="1:1">
      <c r="A2375" s="32"/>
    </row>
    <row r="2376" spans="1:1">
      <c r="A2376" s="32"/>
    </row>
    <row r="2377" spans="1:1">
      <c r="A2377" s="32"/>
    </row>
    <row r="2378" spans="1:1">
      <c r="A2378" s="32"/>
    </row>
    <row r="2379" spans="1:1">
      <c r="A2379" s="32"/>
    </row>
    <row r="2380" spans="1:1">
      <c r="A2380" s="32"/>
    </row>
    <row r="2381" spans="1:1">
      <c r="A2381" s="32"/>
    </row>
    <row r="2382" spans="1:1">
      <c r="A2382" s="32"/>
    </row>
    <row r="2383" spans="1:1">
      <c r="A2383" s="32"/>
    </row>
    <row r="2384" spans="1:1">
      <c r="A2384" s="32"/>
    </row>
    <row r="2385" spans="1:1">
      <c r="A2385" s="32"/>
    </row>
    <row r="2386" spans="1:1">
      <c r="A2386" s="32"/>
    </row>
    <row r="2387" spans="1:1">
      <c r="A2387" s="32"/>
    </row>
    <row r="2388" spans="1:1">
      <c r="A2388" s="32"/>
    </row>
    <row r="2389" spans="1:1">
      <c r="A2389" s="32"/>
    </row>
    <row r="2390" spans="1:1">
      <c r="A2390" s="32"/>
    </row>
    <row r="2391" spans="1:1">
      <c r="A2391" s="32"/>
    </row>
    <row r="2392" spans="1:1">
      <c r="A2392" s="32"/>
    </row>
    <row r="2393" spans="1:1">
      <c r="A2393" s="32"/>
    </row>
    <row r="2394" spans="1:1">
      <c r="A2394" s="32"/>
    </row>
    <row r="2395" spans="1:1">
      <c r="A2395" s="32"/>
    </row>
    <row r="2396" spans="1:1">
      <c r="A2396" s="32"/>
    </row>
    <row r="2397" spans="1:1">
      <c r="A2397" s="32"/>
    </row>
    <row r="2398" spans="1:1">
      <c r="A2398" s="32"/>
    </row>
    <row r="2399" spans="1:1">
      <c r="A2399" s="32"/>
    </row>
    <row r="2400" spans="1:1">
      <c r="A2400" s="32"/>
    </row>
    <row r="2401" spans="1:1">
      <c r="A2401" s="32"/>
    </row>
    <row r="2402" spans="1:1">
      <c r="A2402" s="32"/>
    </row>
    <row r="2403" spans="1:1">
      <c r="A2403" s="32"/>
    </row>
    <row r="2404" spans="1:1">
      <c r="A2404" s="32"/>
    </row>
    <row r="2405" spans="1:1">
      <c r="A2405" s="32"/>
    </row>
    <row r="2406" spans="1:1">
      <c r="A2406" s="32"/>
    </row>
    <row r="2407" spans="1:1">
      <c r="A2407" s="32"/>
    </row>
    <row r="2408" spans="1:1">
      <c r="A2408" s="32"/>
    </row>
    <row r="2409" spans="1:1">
      <c r="A2409" s="32"/>
    </row>
    <row r="2410" spans="1:1">
      <c r="A2410" s="32"/>
    </row>
    <row r="2411" spans="1:1">
      <c r="A2411" s="32"/>
    </row>
    <row r="2412" spans="1:1">
      <c r="A2412" s="32"/>
    </row>
    <row r="2413" spans="1:1">
      <c r="A2413" s="32"/>
    </row>
    <row r="2414" spans="1:1">
      <c r="A2414" s="32"/>
    </row>
    <row r="2415" spans="1:1">
      <c r="A2415" s="32"/>
    </row>
    <row r="2416" spans="1:1">
      <c r="A2416" s="32"/>
    </row>
    <row r="2417" spans="1:1">
      <c r="A2417" s="32"/>
    </row>
    <row r="2418" spans="1:1">
      <c r="A2418" s="32"/>
    </row>
    <row r="2419" spans="1:1">
      <c r="A2419" s="32"/>
    </row>
    <row r="2420" spans="1:1">
      <c r="A2420" s="32"/>
    </row>
    <row r="2421" spans="1:1">
      <c r="A2421" s="32"/>
    </row>
    <row r="2422" spans="1:1">
      <c r="A2422" s="32"/>
    </row>
    <row r="2423" spans="1:1">
      <c r="A2423" s="32"/>
    </row>
    <row r="2424" spans="1:1">
      <c r="A2424" s="32"/>
    </row>
    <row r="2425" spans="1:1">
      <c r="A2425" s="32"/>
    </row>
    <row r="2426" spans="1:1">
      <c r="A2426" s="32"/>
    </row>
    <row r="2427" spans="1:1">
      <c r="A2427" s="32"/>
    </row>
    <row r="2428" spans="1:1">
      <c r="A2428" s="32"/>
    </row>
    <row r="2429" spans="1:1">
      <c r="A2429" s="32"/>
    </row>
    <row r="2430" spans="1:1">
      <c r="A2430" s="32"/>
    </row>
    <row r="2431" spans="1:1">
      <c r="A2431" s="32"/>
    </row>
    <row r="2432" spans="1:1">
      <c r="A2432" s="32"/>
    </row>
    <row r="2433" spans="1:1">
      <c r="A2433" s="32"/>
    </row>
    <row r="2434" spans="1:1">
      <c r="A2434" s="32"/>
    </row>
    <row r="2435" spans="1:1">
      <c r="A2435" s="32"/>
    </row>
    <row r="2436" spans="1:1">
      <c r="A2436" s="32"/>
    </row>
    <row r="2437" spans="1:1">
      <c r="A2437" s="32"/>
    </row>
    <row r="2438" spans="1:1">
      <c r="A2438" s="32"/>
    </row>
    <row r="2439" spans="1:1">
      <c r="A2439" s="32"/>
    </row>
    <row r="2440" spans="1:1">
      <c r="A2440" s="32"/>
    </row>
    <row r="2441" spans="1:1">
      <c r="A2441" s="32"/>
    </row>
    <row r="2442" spans="1:1">
      <c r="A2442" s="32"/>
    </row>
    <row r="2443" spans="1:1">
      <c r="A2443" s="32"/>
    </row>
    <row r="2444" spans="1:1">
      <c r="A2444" s="32"/>
    </row>
    <row r="2445" spans="1:1">
      <c r="A2445" s="32"/>
    </row>
    <row r="2446" spans="1:1">
      <c r="A2446" s="32"/>
    </row>
    <row r="2447" spans="1:1">
      <c r="A2447" s="32"/>
    </row>
    <row r="2448" spans="1:1">
      <c r="A2448" s="32"/>
    </row>
    <row r="2449" spans="1:1">
      <c r="A2449" s="32"/>
    </row>
    <row r="2450" spans="1:1">
      <c r="A2450" s="32"/>
    </row>
    <row r="2451" spans="1:1">
      <c r="A2451" s="32"/>
    </row>
    <row r="2452" spans="1:1">
      <c r="A2452" s="32"/>
    </row>
    <row r="2453" spans="1:1">
      <c r="A2453" s="32"/>
    </row>
    <row r="2454" spans="1:1">
      <c r="A2454" s="32"/>
    </row>
    <row r="2455" spans="1:1">
      <c r="A2455" s="32"/>
    </row>
    <row r="2456" spans="1:1">
      <c r="A2456" s="32"/>
    </row>
    <row r="2457" spans="1:1">
      <c r="A2457" s="32"/>
    </row>
    <row r="2458" spans="1:1">
      <c r="A2458" s="32"/>
    </row>
    <row r="2459" spans="1:1">
      <c r="A2459" s="32"/>
    </row>
    <row r="2460" spans="1:1">
      <c r="A2460" s="32"/>
    </row>
    <row r="2461" spans="1:1">
      <c r="A2461" s="32"/>
    </row>
    <row r="2462" spans="1:1">
      <c r="A2462" s="32"/>
    </row>
    <row r="2463" spans="1:1">
      <c r="A2463" s="32"/>
    </row>
    <row r="2464" spans="1:1">
      <c r="A2464" s="32"/>
    </row>
    <row r="2465" spans="1:1">
      <c r="A2465" s="32"/>
    </row>
    <row r="2466" spans="1:1">
      <c r="A2466" s="32"/>
    </row>
    <row r="2467" spans="1:1">
      <c r="A2467" s="32"/>
    </row>
    <row r="2468" spans="1:1">
      <c r="A2468" s="32"/>
    </row>
    <row r="2469" spans="1:1">
      <c r="A2469" s="32"/>
    </row>
    <row r="2470" spans="1:1">
      <c r="A2470" s="32"/>
    </row>
    <row r="2471" spans="1:1">
      <c r="A2471" s="32"/>
    </row>
    <row r="2472" spans="1:1">
      <c r="A2472" s="32"/>
    </row>
    <row r="2473" spans="1:1">
      <c r="A2473" s="32"/>
    </row>
    <row r="2474" spans="1:1">
      <c r="A2474" s="32"/>
    </row>
    <row r="2475" spans="1:1">
      <c r="A2475" s="32"/>
    </row>
    <row r="2476" spans="1:1">
      <c r="A2476" s="32"/>
    </row>
    <row r="2477" spans="1:1">
      <c r="A2477" s="32"/>
    </row>
    <row r="2478" spans="1:1">
      <c r="A2478" s="32"/>
    </row>
    <row r="2479" spans="1:1">
      <c r="A2479" s="32"/>
    </row>
    <row r="2480" spans="1:1">
      <c r="A2480" s="32"/>
    </row>
    <row r="2481" spans="1:1">
      <c r="A2481" s="32"/>
    </row>
    <row r="2482" spans="1:1">
      <c r="A2482" s="32"/>
    </row>
    <row r="2483" spans="1:1">
      <c r="A2483" s="32"/>
    </row>
    <row r="2484" spans="1:1">
      <c r="A2484" s="32"/>
    </row>
    <row r="2485" spans="1:1">
      <c r="A2485" s="32"/>
    </row>
    <row r="2486" spans="1:1">
      <c r="A2486" s="32"/>
    </row>
    <row r="2487" spans="1:1">
      <c r="A2487" s="32"/>
    </row>
    <row r="2488" spans="1:1">
      <c r="A2488" s="32"/>
    </row>
    <row r="2489" spans="1:1">
      <c r="A2489" s="32"/>
    </row>
    <row r="2490" spans="1:1">
      <c r="A2490" s="32"/>
    </row>
    <row r="2491" spans="1:1">
      <c r="A2491" s="32"/>
    </row>
    <row r="2492" spans="1:1">
      <c r="A2492" s="32"/>
    </row>
    <row r="2493" spans="1:1">
      <c r="A2493" s="32"/>
    </row>
    <row r="2494" spans="1:1">
      <c r="A2494" s="32"/>
    </row>
    <row r="2495" spans="1:1">
      <c r="A2495" s="32"/>
    </row>
    <row r="2496" spans="1:1">
      <c r="A2496" s="32"/>
    </row>
    <row r="2497" spans="1:1">
      <c r="A2497" s="32"/>
    </row>
    <row r="2498" spans="1:1">
      <c r="A2498" s="32"/>
    </row>
    <row r="2499" spans="1:1">
      <c r="A2499" s="32"/>
    </row>
    <row r="2500" spans="1:1">
      <c r="A2500" s="32"/>
    </row>
    <row r="2501" spans="1:1">
      <c r="A2501" s="32"/>
    </row>
    <row r="2502" spans="1:1">
      <c r="A2502" s="32"/>
    </row>
    <row r="2503" spans="1:1">
      <c r="A2503" s="32"/>
    </row>
    <row r="2504" spans="1:1">
      <c r="A2504" s="32"/>
    </row>
    <row r="2505" spans="1:1">
      <c r="A2505" s="32"/>
    </row>
    <row r="2506" spans="1:1">
      <c r="A2506" s="32"/>
    </row>
    <row r="2507" spans="1:1">
      <c r="A2507" s="32"/>
    </row>
    <row r="2508" spans="1:1">
      <c r="A2508" s="32"/>
    </row>
    <row r="2509" spans="1:1">
      <c r="A2509" s="32"/>
    </row>
    <row r="2510" spans="1:1">
      <c r="A2510" s="32"/>
    </row>
    <row r="2511" spans="1:1">
      <c r="A2511" s="32"/>
    </row>
    <row r="2512" spans="1:1">
      <c r="A2512" s="32"/>
    </row>
    <row r="2513" spans="1:1">
      <c r="A2513" s="32"/>
    </row>
    <row r="2514" spans="1:1">
      <c r="A2514" s="32"/>
    </row>
    <row r="2515" spans="1:1">
      <c r="A2515" s="32"/>
    </row>
    <row r="2516" spans="1:1">
      <c r="A2516" s="32"/>
    </row>
    <row r="2517" spans="1:1">
      <c r="A2517" s="32"/>
    </row>
    <row r="2518" spans="1:1">
      <c r="A2518" s="32"/>
    </row>
    <row r="2519" spans="1:1">
      <c r="A2519" s="32"/>
    </row>
    <row r="2520" spans="1:1">
      <c r="A2520" s="32"/>
    </row>
    <row r="2521" spans="1:1">
      <c r="A2521" s="32"/>
    </row>
    <row r="2522" spans="1:1">
      <c r="A2522" s="32"/>
    </row>
    <row r="2523" spans="1:1">
      <c r="A2523" s="32"/>
    </row>
    <row r="2524" spans="1:1">
      <c r="A2524" s="32"/>
    </row>
    <row r="2525" spans="1:1">
      <c r="A2525" s="32"/>
    </row>
    <row r="2526" spans="1:1">
      <c r="A2526" s="32"/>
    </row>
    <row r="2527" spans="1:1">
      <c r="A2527" s="32"/>
    </row>
    <row r="2528" spans="1:1">
      <c r="A2528" s="32"/>
    </row>
    <row r="2529" spans="1:1">
      <c r="A2529" s="32"/>
    </row>
    <row r="2530" spans="1:1">
      <c r="A2530" s="32"/>
    </row>
    <row r="2531" spans="1:1">
      <c r="A2531" s="32"/>
    </row>
    <row r="2532" spans="1:1">
      <c r="A2532" s="32"/>
    </row>
    <row r="2533" spans="1:1">
      <c r="A2533" s="32"/>
    </row>
    <row r="2534" spans="1:1">
      <c r="A2534" s="32"/>
    </row>
    <row r="2535" spans="1:1">
      <c r="A2535" s="32"/>
    </row>
    <row r="2536" spans="1:1">
      <c r="A2536" s="32"/>
    </row>
    <row r="2537" spans="1:1">
      <c r="A2537" s="32"/>
    </row>
    <row r="2538" spans="1:1">
      <c r="A2538" s="32"/>
    </row>
    <row r="2539" spans="1:1">
      <c r="A2539" s="32"/>
    </row>
    <row r="2540" spans="1:1">
      <c r="A2540" s="32"/>
    </row>
    <row r="2541" spans="1:1">
      <c r="A2541" s="32"/>
    </row>
    <row r="2542" spans="1:1">
      <c r="A2542" s="32"/>
    </row>
    <row r="2543" spans="1:1">
      <c r="A2543" s="32"/>
    </row>
    <row r="2544" spans="1:1">
      <c r="A2544" s="32"/>
    </row>
    <row r="2545" spans="1:1">
      <c r="A2545" s="32"/>
    </row>
    <row r="2546" spans="1:1">
      <c r="A2546" s="32"/>
    </row>
    <row r="2547" spans="1:1">
      <c r="A2547" s="32"/>
    </row>
    <row r="2548" spans="1:1">
      <c r="A2548" s="32"/>
    </row>
    <row r="2549" spans="1:1">
      <c r="A2549" s="32"/>
    </row>
    <row r="2550" spans="1:1">
      <c r="A2550" s="32"/>
    </row>
    <row r="2551" spans="1:1">
      <c r="A2551" s="32"/>
    </row>
    <row r="2552" spans="1:1">
      <c r="A2552" s="32"/>
    </row>
    <row r="2553" spans="1:1">
      <c r="A2553" s="32"/>
    </row>
    <row r="2554" spans="1:1">
      <c r="A2554" s="32"/>
    </row>
    <row r="2555" spans="1:1">
      <c r="A2555" s="32"/>
    </row>
    <row r="2556" spans="1:1">
      <c r="A2556" s="32"/>
    </row>
    <row r="2557" spans="1:1">
      <c r="A2557" s="32"/>
    </row>
    <row r="2558" spans="1:1">
      <c r="A2558" s="32"/>
    </row>
    <row r="2559" spans="1:1">
      <c r="A2559" s="32"/>
    </row>
    <row r="2560" spans="1:1">
      <c r="A2560" s="32"/>
    </row>
    <row r="2561" spans="1:1">
      <c r="A2561" s="32"/>
    </row>
    <row r="2562" spans="1:1">
      <c r="A2562" s="32"/>
    </row>
    <row r="2563" spans="1:1">
      <c r="A2563" s="32"/>
    </row>
    <row r="2564" spans="1:1">
      <c r="A2564" s="32"/>
    </row>
    <row r="2565" spans="1:1">
      <c r="A2565" s="32"/>
    </row>
    <row r="2566" spans="1:1">
      <c r="A2566" s="32"/>
    </row>
    <row r="2567" spans="1:1">
      <c r="A2567" s="32"/>
    </row>
    <row r="2568" spans="1:1">
      <c r="A2568" s="32"/>
    </row>
    <row r="2569" spans="1:1">
      <c r="A2569" s="32"/>
    </row>
    <row r="2570" spans="1:1">
      <c r="A2570" s="32"/>
    </row>
    <row r="2571" spans="1:1">
      <c r="A2571" s="32"/>
    </row>
    <row r="2572" spans="1:1">
      <c r="A2572" s="32"/>
    </row>
    <row r="2573" spans="1:1">
      <c r="A2573" s="32"/>
    </row>
    <row r="2574" spans="1:1">
      <c r="A2574" s="32"/>
    </row>
    <row r="2575" spans="1:1">
      <c r="A2575" s="32"/>
    </row>
    <row r="2576" spans="1:1">
      <c r="A2576" s="32"/>
    </row>
    <row r="2577" spans="1:1">
      <c r="A2577" s="32"/>
    </row>
    <row r="2578" spans="1:1">
      <c r="A2578" s="32"/>
    </row>
    <row r="2579" spans="1:1">
      <c r="A2579" s="32"/>
    </row>
    <row r="2580" spans="1:1">
      <c r="A2580" s="32"/>
    </row>
    <row r="2581" spans="1:1">
      <c r="A2581" s="32"/>
    </row>
    <row r="2582" spans="1:1">
      <c r="A2582" s="32"/>
    </row>
    <row r="2583" spans="1:1">
      <c r="A2583" s="32"/>
    </row>
    <row r="2584" spans="1:1">
      <c r="A2584" s="32"/>
    </row>
    <row r="2585" spans="1:1">
      <c r="A2585" s="32"/>
    </row>
    <row r="2586" spans="1:1">
      <c r="A2586" s="32"/>
    </row>
    <row r="2587" spans="1:1">
      <c r="A2587" s="32"/>
    </row>
    <row r="2588" spans="1:1">
      <c r="A2588" s="32"/>
    </row>
    <row r="2589" spans="1:1">
      <c r="A2589" s="32"/>
    </row>
    <row r="2590" spans="1:1">
      <c r="A2590" s="32"/>
    </row>
    <row r="2591" spans="1:1">
      <c r="A2591" s="32"/>
    </row>
    <row r="2592" spans="1:1">
      <c r="A2592" s="32"/>
    </row>
    <row r="2593" spans="1:1">
      <c r="A2593" s="32"/>
    </row>
    <row r="2594" spans="1:1">
      <c r="A2594" s="32"/>
    </row>
    <row r="2595" spans="1:1">
      <c r="A2595" s="32"/>
    </row>
    <row r="2596" spans="1:1">
      <c r="A2596" s="32"/>
    </row>
    <row r="2597" spans="1:1">
      <c r="A2597" s="32"/>
    </row>
    <row r="2598" spans="1:1">
      <c r="A2598" s="32"/>
    </row>
    <row r="2599" spans="1:1">
      <c r="A2599" s="32"/>
    </row>
    <row r="2600" spans="1:1">
      <c r="A2600" s="32"/>
    </row>
    <row r="2601" spans="1:1">
      <c r="A2601" s="32"/>
    </row>
    <row r="2602" spans="1:1">
      <c r="A2602" s="32"/>
    </row>
    <row r="2603" spans="1:1">
      <c r="A2603" s="32"/>
    </row>
    <row r="2604" spans="1:1">
      <c r="A2604" s="32"/>
    </row>
    <row r="2605" spans="1:1">
      <c r="A2605" s="32"/>
    </row>
    <row r="2606" spans="1:1">
      <c r="A2606" s="32"/>
    </row>
    <row r="2607" spans="1:1">
      <c r="A2607" s="32"/>
    </row>
    <row r="2608" spans="1:1">
      <c r="A2608" s="32"/>
    </row>
    <row r="2609" spans="1:1">
      <c r="A2609" s="32"/>
    </row>
    <row r="2610" spans="1:1">
      <c r="A2610" s="32"/>
    </row>
    <row r="2611" spans="1:1">
      <c r="A2611" s="32"/>
    </row>
    <row r="2612" spans="1:1">
      <c r="A2612" s="32"/>
    </row>
    <row r="2613" spans="1:1">
      <c r="A2613" s="32"/>
    </row>
    <row r="2614" spans="1:1">
      <c r="A2614" s="32"/>
    </row>
    <row r="2615" spans="1:1">
      <c r="A2615" s="32"/>
    </row>
    <row r="2616" spans="1:1">
      <c r="A2616" s="32"/>
    </row>
    <row r="2617" spans="1:1">
      <c r="A2617" s="32"/>
    </row>
    <row r="2618" spans="1:1">
      <c r="A2618" s="32"/>
    </row>
    <row r="2619" spans="1:1">
      <c r="A2619" s="32"/>
    </row>
    <row r="2620" spans="1:1">
      <c r="A2620" s="32"/>
    </row>
    <row r="2621" spans="1:1">
      <c r="A2621" s="32"/>
    </row>
    <row r="2622" spans="1:1">
      <c r="A2622" s="32"/>
    </row>
    <row r="2623" spans="1:1">
      <c r="A2623" s="32"/>
    </row>
    <row r="2624" spans="1:1">
      <c r="A2624" s="32"/>
    </row>
    <row r="2625" spans="1:1">
      <c r="A2625" s="32"/>
    </row>
    <row r="2626" spans="1:1">
      <c r="A2626" s="32"/>
    </row>
    <row r="2627" spans="1:1">
      <c r="A2627" s="32"/>
    </row>
    <row r="2628" spans="1:1">
      <c r="A2628" s="32"/>
    </row>
    <row r="2629" spans="1:1">
      <c r="A2629" s="32"/>
    </row>
    <row r="2630" spans="1:1">
      <c r="A2630" s="32"/>
    </row>
    <row r="2631" spans="1:1">
      <c r="A2631" s="32"/>
    </row>
    <row r="2632" spans="1:1">
      <c r="A2632" s="32"/>
    </row>
    <row r="2633" spans="1:1">
      <c r="A2633" s="32"/>
    </row>
    <row r="2634" spans="1:1">
      <c r="A2634" s="32"/>
    </row>
    <row r="2635" spans="1:1">
      <c r="A2635" s="32"/>
    </row>
    <row r="2636" spans="1:1">
      <c r="A2636" s="32"/>
    </row>
    <row r="2637" spans="1:1">
      <c r="A2637" s="32"/>
    </row>
    <row r="2638" spans="1:1">
      <c r="A2638" s="32"/>
    </row>
    <row r="2639" spans="1:1">
      <c r="A2639" s="32"/>
    </row>
    <row r="2640" spans="1:1">
      <c r="A2640" s="32"/>
    </row>
    <row r="2641" spans="1:1">
      <c r="A2641" s="32"/>
    </row>
    <row r="2642" spans="1:1">
      <c r="A2642" s="32"/>
    </row>
    <row r="2643" spans="1:1">
      <c r="A2643" s="32"/>
    </row>
    <row r="2644" spans="1:1">
      <c r="A2644" s="32"/>
    </row>
    <row r="2645" spans="1:1">
      <c r="A2645" s="32"/>
    </row>
    <row r="2646" spans="1:1">
      <c r="A2646" s="32"/>
    </row>
    <row r="2647" spans="1:1">
      <c r="A2647" s="32"/>
    </row>
    <row r="2648" spans="1:1">
      <c r="A2648" s="32"/>
    </row>
    <row r="2649" spans="1:1">
      <c r="A2649" s="32"/>
    </row>
    <row r="2650" spans="1:1">
      <c r="A2650" s="32"/>
    </row>
    <row r="2651" spans="1:1">
      <c r="A2651" s="32"/>
    </row>
    <row r="2652" spans="1:1">
      <c r="A2652" s="32"/>
    </row>
    <row r="2653" spans="1:1">
      <c r="A2653" s="32"/>
    </row>
    <row r="2654" spans="1:1">
      <c r="A2654" s="32"/>
    </row>
    <row r="2655" spans="1:1">
      <c r="A2655" s="32"/>
    </row>
    <row r="2656" spans="1:1">
      <c r="A2656" s="32"/>
    </row>
    <row r="2657" spans="1:1">
      <c r="A2657" s="32"/>
    </row>
    <row r="2658" spans="1:1">
      <c r="A2658" s="32"/>
    </row>
    <row r="2659" spans="1:1">
      <c r="A2659" s="32"/>
    </row>
    <row r="2660" spans="1:1">
      <c r="A2660" s="32"/>
    </row>
    <row r="2661" spans="1:1">
      <c r="A2661" s="32"/>
    </row>
    <row r="2662" spans="1:1">
      <c r="A2662" s="32"/>
    </row>
    <row r="2663" spans="1:1">
      <c r="A2663" s="32"/>
    </row>
    <row r="2664" spans="1:1">
      <c r="A2664" s="32"/>
    </row>
    <row r="2665" spans="1:1">
      <c r="A2665" s="32"/>
    </row>
    <row r="2666" spans="1:1">
      <c r="A2666" s="32"/>
    </row>
    <row r="2667" spans="1:1">
      <c r="A2667" s="32"/>
    </row>
    <row r="2668" spans="1:1">
      <c r="A2668" s="32"/>
    </row>
    <row r="2669" spans="1:1">
      <c r="A2669" s="32"/>
    </row>
    <row r="2670" spans="1:1">
      <c r="A2670" s="32"/>
    </row>
    <row r="2671" spans="1:1">
      <c r="A2671" s="32"/>
    </row>
    <row r="2672" spans="1:1">
      <c r="A2672" s="32"/>
    </row>
    <row r="2673" spans="1:1">
      <c r="A2673" s="32"/>
    </row>
    <row r="2674" spans="1:1">
      <c r="A2674" s="32"/>
    </row>
    <row r="2675" spans="1:1">
      <c r="A2675" s="32"/>
    </row>
    <row r="2676" spans="1:1">
      <c r="A2676" s="32"/>
    </row>
    <row r="2677" spans="1:1">
      <c r="A2677" s="32"/>
    </row>
    <row r="2678" spans="1:1">
      <c r="A2678" s="32"/>
    </row>
    <row r="2679" spans="1:1">
      <c r="A2679" s="32"/>
    </row>
    <row r="2680" spans="1:1">
      <c r="A2680" s="32"/>
    </row>
    <row r="2681" spans="1:1">
      <c r="A2681" s="32"/>
    </row>
    <row r="2682" spans="1:1">
      <c r="A2682" s="32"/>
    </row>
    <row r="2683" spans="1:1">
      <c r="A2683" s="32"/>
    </row>
    <row r="2684" spans="1:1">
      <c r="A2684" s="32"/>
    </row>
    <row r="2685" spans="1:1">
      <c r="A2685" s="32"/>
    </row>
    <row r="2686" spans="1:1">
      <c r="A2686" s="32"/>
    </row>
    <row r="2687" spans="1:1">
      <c r="A2687" s="32"/>
    </row>
    <row r="2688" spans="1:1">
      <c r="A2688" s="32"/>
    </row>
    <row r="2689" spans="1:1">
      <c r="A2689" s="32"/>
    </row>
    <row r="2690" spans="1:1">
      <c r="A2690" s="32"/>
    </row>
    <row r="2691" spans="1:1">
      <c r="A2691" s="32"/>
    </row>
    <row r="2692" spans="1:1">
      <c r="A2692" s="32"/>
    </row>
    <row r="2693" spans="1:1">
      <c r="A2693" s="32"/>
    </row>
    <row r="2694" spans="1:1">
      <c r="A2694" s="32"/>
    </row>
    <row r="2695" spans="1:1">
      <c r="A2695" s="32"/>
    </row>
    <row r="2696" spans="1:1">
      <c r="A2696" s="32"/>
    </row>
    <row r="2697" spans="1:1">
      <c r="A2697" s="32"/>
    </row>
    <row r="2698" spans="1:1">
      <c r="A2698" s="32"/>
    </row>
    <row r="2699" spans="1:1">
      <c r="A2699" s="32"/>
    </row>
    <row r="2700" spans="1:1">
      <c r="A2700" s="32"/>
    </row>
    <row r="2701" spans="1:1">
      <c r="A2701" s="32"/>
    </row>
    <row r="2702" spans="1:1">
      <c r="A2702" s="32"/>
    </row>
    <row r="2703" spans="1:1">
      <c r="A2703" s="32"/>
    </row>
    <row r="2704" spans="1:1">
      <c r="A2704" s="32"/>
    </row>
    <row r="2705" spans="1:1">
      <c r="A2705" s="32"/>
    </row>
    <row r="2706" spans="1:1">
      <c r="A2706" s="32"/>
    </row>
    <row r="2707" spans="1:1">
      <c r="A2707" s="32"/>
    </row>
    <row r="2708" spans="1:1">
      <c r="A2708" s="32"/>
    </row>
    <row r="2709" spans="1:1">
      <c r="A2709" s="32"/>
    </row>
    <row r="2710" spans="1:1">
      <c r="A2710" s="32"/>
    </row>
    <row r="2711" spans="1:1">
      <c r="A2711" s="32"/>
    </row>
    <row r="2712" spans="1:1">
      <c r="A2712" s="32"/>
    </row>
    <row r="2713" spans="1:1">
      <c r="A2713" s="32"/>
    </row>
    <row r="2714" spans="1:1">
      <c r="A2714" s="32"/>
    </row>
    <row r="2715" spans="1:1">
      <c r="A2715" s="32"/>
    </row>
    <row r="2716" spans="1:1">
      <c r="A2716" s="32"/>
    </row>
    <row r="2717" spans="1:1">
      <c r="A2717" s="32"/>
    </row>
    <row r="2718" spans="1:1">
      <c r="A2718" s="32"/>
    </row>
    <row r="2719" spans="1:1">
      <c r="A2719" s="32"/>
    </row>
    <row r="2720" spans="1:1">
      <c r="A2720" s="32"/>
    </row>
    <row r="2721" spans="1:1">
      <c r="A2721" s="32"/>
    </row>
    <row r="2722" spans="1:1">
      <c r="A2722" s="32"/>
    </row>
    <row r="2723" spans="1:1">
      <c r="A2723" s="32"/>
    </row>
    <row r="2724" spans="1:1">
      <c r="A2724" s="32"/>
    </row>
    <row r="2725" spans="1:1">
      <c r="A2725" s="32"/>
    </row>
    <row r="2726" spans="1:1">
      <c r="A2726" s="32"/>
    </row>
    <row r="2727" spans="1:1">
      <c r="A2727" s="32"/>
    </row>
    <row r="2728" spans="1:1">
      <c r="A2728" s="32"/>
    </row>
    <row r="2729" spans="1:1">
      <c r="A2729" s="32"/>
    </row>
    <row r="2730" spans="1:1">
      <c r="A2730" s="32"/>
    </row>
    <row r="2731" spans="1:1">
      <c r="A2731" s="32"/>
    </row>
    <row r="2732" spans="1:1">
      <c r="A2732" s="32"/>
    </row>
    <row r="2733" spans="1:1">
      <c r="A2733" s="32"/>
    </row>
    <row r="2734" spans="1:1">
      <c r="A2734" s="32"/>
    </row>
    <row r="2735" spans="1:1">
      <c r="A2735" s="32"/>
    </row>
    <row r="2736" spans="1:1">
      <c r="A2736" s="32"/>
    </row>
    <row r="2737" spans="1:1">
      <c r="A2737" s="32"/>
    </row>
    <row r="2738" spans="1:1">
      <c r="A2738" s="32"/>
    </row>
    <row r="2739" spans="1:1">
      <c r="A2739" s="32"/>
    </row>
    <row r="2740" spans="1:1">
      <c r="A2740" s="32"/>
    </row>
    <row r="2741" spans="1:1">
      <c r="A2741" s="32"/>
    </row>
    <row r="2742" spans="1:1">
      <c r="A2742" s="32"/>
    </row>
    <row r="2743" spans="1:1">
      <c r="A2743" s="32"/>
    </row>
    <row r="2744" spans="1:1">
      <c r="A2744" s="32"/>
    </row>
    <row r="2745" spans="1:1">
      <c r="A2745" s="32"/>
    </row>
    <row r="2746" spans="1:1">
      <c r="A2746" s="32"/>
    </row>
    <row r="2747" spans="1:1">
      <c r="A2747" s="32"/>
    </row>
    <row r="2748" spans="1:1">
      <c r="A2748" s="32"/>
    </row>
    <row r="2749" spans="1:1">
      <c r="A2749" s="32"/>
    </row>
    <row r="2750" spans="1:1">
      <c r="A2750" s="32"/>
    </row>
    <row r="2751" spans="1:1">
      <c r="A2751" s="32"/>
    </row>
    <row r="2752" spans="1:1">
      <c r="A2752" s="32"/>
    </row>
    <row r="2753" spans="1:1">
      <c r="A2753" s="32"/>
    </row>
    <row r="2754" spans="1:1">
      <c r="A2754" s="32"/>
    </row>
    <row r="2755" spans="1:1">
      <c r="A2755" s="32"/>
    </row>
    <row r="2756" spans="1:1">
      <c r="A2756" s="32"/>
    </row>
    <row r="2757" spans="1:1">
      <c r="A2757" s="32"/>
    </row>
    <row r="2758" spans="1:1">
      <c r="A2758" s="32"/>
    </row>
    <row r="2759" spans="1:1">
      <c r="A2759" s="32"/>
    </row>
    <row r="2760" spans="1:1">
      <c r="A2760" s="32"/>
    </row>
    <row r="2761" spans="1:1">
      <c r="A2761" s="32"/>
    </row>
    <row r="2762" spans="1:1">
      <c r="A2762" s="32"/>
    </row>
    <row r="2763" spans="1:1">
      <c r="A2763" s="32"/>
    </row>
    <row r="2764" spans="1:1">
      <c r="A2764" s="32"/>
    </row>
    <row r="2765" spans="1:1">
      <c r="A2765" s="32"/>
    </row>
    <row r="2766" spans="1:1">
      <c r="A2766" s="32"/>
    </row>
    <row r="2767" spans="1:1">
      <c r="A2767" s="32"/>
    </row>
    <row r="2768" spans="1:1">
      <c r="A2768" s="32"/>
    </row>
    <row r="2769" spans="1:1">
      <c r="A2769" s="32"/>
    </row>
    <row r="2770" spans="1:1">
      <c r="A2770" s="32"/>
    </row>
    <row r="2771" spans="1:1">
      <c r="A2771" s="32"/>
    </row>
    <row r="2772" spans="1:1">
      <c r="A2772" s="32"/>
    </row>
    <row r="2773" spans="1:1">
      <c r="A2773" s="32"/>
    </row>
    <row r="2774" spans="1:1">
      <c r="A2774" s="32"/>
    </row>
    <row r="2775" spans="1:1">
      <c r="A2775" s="32"/>
    </row>
    <row r="2776" spans="1:1">
      <c r="A2776" s="32"/>
    </row>
    <row r="2777" spans="1:1">
      <c r="A2777" s="32"/>
    </row>
    <row r="2778" spans="1:1">
      <c r="A2778" s="32"/>
    </row>
    <row r="2779" spans="1:1">
      <c r="A2779" s="32"/>
    </row>
    <row r="2780" spans="1:1">
      <c r="A2780" s="32"/>
    </row>
    <row r="2781" spans="1:1">
      <c r="A2781" s="32"/>
    </row>
    <row r="2782" spans="1:1">
      <c r="A2782" s="32"/>
    </row>
    <row r="2783" spans="1:1">
      <c r="A2783" s="32"/>
    </row>
    <row r="2784" spans="1:1">
      <c r="A2784" s="32"/>
    </row>
    <row r="2785" spans="1:1">
      <c r="A2785" s="32"/>
    </row>
    <row r="2786" spans="1:1">
      <c r="A2786" s="32"/>
    </row>
    <row r="2787" spans="1:1">
      <c r="A2787" s="32"/>
    </row>
    <row r="2788" spans="1:1">
      <c r="A2788" s="32"/>
    </row>
    <row r="2789" spans="1:1">
      <c r="A2789" s="32"/>
    </row>
    <row r="2790" spans="1:1">
      <c r="A2790" s="32"/>
    </row>
    <row r="2791" spans="1:1">
      <c r="A2791" s="32"/>
    </row>
    <row r="2792" spans="1:1">
      <c r="A2792" s="32"/>
    </row>
    <row r="2793" spans="1:1">
      <c r="A2793" s="32"/>
    </row>
    <row r="2794" spans="1:1">
      <c r="A2794" s="32"/>
    </row>
    <row r="2795" spans="1:1">
      <c r="A2795" s="32"/>
    </row>
    <row r="2796" spans="1:1">
      <c r="A2796" s="32"/>
    </row>
    <row r="2797" spans="1:1">
      <c r="A2797" s="32"/>
    </row>
    <row r="2798" spans="1:1">
      <c r="A2798" s="32"/>
    </row>
    <row r="2799" spans="1:1">
      <c r="A2799" s="32"/>
    </row>
    <row r="2800" spans="1:1">
      <c r="A2800" s="32"/>
    </row>
    <row r="2801" spans="1:1">
      <c r="A2801" s="32"/>
    </row>
    <row r="2802" spans="1:1">
      <c r="A2802" s="32"/>
    </row>
    <row r="2803" spans="1:1">
      <c r="A2803" s="32"/>
    </row>
    <row r="2804" spans="1:1">
      <c r="A2804" s="32"/>
    </row>
    <row r="2805" spans="1:1">
      <c r="A2805" s="32"/>
    </row>
    <row r="2806" spans="1:1">
      <c r="A2806" s="32"/>
    </row>
    <row r="2807" spans="1:1">
      <c r="A2807" s="32"/>
    </row>
    <row r="2808" spans="1:1">
      <c r="A2808" s="32"/>
    </row>
    <row r="2809" spans="1:1">
      <c r="A2809" s="32"/>
    </row>
    <row r="2810" spans="1:1">
      <c r="A2810" s="32"/>
    </row>
    <row r="2811" spans="1:1">
      <c r="A2811" s="32"/>
    </row>
    <row r="2812" spans="1:1">
      <c r="A2812" s="32"/>
    </row>
    <row r="2813" spans="1:1">
      <c r="A2813" s="32"/>
    </row>
    <row r="2814" spans="1:1">
      <c r="A2814" s="32"/>
    </row>
    <row r="2815" spans="1:1">
      <c r="A2815" s="32"/>
    </row>
    <row r="2816" spans="1:1">
      <c r="A2816" s="32"/>
    </row>
    <row r="2817" spans="1:1">
      <c r="A2817" s="32"/>
    </row>
    <row r="2818" spans="1:1">
      <c r="A2818" s="32"/>
    </row>
    <row r="2819" spans="1:1">
      <c r="A2819" s="32"/>
    </row>
    <row r="2820" spans="1:1">
      <c r="A2820" s="32"/>
    </row>
    <row r="2821" spans="1:1">
      <c r="A2821" s="32"/>
    </row>
    <row r="2822" spans="1:1">
      <c r="A2822" s="32"/>
    </row>
    <row r="2823" spans="1:1">
      <c r="A2823" s="32"/>
    </row>
    <row r="2824" spans="1:1">
      <c r="A2824" s="32"/>
    </row>
    <row r="2825" spans="1:1">
      <c r="A2825" s="32"/>
    </row>
    <row r="2826" spans="1:1">
      <c r="A2826" s="32"/>
    </row>
    <row r="2827" spans="1:1">
      <c r="A2827" s="32"/>
    </row>
    <row r="2828" spans="1:1">
      <c r="A2828" s="32"/>
    </row>
    <row r="2829" spans="1:1">
      <c r="A2829" s="32"/>
    </row>
    <row r="2830" spans="1:1">
      <c r="A2830" s="32"/>
    </row>
    <row r="2831" spans="1:1">
      <c r="A2831" s="32"/>
    </row>
    <row r="2832" spans="1:1">
      <c r="A2832" s="32"/>
    </row>
    <row r="2833" spans="1:1">
      <c r="A2833" s="32"/>
    </row>
    <row r="2834" spans="1:1">
      <c r="A2834" s="32"/>
    </row>
    <row r="2835" spans="1:1">
      <c r="A2835" s="32"/>
    </row>
    <row r="2836" spans="1:1">
      <c r="A2836" s="32"/>
    </row>
    <row r="2837" spans="1:1">
      <c r="A2837" s="32"/>
    </row>
    <row r="2838" spans="1:1">
      <c r="A2838" s="32"/>
    </row>
    <row r="2839" spans="1:1">
      <c r="A2839" s="32"/>
    </row>
    <row r="2840" spans="1:1">
      <c r="A2840" s="32"/>
    </row>
    <row r="2841" spans="1:1">
      <c r="A2841" s="32"/>
    </row>
    <row r="2842" spans="1:1">
      <c r="A2842" s="32"/>
    </row>
    <row r="2843" spans="1:1">
      <c r="A2843" s="32"/>
    </row>
    <row r="2844" spans="1:1">
      <c r="A2844" s="32"/>
    </row>
    <row r="2845" spans="1:1">
      <c r="A2845" s="32"/>
    </row>
    <row r="2846" spans="1:1">
      <c r="A2846" s="32"/>
    </row>
    <row r="2847" spans="1:1">
      <c r="A2847" s="32"/>
    </row>
    <row r="2848" spans="1:1">
      <c r="A2848" s="32"/>
    </row>
    <row r="2849" spans="1:1">
      <c r="A2849" s="32"/>
    </row>
    <row r="2850" spans="1:1">
      <c r="A2850" s="32"/>
    </row>
    <row r="2851" spans="1:1">
      <c r="A2851" s="32"/>
    </row>
    <row r="2852" spans="1:1">
      <c r="A2852" s="32"/>
    </row>
    <row r="2853" spans="1:1">
      <c r="A2853" s="32"/>
    </row>
    <row r="2854" spans="1:1">
      <c r="A2854" s="32"/>
    </row>
    <row r="2855" spans="1:1">
      <c r="A2855" s="32"/>
    </row>
    <row r="2856" spans="1:1">
      <c r="A2856" s="32"/>
    </row>
    <row r="2857" spans="1:1">
      <c r="A2857" s="32"/>
    </row>
    <row r="2858" spans="1:1">
      <c r="A2858" s="32"/>
    </row>
    <row r="2859" spans="1:1">
      <c r="A2859" s="32"/>
    </row>
    <row r="2860" spans="1:1">
      <c r="A2860" s="32"/>
    </row>
    <row r="2861" spans="1:1">
      <c r="A2861" s="32"/>
    </row>
    <row r="2862" spans="1:1">
      <c r="A2862" s="32"/>
    </row>
    <row r="2863" spans="1:1">
      <c r="A2863" s="32"/>
    </row>
    <row r="2864" spans="1:1">
      <c r="A2864" s="32"/>
    </row>
    <row r="2865" spans="1:1">
      <c r="A2865" s="32"/>
    </row>
    <row r="2866" spans="1:1">
      <c r="A2866" s="32"/>
    </row>
    <row r="2867" spans="1:1">
      <c r="A2867" s="32"/>
    </row>
    <row r="2868" spans="1:1">
      <c r="A2868" s="32"/>
    </row>
    <row r="2869" spans="1:1">
      <c r="A2869" s="32"/>
    </row>
    <row r="2870" spans="1:1">
      <c r="A2870" s="32"/>
    </row>
    <row r="2871" spans="1:1">
      <c r="A2871" s="32"/>
    </row>
    <row r="2872" spans="1:1">
      <c r="A2872" s="32"/>
    </row>
    <row r="2873" spans="1:1">
      <c r="A2873" s="32"/>
    </row>
    <row r="2874" spans="1:1">
      <c r="A2874" s="32"/>
    </row>
    <row r="2875" spans="1:1">
      <c r="A2875" s="32"/>
    </row>
    <row r="2876" spans="1:1">
      <c r="A2876" s="32"/>
    </row>
    <row r="2877" spans="1:1">
      <c r="A2877" s="32"/>
    </row>
    <row r="2878" spans="1:1">
      <c r="A2878" s="32"/>
    </row>
    <row r="2879" spans="1:1">
      <c r="A2879" s="32"/>
    </row>
    <row r="2880" spans="1:1">
      <c r="A2880" s="32"/>
    </row>
    <row r="2881" spans="1:1">
      <c r="A2881" s="32"/>
    </row>
    <row r="2882" spans="1:1">
      <c r="A2882" s="32"/>
    </row>
    <row r="2883" spans="1:1">
      <c r="A2883" s="32"/>
    </row>
    <row r="2884" spans="1:1">
      <c r="A2884" s="32"/>
    </row>
    <row r="2885" spans="1:1">
      <c r="A2885" s="32"/>
    </row>
    <row r="2886" spans="1:1">
      <c r="A2886" s="32"/>
    </row>
    <row r="2887" spans="1:1">
      <c r="A2887" s="32"/>
    </row>
    <row r="2888" spans="1:1">
      <c r="A2888" s="32"/>
    </row>
    <row r="2889" spans="1:1">
      <c r="A2889" s="32"/>
    </row>
    <row r="2890" spans="1:1">
      <c r="A2890" s="32"/>
    </row>
    <row r="2891" spans="1:1">
      <c r="A2891" s="32"/>
    </row>
    <row r="2892" spans="1:1">
      <c r="A2892" s="32"/>
    </row>
    <row r="2893" spans="1:1">
      <c r="A2893" s="32"/>
    </row>
    <row r="2894" spans="1:1">
      <c r="A2894" s="32"/>
    </row>
    <row r="2895" spans="1:1">
      <c r="A2895" s="32"/>
    </row>
    <row r="2896" spans="1:1">
      <c r="A2896" s="32"/>
    </row>
    <row r="2897" spans="1:1">
      <c r="A2897" s="32"/>
    </row>
    <row r="2898" spans="1:1">
      <c r="A2898" s="32"/>
    </row>
    <row r="2899" spans="1:1">
      <c r="A2899" s="32"/>
    </row>
    <row r="2900" spans="1:1">
      <c r="A2900" s="32"/>
    </row>
    <row r="2901" spans="1:1">
      <c r="A2901" s="32"/>
    </row>
    <row r="2902" spans="1:1">
      <c r="A2902" s="32"/>
    </row>
    <row r="2903" spans="1:1">
      <c r="A2903" s="32"/>
    </row>
    <row r="2904" spans="1:1">
      <c r="A2904" s="32"/>
    </row>
    <row r="2905" spans="1:1">
      <c r="A2905" s="32"/>
    </row>
    <row r="2906" spans="1:1">
      <c r="A2906" s="32"/>
    </row>
    <row r="2907" spans="1:1">
      <c r="A2907" s="32"/>
    </row>
    <row r="2908" spans="1:1">
      <c r="A2908" s="32"/>
    </row>
    <row r="2909" spans="1:1">
      <c r="A2909" s="32"/>
    </row>
    <row r="2910" spans="1:1">
      <c r="A2910" s="32"/>
    </row>
    <row r="2911" spans="1:1">
      <c r="A2911" s="32"/>
    </row>
    <row r="2912" spans="1:1">
      <c r="A2912" s="32"/>
    </row>
    <row r="2913" spans="1:1">
      <c r="A2913" s="32"/>
    </row>
    <row r="2914" spans="1:1">
      <c r="A2914" s="32"/>
    </row>
    <row r="2915" spans="1:1">
      <c r="A2915" s="32"/>
    </row>
    <row r="2916" spans="1:1">
      <c r="A2916" s="32"/>
    </row>
    <row r="2917" spans="1:1">
      <c r="A2917" s="32"/>
    </row>
    <row r="2918" spans="1:1">
      <c r="A2918" s="32"/>
    </row>
    <row r="2919" spans="1:1">
      <c r="A2919" s="32"/>
    </row>
    <row r="2920" spans="1:1">
      <c r="A2920" s="32"/>
    </row>
    <row r="2921" spans="1:1">
      <c r="A2921" s="32"/>
    </row>
    <row r="2922" spans="1:1">
      <c r="A2922" s="32"/>
    </row>
    <row r="2923" spans="1:1">
      <c r="A2923" s="32"/>
    </row>
    <row r="2924" spans="1:1">
      <c r="A2924" s="32"/>
    </row>
    <row r="2925" spans="1:1">
      <c r="A2925" s="32"/>
    </row>
    <row r="2926" spans="1:1">
      <c r="A2926" s="32"/>
    </row>
    <row r="2927" spans="1:1">
      <c r="A2927" s="32"/>
    </row>
    <row r="2928" spans="1:1">
      <c r="A2928" s="32"/>
    </row>
    <row r="2929" spans="1:1">
      <c r="A2929" s="32"/>
    </row>
    <row r="2930" spans="1:1">
      <c r="A2930" s="32"/>
    </row>
    <row r="2931" spans="1:1">
      <c r="A2931" s="32"/>
    </row>
    <row r="2932" spans="1:1">
      <c r="A2932" s="32"/>
    </row>
    <row r="2933" spans="1:1">
      <c r="A2933" s="32"/>
    </row>
    <row r="2934" spans="1:1">
      <c r="A2934" s="32"/>
    </row>
    <row r="2935" spans="1:1">
      <c r="A2935" s="32"/>
    </row>
    <row r="2936" spans="1:1">
      <c r="A2936" s="32"/>
    </row>
    <row r="2937" spans="1:1">
      <c r="A2937" s="32"/>
    </row>
    <row r="2938" spans="1:1">
      <c r="A2938" s="32"/>
    </row>
    <row r="2939" spans="1:1">
      <c r="A2939" s="32"/>
    </row>
    <row r="2940" spans="1:1">
      <c r="A2940" s="32"/>
    </row>
    <row r="2941" spans="1:1">
      <c r="A2941" s="32"/>
    </row>
    <row r="2942" spans="1:1">
      <c r="A2942" s="32"/>
    </row>
    <row r="2943" spans="1:1">
      <c r="A2943" s="32"/>
    </row>
    <row r="2944" spans="1:1">
      <c r="A2944" s="32"/>
    </row>
    <row r="2945" spans="1:1">
      <c r="A2945" s="32"/>
    </row>
    <row r="2946" spans="1:1">
      <c r="A2946" s="32"/>
    </row>
    <row r="2947" spans="1:1">
      <c r="A2947" s="32"/>
    </row>
    <row r="2948" spans="1:1">
      <c r="A2948" s="32"/>
    </row>
    <row r="2949" spans="1:1">
      <c r="A2949" s="32"/>
    </row>
    <row r="2950" spans="1:1">
      <c r="A2950" s="32"/>
    </row>
    <row r="2951" spans="1:1">
      <c r="A2951" s="32"/>
    </row>
    <row r="2952" spans="1:1">
      <c r="A2952" s="32"/>
    </row>
    <row r="2953" spans="1:1">
      <c r="A2953" s="32"/>
    </row>
    <row r="2954" spans="1:1">
      <c r="A2954" s="32"/>
    </row>
    <row r="2955" spans="1:1">
      <c r="A2955" s="32"/>
    </row>
    <row r="2956" spans="1:1">
      <c r="A2956" s="32"/>
    </row>
    <row r="2957" spans="1:1">
      <c r="A2957" s="32"/>
    </row>
    <row r="2958" spans="1:1">
      <c r="A2958" s="32"/>
    </row>
    <row r="2959" spans="1:1">
      <c r="A2959" s="32"/>
    </row>
    <row r="2960" spans="1:1">
      <c r="A2960" s="32"/>
    </row>
    <row r="2961" spans="1:1">
      <c r="A2961" s="32"/>
    </row>
    <row r="2962" spans="1:1">
      <c r="A2962" s="32"/>
    </row>
    <row r="2963" spans="1:1">
      <c r="A2963" s="32"/>
    </row>
    <row r="2964" spans="1:1">
      <c r="A2964" s="32"/>
    </row>
    <row r="2965" spans="1:1">
      <c r="A2965" s="32"/>
    </row>
    <row r="2966" spans="1:1">
      <c r="A2966" s="32"/>
    </row>
    <row r="2967" spans="1:1">
      <c r="A2967" s="32"/>
    </row>
    <row r="2968" spans="1:1">
      <c r="A2968" s="32"/>
    </row>
    <row r="2969" spans="1:1">
      <c r="A2969" s="32"/>
    </row>
    <row r="2970" spans="1:1">
      <c r="A2970" s="32"/>
    </row>
    <row r="2971" spans="1:1">
      <c r="A2971" s="32"/>
    </row>
    <row r="2972" spans="1:1">
      <c r="A2972" s="32"/>
    </row>
    <row r="2973" spans="1:1">
      <c r="A2973" s="32"/>
    </row>
    <row r="2974" spans="1:1">
      <c r="A2974" s="32"/>
    </row>
    <row r="2975" spans="1:1">
      <c r="A2975" s="32"/>
    </row>
    <row r="2976" spans="1:1">
      <c r="A2976" s="32"/>
    </row>
    <row r="2977" spans="1:1">
      <c r="A2977" s="32"/>
    </row>
    <row r="2978" spans="1:1">
      <c r="A2978" s="32"/>
    </row>
    <row r="2979" spans="1:1">
      <c r="A2979" s="32"/>
    </row>
    <row r="2980" spans="1:1">
      <c r="A2980" s="32"/>
    </row>
    <row r="2981" spans="1:1">
      <c r="A2981" s="32"/>
    </row>
    <row r="2982" spans="1:1">
      <c r="A2982" s="32"/>
    </row>
    <row r="2983" spans="1:1">
      <c r="A2983" s="32"/>
    </row>
    <row r="2984" spans="1:1">
      <c r="A2984" s="32"/>
    </row>
    <row r="2985" spans="1:1">
      <c r="A2985" s="32"/>
    </row>
    <row r="2986" spans="1:1">
      <c r="A2986" s="32"/>
    </row>
    <row r="2987" spans="1:1">
      <c r="A2987" s="32"/>
    </row>
    <row r="2988" spans="1:1">
      <c r="A2988" s="32"/>
    </row>
    <row r="2989" spans="1:1">
      <c r="A2989" s="32"/>
    </row>
    <row r="2990" spans="1:1">
      <c r="A2990" s="32"/>
    </row>
    <row r="2991" spans="1:1">
      <c r="A2991" s="32"/>
    </row>
    <row r="2992" spans="1:1">
      <c r="A2992" s="32"/>
    </row>
    <row r="2993" spans="1:1">
      <c r="A2993" s="32"/>
    </row>
    <row r="2994" spans="1:1">
      <c r="A2994" s="32"/>
    </row>
    <row r="2995" spans="1:1">
      <c r="A2995" s="32"/>
    </row>
    <row r="2996" spans="1:1">
      <c r="A2996" s="32"/>
    </row>
    <row r="2997" spans="1:1">
      <c r="A2997" s="32"/>
    </row>
    <row r="2998" spans="1:1">
      <c r="A2998" s="32"/>
    </row>
    <row r="2999" spans="1:1">
      <c r="A2999" s="32"/>
    </row>
    <row r="3000" spans="1:1">
      <c r="A3000" s="32"/>
    </row>
    <row r="3001" spans="1:1">
      <c r="A3001" s="32"/>
    </row>
    <row r="3002" spans="1:1">
      <c r="A3002" s="32"/>
    </row>
    <row r="3003" spans="1:1">
      <c r="A3003" s="32"/>
    </row>
    <row r="3004" spans="1:1">
      <c r="A3004" s="32"/>
    </row>
    <row r="3005" spans="1:1">
      <c r="A3005" s="32"/>
    </row>
    <row r="3006" spans="1:1">
      <c r="A3006" s="32"/>
    </row>
    <row r="3007" spans="1:1">
      <c r="A3007" s="32"/>
    </row>
    <row r="3008" spans="1:1">
      <c r="A3008" s="32"/>
    </row>
    <row r="3009" spans="1:1">
      <c r="A3009" s="32"/>
    </row>
    <row r="3010" spans="1:1">
      <c r="A3010" s="32"/>
    </row>
    <row r="3011" spans="1:1">
      <c r="A3011" s="32"/>
    </row>
    <row r="3012" spans="1:1">
      <c r="A3012" s="32"/>
    </row>
    <row r="3013" spans="1:1">
      <c r="A3013" s="32"/>
    </row>
    <row r="3014" spans="1:1">
      <c r="A3014" s="32"/>
    </row>
    <row r="3015" spans="1:1">
      <c r="A3015" s="32"/>
    </row>
    <row r="3016" spans="1:1">
      <c r="A3016" s="32"/>
    </row>
    <row r="3017" spans="1:1">
      <c r="A3017" s="32"/>
    </row>
    <row r="3018" spans="1:1">
      <c r="A3018" s="32"/>
    </row>
    <row r="3019" spans="1:1">
      <c r="A3019" s="32"/>
    </row>
    <row r="3020" spans="1:1">
      <c r="A3020" s="32"/>
    </row>
    <row r="3021" spans="1:1">
      <c r="A3021" s="32"/>
    </row>
    <row r="3022" spans="1:1">
      <c r="A3022" s="32"/>
    </row>
    <row r="3023" spans="1:1">
      <c r="A3023" s="32"/>
    </row>
    <row r="3024" spans="1:1">
      <c r="A3024" s="32"/>
    </row>
    <row r="3025" spans="1:1">
      <c r="A3025" s="32"/>
    </row>
    <row r="3026" spans="1:1">
      <c r="A3026" s="32"/>
    </row>
    <row r="3027" spans="1:1">
      <c r="A3027" s="32"/>
    </row>
    <row r="3028" spans="1:1">
      <c r="A3028" s="32"/>
    </row>
    <row r="3029" spans="1:1">
      <c r="A3029" s="32"/>
    </row>
    <row r="3030" spans="1:1">
      <c r="A3030" s="32"/>
    </row>
    <row r="3031" spans="1:1">
      <c r="A3031" s="32"/>
    </row>
    <row r="3032" spans="1:1">
      <c r="A3032" s="32"/>
    </row>
    <row r="3033" spans="1:1">
      <c r="A3033" s="32"/>
    </row>
    <row r="3034" spans="1:1">
      <c r="A3034" s="32"/>
    </row>
    <row r="3035" spans="1:1">
      <c r="A3035" s="32"/>
    </row>
    <row r="3036" spans="1:1">
      <c r="A3036" s="32"/>
    </row>
    <row r="3037" spans="1:1">
      <c r="A3037" s="32"/>
    </row>
    <row r="3038" spans="1:1">
      <c r="A3038" s="32"/>
    </row>
    <row r="3039" spans="1:1">
      <c r="A3039" s="32"/>
    </row>
    <row r="3040" spans="1:1">
      <c r="A3040" s="32"/>
    </row>
    <row r="3041" spans="1:1">
      <c r="A3041" s="32"/>
    </row>
    <row r="3042" spans="1:1">
      <c r="A3042" s="32"/>
    </row>
    <row r="3043" spans="1:1">
      <c r="A3043" s="32"/>
    </row>
    <row r="3044" spans="1:1">
      <c r="A3044" s="32"/>
    </row>
    <row r="3045" spans="1:1">
      <c r="A3045" s="32"/>
    </row>
    <row r="3046" spans="1:1">
      <c r="A3046" s="32"/>
    </row>
    <row r="3047" spans="1:1">
      <c r="A3047" s="32"/>
    </row>
    <row r="3048" spans="1:1">
      <c r="A3048" s="32"/>
    </row>
    <row r="3049" spans="1:1">
      <c r="A3049" s="32"/>
    </row>
    <row r="3050" spans="1:1">
      <c r="A3050" s="32"/>
    </row>
    <row r="3051" spans="1:1">
      <c r="A3051" s="32"/>
    </row>
    <row r="3052" spans="1:1">
      <c r="A3052" s="32"/>
    </row>
    <row r="3053" spans="1:1">
      <c r="A3053" s="32"/>
    </row>
    <row r="3054" spans="1:1">
      <c r="A3054" s="32"/>
    </row>
    <row r="3055" spans="1:1">
      <c r="A3055" s="32"/>
    </row>
    <row r="3056" spans="1:1">
      <c r="A3056" s="32"/>
    </row>
    <row r="3057" spans="1:1">
      <c r="A3057" s="32"/>
    </row>
    <row r="3058" spans="1:1">
      <c r="A3058" s="32"/>
    </row>
    <row r="3059" spans="1:1">
      <c r="A3059" s="32"/>
    </row>
    <row r="3060" spans="1:1">
      <c r="A3060" s="32"/>
    </row>
    <row r="3061" spans="1:1">
      <c r="A3061" s="32"/>
    </row>
    <row r="3062" spans="1:1">
      <c r="A3062" s="32"/>
    </row>
    <row r="3063" spans="1:1">
      <c r="A3063" s="32"/>
    </row>
    <row r="3064" spans="1:1">
      <c r="A3064" s="32"/>
    </row>
    <row r="3065" spans="1:1">
      <c r="A3065" s="32"/>
    </row>
    <row r="3066" spans="1:1">
      <c r="A3066" s="32"/>
    </row>
    <row r="3067" spans="1:1">
      <c r="A3067" s="32"/>
    </row>
    <row r="3068" spans="1:1">
      <c r="A3068" s="32"/>
    </row>
    <row r="3069" spans="1:1">
      <c r="A3069" s="32"/>
    </row>
    <row r="3070" spans="1:1">
      <c r="A3070" s="32"/>
    </row>
    <row r="3071" spans="1:1">
      <c r="A3071" s="32"/>
    </row>
    <row r="3072" spans="1:1">
      <c r="A3072" s="32"/>
    </row>
    <row r="3073" spans="1:1">
      <c r="A3073" s="32"/>
    </row>
    <row r="3074" spans="1:1">
      <c r="A3074" s="32"/>
    </row>
    <row r="3075" spans="1:1">
      <c r="A3075" s="32"/>
    </row>
    <row r="3076" spans="1:1">
      <c r="A3076" s="32"/>
    </row>
    <row r="3077" spans="1:1">
      <c r="A3077" s="32"/>
    </row>
    <row r="3078" spans="1:1">
      <c r="A3078" s="32"/>
    </row>
    <row r="3079" spans="1:1">
      <c r="A3079" s="32"/>
    </row>
    <row r="3080" spans="1:1">
      <c r="A3080" s="32"/>
    </row>
    <row r="3081" spans="1:1">
      <c r="A3081" s="32"/>
    </row>
    <row r="3082" spans="1:1">
      <c r="A3082" s="32"/>
    </row>
    <row r="3083" spans="1:1">
      <c r="A3083" s="32"/>
    </row>
    <row r="3084" spans="1:1">
      <c r="A3084" s="32"/>
    </row>
    <row r="3085" spans="1:1">
      <c r="A3085" s="32"/>
    </row>
    <row r="3086" spans="1:1">
      <c r="A3086" s="32"/>
    </row>
    <row r="3087" spans="1:1">
      <c r="A3087" s="32"/>
    </row>
    <row r="3088" spans="1:1">
      <c r="A3088" s="32"/>
    </row>
    <row r="3089" spans="1:1">
      <c r="A3089" s="32"/>
    </row>
    <row r="3090" spans="1:1">
      <c r="A3090" s="32"/>
    </row>
    <row r="3091" spans="1:1">
      <c r="A3091" s="32"/>
    </row>
    <row r="3092" spans="1:1">
      <c r="A3092" s="32"/>
    </row>
    <row r="3093" spans="1:1">
      <c r="A3093" s="32"/>
    </row>
    <row r="3094" spans="1:1">
      <c r="A3094" s="32"/>
    </row>
    <row r="3095" spans="1:1">
      <c r="A3095" s="32"/>
    </row>
    <row r="3096" spans="1:1">
      <c r="A3096" s="32"/>
    </row>
    <row r="3097" spans="1:1">
      <c r="A3097" s="32"/>
    </row>
    <row r="3098" spans="1:1">
      <c r="A3098" s="32"/>
    </row>
    <row r="3099" spans="1:1">
      <c r="A3099" s="32"/>
    </row>
    <row r="3100" spans="1:1">
      <c r="A3100" s="32"/>
    </row>
    <row r="3101" spans="1:1">
      <c r="A3101" s="32"/>
    </row>
    <row r="3102" spans="1:1">
      <c r="A3102" s="32"/>
    </row>
    <row r="3103" spans="1:1">
      <c r="A3103" s="32"/>
    </row>
    <row r="3104" spans="1:1">
      <c r="A3104" s="32"/>
    </row>
    <row r="3105" spans="1:1">
      <c r="A3105" s="32"/>
    </row>
    <row r="3106" spans="1:1">
      <c r="A3106" s="32"/>
    </row>
    <row r="3107" spans="1:1">
      <c r="A3107" s="32"/>
    </row>
    <row r="3108" spans="1:1">
      <c r="A3108" s="32"/>
    </row>
    <row r="3109" spans="1:1">
      <c r="A3109" s="32"/>
    </row>
    <row r="3110" spans="1:1">
      <c r="A3110" s="32"/>
    </row>
    <row r="3111" spans="1:1">
      <c r="A3111" s="32"/>
    </row>
    <row r="3112" spans="1:1">
      <c r="A3112" s="32"/>
    </row>
    <row r="3113" spans="1:1">
      <c r="A3113" s="32"/>
    </row>
    <row r="3114" spans="1:1">
      <c r="A3114" s="32"/>
    </row>
    <row r="3115" spans="1:1">
      <c r="A3115" s="32"/>
    </row>
    <row r="3116" spans="1:1">
      <c r="A3116" s="32"/>
    </row>
    <row r="3117" spans="1:1">
      <c r="A3117" s="32"/>
    </row>
    <row r="3118" spans="1:1">
      <c r="A3118" s="32"/>
    </row>
    <row r="3119" spans="1:1">
      <c r="A3119" s="32"/>
    </row>
    <row r="3120" spans="1:1">
      <c r="A3120" s="32"/>
    </row>
    <row r="3121" spans="1:1">
      <c r="A3121" s="32"/>
    </row>
    <row r="3122" spans="1:1">
      <c r="A3122" s="32"/>
    </row>
    <row r="3123" spans="1:1">
      <c r="A3123" s="32"/>
    </row>
    <row r="3124" spans="1:1">
      <c r="A3124" s="32"/>
    </row>
    <row r="3125" spans="1:1">
      <c r="A3125" s="32"/>
    </row>
    <row r="3126" spans="1:1">
      <c r="A3126" s="32"/>
    </row>
    <row r="3127" spans="1:1">
      <c r="A3127" s="32"/>
    </row>
    <row r="3128" spans="1:1">
      <c r="A3128" s="32"/>
    </row>
    <row r="3129" spans="1:1">
      <c r="A3129" s="32"/>
    </row>
    <row r="3130" spans="1:1">
      <c r="A3130" s="32"/>
    </row>
    <row r="3131" spans="1:1">
      <c r="A3131" s="32"/>
    </row>
    <row r="3132" spans="1:1">
      <c r="A3132" s="32"/>
    </row>
    <row r="3133" spans="1:1">
      <c r="A3133" s="32"/>
    </row>
    <row r="3134" spans="1:1">
      <c r="A3134" s="32"/>
    </row>
    <row r="3135" spans="1:1">
      <c r="A3135" s="32"/>
    </row>
    <row r="3136" spans="1:1">
      <c r="A3136" s="32"/>
    </row>
    <row r="3137" spans="1:1">
      <c r="A3137" s="32"/>
    </row>
    <row r="3138" spans="1:1">
      <c r="A3138" s="32"/>
    </row>
    <row r="3139" spans="1:1">
      <c r="A3139" s="32"/>
    </row>
    <row r="3140" spans="1:1">
      <c r="A3140" s="32"/>
    </row>
    <row r="3141" spans="1:1">
      <c r="A3141" s="32"/>
    </row>
    <row r="3142" spans="1:1">
      <c r="A3142" s="32"/>
    </row>
    <row r="3143" spans="1:1">
      <c r="A3143" s="32"/>
    </row>
    <row r="3144" spans="1:1">
      <c r="A3144" s="32"/>
    </row>
    <row r="3145" spans="1:1">
      <c r="A3145" s="32"/>
    </row>
    <row r="3146" spans="1:1">
      <c r="A3146" s="32"/>
    </row>
    <row r="3147" spans="1:1">
      <c r="A3147" s="32"/>
    </row>
    <row r="3148" spans="1:1">
      <c r="A3148" s="32"/>
    </row>
    <row r="3149" spans="1:1">
      <c r="A3149" s="32"/>
    </row>
    <row r="3150" spans="1:1">
      <c r="A3150" s="32"/>
    </row>
    <row r="3151" spans="1:1">
      <c r="A3151" s="32"/>
    </row>
    <row r="3152" spans="1:1">
      <c r="A3152" s="32"/>
    </row>
    <row r="3153" spans="1:1">
      <c r="A3153" s="32"/>
    </row>
    <row r="3154" spans="1:1">
      <c r="A3154" s="32"/>
    </row>
    <row r="3155" spans="1:1">
      <c r="A3155" s="32"/>
    </row>
    <row r="3156" spans="1:1">
      <c r="A3156" s="32"/>
    </row>
    <row r="3157" spans="1:1">
      <c r="A3157" s="32"/>
    </row>
    <row r="3158" spans="1:1">
      <c r="A3158" s="32"/>
    </row>
    <row r="3159" spans="1:1">
      <c r="A3159" s="32"/>
    </row>
    <row r="3160" spans="1:1">
      <c r="A3160" s="32"/>
    </row>
    <row r="3161" spans="1:1">
      <c r="A3161" s="32"/>
    </row>
    <row r="3162" spans="1:1">
      <c r="A3162" s="32"/>
    </row>
    <row r="3163" spans="1:1">
      <c r="A3163" s="32"/>
    </row>
    <row r="3164" spans="1:1">
      <c r="A3164" s="32"/>
    </row>
    <row r="3165" spans="1:1">
      <c r="A3165" s="32"/>
    </row>
    <row r="3166" spans="1:1">
      <c r="A3166" s="32"/>
    </row>
    <row r="3167" spans="1:1">
      <c r="A3167" s="32"/>
    </row>
    <row r="3168" spans="1:1">
      <c r="A3168" s="32"/>
    </row>
    <row r="3169" spans="1:1">
      <c r="A3169" s="32"/>
    </row>
    <row r="3170" spans="1:1">
      <c r="A3170" s="32"/>
    </row>
    <row r="3171" spans="1:1">
      <c r="A3171" s="32"/>
    </row>
    <row r="3172" spans="1:1">
      <c r="A3172" s="32"/>
    </row>
    <row r="3173" spans="1:1">
      <c r="A3173" s="32"/>
    </row>
    <row r="3174" spans="1:1">
      <c r="A3174" s="32"/>
    </row>
    <row r="3175" spans="1:1">
      <c r="A3175" s="32"/>
    </row>
    <row r="3176" spans="1:1">
      <c r="A3176" s="32"/>
    </row>
    <row r="3177" spans="1:1">
      <c r="A3177" s="32"/>
    </row>
    <row r="3178" spans="1:1">
      <c r="A3178" s="32"/>
    </row>
    <row r="3179" spans="1:1">
      <c r="A3179" s="32"/>
    </row>
    <row r="3180" spans="1:1">
      <c r="A3180" s="32"/>
    </row>
    <row r="3181" spans="1:1">
      <c r="A3181" s="32"/>
    </row>
    <row r="3182" spans="1:1">
      <c r="A3182" s="32"/>
    </row>
    <row r="3183" spans="1:1">
      <c r="A3183" s="32"/>
    </row>
    <row r="3184" spans="1:1">
      <c r="A3184" s="32"/>
    </row>
    <row r="3185" spans="1:1">
      <c r="A3185" s="32"/>
    </row>
    <row r="3186" spans="1:1">
      <c r="A3186" s="32"/>
    </row>
    <row r="3187" spans="1:1">
      <c r="A3187" s="32"/>
    </row>
    <row r="3188" spans="1:1">
      <c r="A3188" s="32"/>
    </row>
    <row r="3189" spans="1:1">
      <c r="A3189" s="32"/>
    </row>
    <row r="3190" spans="1:1">
      <c r="A3190" s="32"/>
    </row>
    <row r="3191" spans="1:1">
      <c r="A3191" s="32"/>
    </row>
    <row r="3192" spans="1:1">
      <c r="A3192" s="32"/>
    </row>
    <row r="3193" spans="1:1">
      <c r="A3193" s="32"/>
    </row>
    <row r="3194" spans="1:1">
      <c r="A3194" s="32"/>
    </row>
    <row r="3195" spans="1:1">
      <c r="A3195" s="32"/>
    </row>
    <row r="3196" spans="1:1">
      <c r="A3196" s="32"/>
    </row>
    <row r="3197" spans="1:1">
      <c r="A3197" s="32"/>
    </row>
    <row r="3198" spans="1:1">
      <c r="A3198" s="32"/>
    </row>
    <row r="3199" spans="1:1">
      <c r="A3199" s="32"/>
    </row>
    <row r="3200" spans="1:1">
      <c r="A3200" s="32"/>
    </row>
    <row r="3201" spans="1:1">
      <c r="A3201" s="32"/>
    </row>
    <row r="3202" spans="1:1">
      <c r="A3202" s="32"/>
    </row>
    <row r="3203" spans="1:1">
      <c r="A3203" s="32"/>
    </row>
    <row r="3204" spans="1:1">
      <c r="A3204" s="32"/>
    </row>
    <row r="3205" spans="1:1">
      <c r="A3205" s="32"/>
    </row>
    <row r="3206" spans="1:1">
      <c r="A3206" s="32"/>
    </row>
    <row r="3207" spans="1:1">
      <c r="A3207" s="32"/>
    </row>
    <row r="3208" spans="1:1">
      <c r="A3208" s="32"/>
    </row>
    <row r="3209" spans="1:1">
      <c r="A3209" s="32"/>
    </row>
    <row r="3210" spans="1:1">
      <c r="A3210" s="32"/>
    </row>
    <row r="3211" spans="1:1">
      <c r="A3211" s="32"/>
    </row>
    <row r="3212" spans="1:1">
      <c r="A3212" s="32"/>
    </row>
    <row r="3213" spans="1:1">
      <c r="A3213" s="32"/>
    </row>
    <row r="3214" spans="1:1">
      <c r="A3214" s="32"/>
    </row>
    <row r="3215" spans="1:1">
      <c r="A3215" s="32"/>
    </row>
    <row r="3216" spans="1:1">
      <c r="A3216" s="32"/>
    </row>
    <row r="3217" spans="1:1">
      <c r="A3217" s="32"/>
    </row>
    <row r="3218" spans="1:1">
      <c r="A3218" s="32"/>
    </row>
    <row r="3219" spans="1:1">
      <c r="A3219" s="32"/>
    </row>
    <row r="3220" spans="1:1">
      <c r="A3220" s="32"/>
    </row>
    <row r="3221" spans="1:1">
      <c r="A3221" s="32"/>
    </row>
    <row r="3222" spans="1:1">
      <c r="A3222" s="32"/>
    </row>
    <row r="3223" spans="1:1">
      <c r="A3223" s="32"/>
    </row>
    <row r="3224" spans="1:1">
      <c r="A3224" s="32"/>
    </row>
    <row r="3225" spans="1:1">
      <c r="A3225" s="32"/>
    </row>
    <row r="3226" spans="1:1">
      <c r="A3226" s="32"/>
    </row>
    <row r="3227" spans="1:1">
      <c r="A3227" s="32"/>
    </row>
    <row r="3228" spans="1:1">
      <c r="A3228" s="32"/>
    </row>
    <row r="3229" spans="1:1">
      <c r="A3229" s="32"/>
    </row>
    <row r="3230" spans="1:1">
      <c r="A3230" s="32"/>
    </row>
    <row r="3231" spans="1:1">
      <c r="A3231" s="32"/>
    </row>
    <row r="3232" spans="1:1">
      <c r="A3232" s="32"/>
    </row>
    <row r="3233" spans="1:1">
      <c r="A3233" s="32"/>
    </row>
    <row r="3234" spans="1:1">
      <c r="A3234" s="32"/>
    </row>
    <row r="3235" spans="1:1">
      <c r="A3235" s="32"/>
    </row>
    <row r="3236" spans="1:1">
      <c r="A3236" s="32"/>
    </row>
    <row r="3237" spans="1:1">
      <c r="A3237" s="32"/>
    </row>
    <row r="3238" spans="1:1">
      <c r="A3238" s="32"/>
    </row>
    <row r="3239" spans="1:1">
      <c r="A3239" s="32"/>
    </row>
    <row r="3240" spans="1:1">
      <c r="A3240" s="32"/>
    </row>
    <row r="3241" spans="1:1">
      <c r="A3241" s="32"/>
    </row>
    <row r="3242" spans="1:1">
      <c r="A3242" s="32"/>
    </row>
    <row r="3243" spans="1:1">
      <c r="A3243" s="32"/>
    </row>
    <row r="3244" spans="1:1">
      <c r="A3244" s="32"/>
    </row>
    <row r="3245" spans="1:1">
      <c r="A3245" s="32"/>
    </row>
    <row r="3246" spans="1:1">
      <c r="A3246" s="32"/>
    </row>
    <row r="3247" spans="1:1">
      <c r="A3247" s="32"/>
    </row>
    <row r="3248" spans="1:1">
      <c r="A3248" s="32"/>
    </row>
    <row r="3249" spans="1:1">
      <c r="A3249" s="32"/>
    </row>
    <row r="3250" spans="1:1">
      <c r="A3250" s="32"/>
    </row>
    <row r="3251" spans="1:1">
      <c r="A3251" s="32"/>
    </row>
    <row r="3252" spans="1:1">
      <c r="A3252" s="32"/>
    </row>
    <row r="3253" spans="1:1">
      <c r="A3253" s="32"/>
    </row>
    <row r="3254" spans="1:1">
      <c r="A3254" s="32"/>
    </row>
    <row r="3255" spans="1:1">
      <c r="A3255" s="32"/>
    </row>
    <row r="3256" spans="1:1">
      <c r="A3256" s="32"/>
    </row>
    <row r="3257" spans="1:1">
      <c r="A3257" s="32"/>
    </row>
    <row r="3258" spans="1:1">
      <c r="A3258" s="32"/>
    </row>
    <row r="3259" spans="1:1">
      <c r="A3259" s="32"/>
    </row>
    <row r="3260" spans="1:1">
      <c r="A3260" s="32"/>
    </row>
    <row r="3261" spans="1:1">
      <c r="A3261" s="32"/>
    </row>
    <row r="3262" spans="1:1">
      <c r="A3262" s="32"/>
    </row>
    <row r="3263" spans="1:1">
      <c r="A3263" s="32"/>
    </row>
    <row r="3264" spans="1:1">
      <c r="A3264" s="32"/>
    </row>
    <row r="3265" spans="1:1">
      <c r="A3265" s="32"/>
    </row>
    <row r="3266" spans="1:1">
      <c r="A3266" s="32"/>
    </row>
    <row r="3267" spans="1:1">
      <c r="A3267" s="32"/>
    </row>
    <row r="3268" spans="1:1">
      <c r="A3268" s="32"/>
    </row>
    <row r="3269" spans="1:1">
      <c r="A3269" s="32"/>
    </row>
    <row r="3270" spans="1:1">
      <c r="A3270" s="32"/>
    </row>
    <row r="3271" spans="1:1">
      <c r="A3271" s="32"/>
    </row>
    <row r="3272" spans="1:1">
      <c r="A3272" s="32"/>
    </row>
    <row r="3273" spans="1:1">
      <c r="A3273" s="32"/>
    </row>
    <row r="3274" spans="1:1">
      <c r="A3274" s="32"/>
    </row>
    <row r="3275" spans="1:1">
      <c r="A3275" s="32"/>
    </row>
    <row r="3276" spans="1:1">
      <c r="A3276" s="32"/>
    </row>
    <row r="3277" spans="1:1">
      <c r="A3277" s="32"/>
    </row>
    <row r="3278" spans="1:1">
      <c r="A3278" s="32"/>
    </row>
    <row r="3279" spans="1:1">
      <c r="A3279" s="32"/>
    </row>
    <row r="3280" spans="1:1">
      <c r="A3280" s="32"/>
    </row>
    <row r="3281" spans="1:1">
      <c r="A3281" s="32"/>
    </row>
    <row r="3282" spans="1:1">
      <c r="A3282" s="32"/>
    </row>
    <row r="3283" spans="1:1">
      <c r="A3283" s="32"/>
    </row>
    <row r="3284" spans="1:1">
      <c r="A3284" s="32"/>
    </row>
    <row r="3285" spans="1:1">
      <c r="A3285" s="32"/>
    </row>
    <row r="3286" spans="1:1">
      <c r="A3286" s="32"/>
    </row>
    <row r="3287" spans="1:1">
      <c r="A3287" s="32"/>
    </row>
    <row r="3288" spans="1:1">
      <c r="A3288" s="32"/>
    </row>
    <row r="3289" spans="1:1">
      <c r="A3289" s="32"/>
    </row>
    <row r="3290" spans="1:1">
      <c r="A3290" s="32"/>
    </row>
    <row r="3291" spans="1:1">
      <c r="A3291" s="32"/>
    </row>
    <row r="3292" spans="1:1">
      <c r="A3292" s="32"/>
    </row>
    <row r="3293" spans="1:1">
      <c r="A3293" s="32"/>
    </row>
    <row r="3294" spans="1:1">
      <c r="A3294" s="32"/>
    </row>
    <row r="3295" spans="1:1">
      <c r="A3295" s="32"/>
    </row>
    <row r="3296" spans="1:1">
      <c r="A3296" s="32"/>
    </row>
    <row r="3297" spans="1:1">
      <c r="A3297" s="32"/>
    </row>
    <row r="3298" spans="1:1">
      <c r="A3298" s="32"/>
    </row>
    <row r="3299" spans="1:1">
      <c r="A3299" s="32"/>
    </row>
    <row r="3300" spans="1:1">
      <c r="A3300" s="32"/>
    </row>
    <row r="3301" spans="1:1">
      <c r="A3301" s="32"/>
    </row>
    <row r="3302" spans="1:1">
      <c r="A3302" s="32"/>
    </row>
    <row r="3303" spans="1:1">
      <c r="A3303" s="32"/>
    </row>
    <row r="3304" spans="1:1">
      <c r="A3304" s="32"/>
    </row>
    <row r="3305" spans="1:1">
      <c r="A3305" s="32"/>
    </row>
    <row r="3306" spans="1:1">
      <c r="A3306" s="32"/>
    </row>
    <row r="3307" spans="1:1">
      <c r="A3307" s="32"/>
    </row>
    <row r="3308" spans="1:1">
      <c r="A3308" s="32"/>
    </row>
    <row r="3309" spans="1:1">
      <c r="A3309" s="32"/>
    </row>
    <row r="3310" spans="1:1">
      <c r="A3310" s="32"/>
    </row>
    <row r="3311" spans="1:1">
      <c r="A3311" s="32"/>
    </row>
    <row r="3312" spans="1:1">
      <c r="A3312" s="32"/>
    </row>
    <row r="3313" spans="1:1">
      <c r="A3313" s="32"/>
    </row>
    <row r="3314" spans="1:1">
      <c r="A3314" s="32"/>
    </row>
    <row r="3315" spans="1:1">
      <c r="A3315" s="32"/>
    </row>
    <row r="3316" spans="1:1">
      <c r="A3316" s="32"/>
    </row>
    <row r="3317" spans="1:1">
      <c r="A3317" s="32"/>
    </row>
    <row r="3318" spans="1:1">
      <c r="A3318" s="32"/>
    </row>
    <row r="3319" spans="1:1">
      <c r="A3319" s="32"/>
    </row>
    <row r="3320" spans="1:1">
      <c r="A3320" s="32"/>
    </row>
    <row r="3321" spans="1:1">
      <c r="A3321" s="32"/>
    </row>
    <row r="3322" spans="1:1">
      <c r="A3322" s="32"/>
    </row>
    <row r="3323" spans="1:1">
      <c r="A3323" s="32"/>
    </row>
    <row r="3324" spans="1:1">
      <c r="A3324" s="32"/>
    </row>
    <row r="3325" spans="1:1">
      <c r="A3325" s="32"/>
    </row>
    <row r="3326" spans="1:1">
      <c r="A3326" s="32"/>
    </row>
    <row r="3327" spans="1:1">
      <c r="A3327" s="32"/>
    </row>
    <row r="3328" spans="1:1">
      <c r="A3328" s="32"/>
    </row>
    <row r="3329" spans="1:1">
      <c r="A3329" s="32"/>
    </row>
    <row r="3330" spans="1:1">
      <c r="A3330" s="32"/>
    </row>
    <row r="3331" spans="1:1">
      <c r="A3331" s="32"/>
    </row>
    <row r="3332" spans="1:1">
      <c r="A3332" s="32"/>
    </row>
    <row r="3333" spans="1:1">
      <c r="A3333" s="32"/>
    </row>
    <row r="3334" spans="1:1">
      <c r="A3334" s="32"/>
    </row>
    <row r="3335" spans="1:1">
      <c r="A3335" s="32"/>
    </row>
    <row r="3336" spans="1:1">
      <c r="A3336" s="32"/>
    </row>
    <row r="3337" spans="1:1">
      <c r="A3337" s="32"/>
    </row>
    <row r="3338" spans="1:1">
      <c r="A3338" s="32"/>
    </row>
    <row r="3339" spans="1:1">
      <c r="A3339" s="32"/>
    </row>
    <row r="3340" spans="1:1">
      <c r="A3340" s="32"/>
    </row>
    <row r="3341" spans="1:1">
      <c r="A3341" s="32"/>
    </row>
    <row r="3342" spans="1:1">
      <c r="A3342" s="32"/>
    </row>
    <row r="3343" spans="1:1">
      <c r="A3343" s="32"/>
    </row>
    <row r="3344" spans="1:1">
      <c r="A3344" s="32"/>
    </row>
    <row r="3345" spans="1:1">
      <c r="A3345" s="32"/>
    </row>
    <row r="3346" spans="1:1">
      <c r="A3346" s="32"/>
    </row>
    <row r="3347" spans="1:1">
      <c r="A3347" s="32"/>
    </row>
    <row r="3348" spans="1:1">
      <c r="A3348" s="32"/>
    </row>
    <row r="3349" spans="1:1">
      <c r="A3349" s="32"/>
    </row>
    <row r="3350" spans="1:1">
      <c r="A3350" s="32"/>
    </row>
    <row r="3351" spans="1:1">
      <c r="A3351" s="32"/>
    </row>
    <row r="3352" spans="1:1">
      <c r="A3352" s="32"/>
    </row>
    <row r="3353" spans="1:1">
      <c r="A3353" s="32"/>
    </row>
    <row r="3354" spans="1:1">
      <c r="A3354" s="32"/>
    </row>
    <row r="3355" spans="1:1">
      <c r="A3355" s="32"/>
    </row>
    <row r="3356" spans="1:1">
      <c r="A3356" s="32"/>
    </row>
    <row r="3357" spans="1:1">
      <c r="A3357" s="32"/>
    </row>
    <row r="3358" spans="1:1">
      <c r="A3358" s="32"/>
    </row>
    <row r="3359" spans="1:1">
      <c r="A3359" s="32"/>
    </row>
    <row r="3360" spans="1:1">
      <c r="A3360" s="32"/>
    </row>
    <row r="3361" spans="1:1">
      <c r="A3361" s="32"/>
    </row>
    <row r="3362" spans="1:1">
      <c r="A3362" s="32"/>
    </row>
    <row r="3363" spans="1:1">
      <c r="A3363" s="32"/>
    </row>
    <row r="3364" spans="1:1">
      <c r="A3364" s="32"/>
    </row>
    <row r="3365" spans="1:1">
      <c r="A3365" s="32"/>
    </row>
    <row r="3366" spans="1:1">
      <c r="A3366" s="32"/>
    </row>
    <row r="3367" spans="1:1">
      <c r="A3367" s="32"/>
    </row>
    <row r="3368" spans="1:1">
      <c r="A3368" s="32"/>
    </row>
    <row r="3369" spans="1:1">
      <c r="A3369" s="32"/>
    </row>
    <row r="3370" spans="1:1">
      <c r="A3370" s="32"/>
    </row>
    <row r="3371" spans="1:1">
      <c r="A3371" s="32"/>
    </row>
    <row r="3372" spans="1:1">
      <c r="A3372" s="32"/>
    </row>
    <row r="3373" spans="1:1">
      <c r="A3373" s="32"/>
    </row>
    <row r="3374" spans="1:1">
      <c r="A3374" s="32"/>
    </row>
    <row r="3375" spans="1:1">
      <c r="A3375" s="32"/>
    </row>
    <row r="3376" spans="1:1">
      <c r="A3376" s="32"/>
    </row>
    <row r="3377" spans="1:1">
      <c r="A3377" s="32"/>
    </row>
    <row r="3378" spans="1:1">
      <c r="A3378" s="32"/>
    </row>
    <row r="3379" spans="1:1">
      <c r="A3379" s="32"/>
    </row>
    <row r="3380" spans="1:1">
      <c r="A3380" s="32"/>
    </row>
    <row r="3381" spans="1:1">
      <c r="A3381" s="32"/>
    </row>
    <row r="3382" spans="1:1">
      <c r="A3382" s="32"/>
    </row>
    <row r="3383" spans="1:1">
      <c r="A3383" s="32"/>
    </row>
    <row r="3384" spans="1:1">
      <c r="A3384" s="32"/>
    </row>
    <row r="3385" spans="1:1">
      <c r="A3385" s="32"/>
    </row>
    <row r="3386" spans="1:1">
      <c r="A3386" s="32"/>
    </row>
    <row r="3387" spans="1:1">
      <c r="A3387" s="32"/>
    </row>
    <row r="3388" spans="1:1">
      <c r="A3388" s="32"/>
    </row>
    <row r="3389" spans="1:1">
      <c r="A3389" s="32"/>
    </row>
    <row r="3390" spans="1:1">
      <c r="A3390" s="32"/>
    </row>
    <row r="3391" spans="1:1">
      <c r="A3391" s="32"/>
    </row>
    <row r="3392" spans="1:1">
      <c r="A3392" s="32"/>
    </row>
    <row r="3393" spans="1:1">
      <c r="A3393" s="32"/>
    </row>
    <row r="3394" spans="1:1">
      <c r="A3394" s="32"/>
    </row>
    <row r="3395" spans="1:1">
      <c r="A3395" s="32"/>
    </row>
    <row r="3396" spans="1:1">
      <c r="A3396" s="32"/>
    </row>
    <row r="3397" spans="1:1">
      <c r="A3397" s="32"/>
    </row>
    <row r="3398" spans="1:1">
      <c r="A3398" s="32"/>
    </row>
    <row r="3399" spans="1:1">
      <c r="A3399" s="32"/>
    </row>
    <row r="3400" spans="1:1">
      <c r="A3400" s="32"/>
    </row>
    <row r="3401" spans="1:1">
      <c r="A3401" s="32"/>
    </row>
    <row r="3402" spans="1:1">
      <c r="A3402" s="32"/>
    </row>
    <row r="3403" spans="1:1">
      <c r="A3403" s="32"/>
    </row>
    <row r="3404" spans="1:1">
      <c r="A3404" s="32"/>
    </row>
    <row r="3405" spans="1:1">
      <c r="A3405" s="32"/>
    </row>
    <row r="3406" spans="1:1">
      <c r="A3406" s="32"/>
    </row>
    <row r="3407" spans="1:1">
      <c r="A3407" s="32"/>
    </row>
    <row r="3408" spans="1:1">
      <c r="A3408" s="32"/>
    </row>
    <row r="3409" spans="1:1">
      <c r="A3409" s="32"/>
    </row>
    <row r="3410" spans="1:1">
      <c r="A3410" s="32"/>
    </row>
    <row r="3411" spans="1:1">
      <c r="A3411" s="32"/>
    </row>
    <row r="3412" spans="1:1">
      <c r="A3412" s="32"/>
    </row>
    <row r="3413" spans="1:1">
      <c r="A3413" s="32"/>
    </row>
    <row r="3414" spans="1:1">
      <c r="A3414" s="32"/>
    </row>
    <row r="3415" spans="1:1">
      <c r="A3415" s="32"/>
    </row>
    <row r="3416" spans="1:1">
      <c r="A3416" s="32"/>
    </row>
    <row r="3417" spans="1:1">
      <c r="A3417" s="32"/>
    </row>
    <row r="3418" spans="1:1">
      <c r="A3418" s="32"/>
    </row>
    <row r="3419" spans="1:1">
      <c r="A3419" s="32"/>
    </row>
    <row r="3420" spans="1:1">
      <c r="A3420" s="32"/>
    </row>
    <row r="3421" spans="1:1">
      <c r="A3421" s="32"/>
    </row>
    <row r="3422" spans="1:1">
      <c r="A3422" s="32"/>
    </row>
    <row r="3423" spans="1:1">
      <c r="A3423" s="32"/>
    </row>
    <row r="3424" spans="1:1">
      <c r="A3424" s="32"/>
    </row>
    <row r="3425" spans="1:1">
      <c r="A3425" s="32"/>
    </row>
    <row r="3426" spans="1:1">
      <c r="A3426" s="32"/>
    </row>
    <row r="3427" spans="1:1">
      <c r="A3427" s="32"/>
    </row>
    <row r="3428" spans="1:1">
      <c r="A3428" s="32"/>
    </row>
    <row r="3429" spans="1:1">
      <c r="A3429" s="32"/>
    </row>
    <row r="3430" spans="1:1">
      <c r="A3430" s="32"/>
    </row>
    <row r="3431" spans="1:1">
      <c r="A3431" s="32"/>
    </row>
    <row r="3432" spans="1:1">
      <c r="A3432" s="32"/>
    </row>
    <row r="3433" spans="1:1">
      <c r="A3433" s="32"/>
    </row>
    <row r="3434" spans="1:1">
      <c r="A3434" s="32"/>
    </row>
    <row r="3435" spans="1:1">
      <c r="A3435" s="32"/>
    </row>
    <row r="3436" spans="1:1">
      <c r="A3436" s="32"/>
    </row>
    <row r="3437" spans="1:1">
      <c r="A3437" s="32"/>
    </row>
    <row r="3438" spans="1:1">
      <c r="A3438" s="32"/>
    </row>
    <row r="3439" spans="1:1">
      <c r="A3439" s="32"/>
    </row>
    <row r="3440" spans="1:1">
      <c r="A3440" s="32"/>
    </row>
    <row r="3441" spans="1:1">
      <c r="A3441" s="32"/>
    </row>
    <row r="3442" spans="1:1">
      <c r="A3442" s="32"/>
    </row>
    <row r="3443" spans="1:1">
      <c r="A3443" s="32"/>
    </row>
    <row r="3444" spans="1:1">
      <c r="A3444" s="32"/>
    </row>
    <row r="3445" spans="1:1">
      <c r="A3445" s="32"/>
    </row>
    <row r="3446" spans="1:1">
      <c r="A3446" s="32"/>
    </row>
    <row r="3447" spans="1:1">
      <c r="A3447" s="32"/>
    </row>
    <row r="3448" spans="1:1">
      <c r="A3448" s="32"/>
    </row>
    <row r="3449" spans="1:1">
      <c r="A3449" s="32"/>
    </row>
    <row r="3450" spans="1:1">
      <c r="A3450" s="32"/>
    </row>
    <row r="3451" spans="1:1">
      <c r="A3451" s="32"/>
    </row>
    <row r="3452" spans="1:1">
      <c r="A3452" s="32"/>
    </row>
    <row r="3453" spans="1:1">
      <c r="A3453" s="32"/>
    </row>
    <row r="3454" spans="1:1">
      <c r="A3454" s="32"/>
    </row>
    <row r="3455" spans="1:1">
      <c r="A3455" s="32"/>
    </row>
    <row r="3456" spans="1:1">
      <c r="A3456" s="32"/>
    </row>
    <row r="3457" spans="1:1">
      <c r="A3457" s="32"/>
    </row>
    <row r="3458" spans="1:1">
      <c r="A3458" s="32"/>
    </row>
    <row r="3459" spans="1:1">
      <c r="A3459" s="32"/>
    </row>
    <row r="3460" spans="1:1">
      <c r="A3460" s="32"/>
    </row>
    <row r="3461" spans="1:1">
      <c r="A3461" s="32"/>
    </row>
    <row r="3462" spans="1:1">
      <c r="A3462" s="32"/>
    </row>
    <row r="3463" spans="1:1">
      <c r="A3463" s="32"/>
    </row>
    <row r="3464" spans="1:1">
      <c r="A3464" s="32"/>
    </row>
    <row r="3465" spans="1:1">
      <c r="A3465" s="32"/>
    </row>
    <row r="3466" spans="1:1">
      <c r="A3466" s="32"/>
    </row>
    <row r="3467" spans="1:1">
      <c r="A3467" s="32"/>
    </row>
    <row r="3468" spans="1:1">
      <c r="A3468" s="32"/>
    </row>
    <row r="3469" spans="1:1">
      <c r="A3469" s="32"/>
    </row>
    <row r="3470" spans="1:1">
      <c r="A3470" s="32"/>
    </row>
    <row r="3471" spans="1:1">
      <c r="A3471" s="32"/>
    </row>
    <row r="3472" spans="1:1">
      <c r="A3472" s="32"/>
    </row>
    <row r="3473" spans="1:1">
      <c r="A3473" s="32"/>
    </row>
    <row r="3474" spans="1:1">
      <c r="A3474" s="32"/>
    </row>
    <row r="3475" spans="1:1">
      <c r="A3475" s="32"/>
    </row>
    <row r="3476" spans="1:1">
      <c r="A3476" s="32"/>
    </row>
    <row r="3477" spans="1:1">
      <c r="A3477" s="32"/>
    </row>
    <row r="3478" spans="1:1">
      <c r="A3478" s="32"/>
    </row>
    <row r="3479" spans="1:1">
      <c r="A3479" s="32"/>
    </row>
    <row r="3480" spans="1:1">
      <c r="A3480" s="32"/>
    </row>
    <row r="3481" spans="1:1">
      <c r="A3481" s="32"/>
    </row>
    <row r="3482" spans="1:1">
      <c r="A3482" s="32"/>
    </row>
    <row r="3483" spans="1:1">
      <c r="A3483" s="32"/>
    </row>
    <row r="3484" spans="1:1">
      <c r="A3484" s="32"/>
    </row>
    <row r="3485" spans="1:1">
      <c r="A3485" s="32"/>
    </row>
    <row r="3486" spans="1:1">
      <c r="A3486" s="32"/>
    </row>
    <row r="3487" spans="1:1">
      <c r="A3487" s="32"/>
    </row>
    <row r="3488" spans="1:1">
      <c r="A3488" s="32"/>
    </row>
    <row r="3489" spans="1:1">
      <c r="A3489" s="32"/>
    </row>
    <row r="3490" spans="1:1">
      <c r="A3490" s="32"/>
    </row>
    <row r="3491" spans="1:1">
      <c r="A3491" s="32"/>
    </row>
    <row r="3492" spans="1:1">
      <c r="A3492" s="32"/>
    </row>
    <row r="3493" spans="1:1">
      <c r="A3493" s="32"/>
    </row>
    <row r="3494" spans="1:1">
      <c r="A3494" s="32"/>
    </row>
    <row r="3495" spans="1:1">
      <c r="A3495" s="32"/>
    </row>
    <row r="3496" spans="1:1">
      <c r="A3496" s="32"/>
    </row>
    <row r="3497" spans="1:1">
      <c r="A3497" s="32"/>
    </row>
    <row r="3498" spans="1:1">
      <c r="A3498" s="32"/>
    </row>
    <row r="3499" spans="1:1">
      <c r="A3499" s="32"/>
    </row>
    <row r="3500" spans="1:1">
      <c r="A3500" s="32"/>
    </row>
    <row r="3501" spans="1:1">
      <c r="A3501" s="32"/>
    </row>
    <row r="3502" spans="1:1">
      <c r="A3502" s="32"/>
    </row>
    <row r="3503" spans="1:1">
      <c r="A3503" s="32"/>
    </row>
    <row r="3504" spans="1:1">
      <c r="A3504" s="32"/>
    </row>
    <row r="3505" spans="1:1">
      <c r="A3505" s="32"/>
    </row>
    <row r="3506" spans="1:1">
      <c r="A3506" s="32"/>
    </row>
    <row r="3507" spans="1:1">
      <c r="A3507" s="32"/>
    </row>
    <row r="3508" spans="1:1">
      <c r="A3508" s="32"/>
    </row>
    <row r="3509" spans="1:1">
      <c r="A3509" s="32"/>
    </row>
    <row r="3510" spans="1:1">
      <c r="A3510" s="32"/>
    </row>
    <row r="3511" spans="1:1">
      <c r="A3511" s="32"/>
    </row>
    <row r="3512" spans="1:1">
      <c r="A3512" s="32"/>
    </row>
    <row r="3513" spans="1:1">
      <c r="A3513" s="32"/>
    </row>
    <row r="3514" spans="1:1">
      <c r="A3514" s="32"/>
    </row>
    <row r="3515" spans="1:1">
      <c r="A3515" s="32"/>
    </row>
    <row r="3516" spans="1:1">
      <c r="A3516" s="32"/>
    </row>
    <row r="3517" spans="1:1">
      <c r="A3517" s="32"/>
    </row>
    <row r="3518" spans="1:1">
      <c r="A3518" s="32"/>
    </row>
    <row r="3519" spans="1:1">
      <c r="A3519" s="32"/>
    </row>
    <row r="3520" spans="1:1">
      <c r="A3520" s="32"/>
    </row>
    <row r="3521" spans="1:1">
      <c r="A3521" s="32"/>
    </row>
    <row r="3522" spans="1:1">
      <c r="A3522" s="32"/>
    </row>
    <row r="3523" spans="1:1">
      <c r="A3523" s="32"/>
    </row>
    <row r="3524" spans="1:1">
      <c r="A3524" s="32"/>
    </row>
    <row r="3525" spans="1:1">
      <c r="A3525" s="32"/>
    </row>
    <row r="3526" spans="1:1">
      <c r="A3526" s="32"/>
    </row>
    <row r="3527" spans="1:1">
      <c r="A3527" s="32"/>
    </row>
    <row r="3528" spans="1:1">
      <c r="A3528" s="32"/>
    </row>
    <row r="3529" spans="1:1">
      <c r="A3529" s="32"/>
    </row>
    <row r="3530" spans="1:1">
      <c r="A3530" s="32"/>
    </row>
    <row r="3531" spans="1:1">
      <c r="A3531" s="32"/>
    </row>
    <row r="3532" spans="1:1">
      <c r="A3532" s="32"/>
    </row>
    <row r="3533" spans="1:1">
      <c r="A3533" s="32"/>
    </row>
    <row r="3534" spans="1:1">
      <c r="A3534" s="32"/>
    </row>
    <row r="3535" spans="1:1">
      <c r="A3535" s="32"/>
    </row>
    <row r="3536" spans="1:1">
      <c r="A3536" s="32"/>
    </row>
    <row r="3537" spans="1:1">
      <c r="A3537" s="32"/>
    </row>
    <row r="3538" spans="1:1">
      <c r="A3538" s="32"/>
    </row>
    <row r="3539" spans="1:1">
      <c r="A3539" s="32"/>
    </row>
    <row r="3540" spans="1:1">
      <c r="A3540" s="32"/>
    </row>
    <row r="3541" spans="1:1">
      <c r="A3541" s="32"/>
    </row>
    <row r="3542" spans="1:1">
      <c r="A3542" s="32"/>
    </row>
    <row r="3543" spans="1:1">
      <c r="A3543" s="32"/>
    </row>
    <row r="3544" spans="1:1">
      <c r="A3544" s="32"/>
    </row>
    <row r="3545" spans="1:1">
      <c r="A3545" s="32"/>
    </row>
    <row r="3546" spans="1:1">
      <c r="A3546" s="32"/>
    </row>
    <row r="3547" spans="1:1">
      <c r="A3547" s="32"/>
    </row>
    <row r="3548" spans="1:1">
      <c r="A3548" s="32"/>
    </row>
    <row r="3549" spans="1:1">
      <c r="A3549" s="32"/>
    </row>
    <row r="3550" spans="1:1">
      <c r="A3550" s="32"/>
    </row>
    <row r="3551" spans="1:1">
      <c r="A3551" s="32"/>
    </row>
    <row r="3552" spans="1:1">
      <c r="A3552" s="32"/>
    </row>
    <row r="3553" spans="1:1">
      <c r="A3553" s="32"/>
    </row>
    <row r="3554" spans="1:1">
      <c r="A3554" s="32"/>
    </row>
    <row r="3555" spans="1:1">
      <c r="A3555" s="32"/>
    </row>
    <row r="3556" spans="1:1">
      <c r="A3556" s="32"/>
    </row>
    <row r="3557" spans="1:1">
      <c r="A3557" s="32"/>
    </row>
    <row r="3558" spans="1:1">
      <c r="A3558" s="32"/>
    </row>
    <row r="3559" spans="1:1">
      <c r="A3559" s="32"/>
    </row>
    <row r="3560" spans="1:1">
      <c r="A3560" s="32"/>
    </row>
    <row r="3561" spans="1:1">
      <c r="A3561" s="32"/>
    </row>
    <row r="3562" spans="1:1">
      <c r="A3562" s="32"/>
    </row>
    <row r="3563" spans="1:1">
      <c r="A3563" s="32"/>
    </row>
    <row r="3564" spans="1:1">
      <c r="A3564" s="32"/>
    </row>
    <row r="3565" spans="1:1">
      <c r="A3565" s="32"/>
    </row>
    <row r="3566" spans="1:1">
      <c r="A3566" s="32"/>
    </row>
    <row r="3567" spans="1:1">
      <c r="A3567" s="32"/>
    </row>
    <row r="3568" spans="1:1">
      <c r="A3568" s="32"/>
    </row>
    <row r="3569" spans="1:1">
      <c r="A3569" s="32"/>
    </row>
    <row r="3570" spans="1:1">
      <c r="A3570" s="32"/>
    </row>
    <row r="3571" spans="1:1">
      <c r="A3571" s="32"/>
    </row>
    <row r="3572" spans="1:1">
      <c r="A3572" s="32"/>
    </row>
    <row r="3573" spans="1:1">
      <c r="A3573" s="32"/>
    </row>
    <row r="3574" spans="1:1">
      <c r="A3574" s="32"/>
    </row>
    <row r="3575" spans="1:1">
      <c r="A3575" s="32"/>
    </row>
    <row r="3576" spans="1:1">
      <c r="A3576" s="32"/>
    </row>
    <row r="3577" spans="1:1">
      <c r="A3577" s="32"/>
    </row>
    <row r="3578" spans="1:1">
      <c r="A3578" s="32"/>
    </row>
    <row r="3579" spans="1:1">
      <c r="A3579" s="32"/>
    </row>
    <row r="3580" spans="1:1">
      <c r="A3580" s="32"/>
    </row>
    <row r="3581" spans="1:1">
      <c r="A3581" s="32"/>
    </row>
    <row r="3582" spans="1:1">
      <c r="A3582" s="32"/>
    </row>
    <row r="3583" spans="1:1">
      <c r="A3583" s="32"/>
    </row>
    <row r="3584" spans="1:1">
      <c r="A3584" s="32"/>
    </row>
    <row r="3585" spans="1:1">
      <c r="A3585" s="32"/>
    </row>
    <row r="3586" spans="1:1">
      <c r="A3586" s="32"/>
    </row>
    <row r="3587" spans="1:1">
      <c r="A3587" s="32"/>
    </row>
    <row r="3588" spans="1:1">
      <c r="A3588" s="32"/>
    </row>
    <row r="3589" spans="1:1">
      <c r="A3589" s="32"/>
    </row>
    <row r="3590" spans="1:1">
      <c r="A3590" s="32"/>
    </row>
    <row r="3591" spans="1:1">
      <c r="A3591" s="32"/>
    </row>
    <row r="3592" spans="1:1">
      <c r="A3592" s="32"/>
    </row>
    <row r="3593" spans="1:1">
      <c r="A3593" s="32"/>
    </row>
    <row r="3594" spans="1:1">
      <c r="A3594" s="32"/>
    </row>
    <row r="3595" spans="1:1">
      <c r="A3595" s="32"/>
    </row>
    <row r="3596" spans="1:1">
      <c r="A3596" s="32"/>
    </row>
    <row r="3597" spans="1:1">
      <c r="A3597" s="32"/>
    </row>
    <row r="3598" spans="1:1">
      <c r="A3598" s="32"/>
    </row>
    <row r="3599" spans="1:1">
      <c r="A3599" s="32"/>
    </row>
    <row r="3600" spans="1:1">
      <c r="A3600" s="32"/>
    </row>
    <row r="3601" spans="1:1">
      <c r="A3601" s="32"/>
    </row>
    <row r="3602" spans="1:1">
      <c r="A3602" s="32"/>
    </row>
    <row r="3603" spans="1:1">
      <c r="A3603" s="32"/>
    </row>
    <row r="3604" spans="1:1">
      <c r="A3604" s="32"/>
    </row>
    <row r="3605" spans="1:1">
      <c r="A3605" s="32"/>
    </row>
    <row r="3606" spans="1:1">
      <c r="A3606" s="32"/>
    </row>
    <row r="3607" spans="1:1">
      <c r="A3607" s="32"/>
    </row>
    <row r="3608" spans="1:1">
      <c r="A3608" s="32"/>
    </row>
    <row r="3609" spans="1:1">
      <c r="A3609" s="32"/>
    </row>
    <row r="3610" spans="1:1">
      <c r="A3610" s="32"/>
    </row>
    <row r="3611" spans="1:1">
      <c r="A3611" s="32"/>
    </row>
    <row r="3612" spans="1:1">
      <c r="A3612" s="32"/>
    </row>
    <row r="3613" spans="1:1">
      <c r="A3613" s="32"/>
    </row>
    <row r="3614" spans="1:1">
      <c r="A3614" s="32"/>
    </row>
    <row r="3615" spans="1:1">
      <c r="A3615" s="32"/>
    </row>
    <row r="3616" spans="1:1">
      <c r="A3616" s="32"/>
    </row>
    <row r="3617" spans="1:1">
      <c r="A3617" s="32"/>
    </row>
    <row r="3618" spans="1:1">
      <c r="A3618" s="32"/>
    </row>
    <row r="3619" spans="1:1">
      <c r="A3619" s="32"/>
    </row>
    <row r="3620" spans="1:1">
      <c r="A3620" s="32"/>
    </row>
    <row r="3621" spans="1:1">
      <c r="A3621" s="32"/>
    </row>
    <row r="3622" spans="1:1">
      <c r="A3622" s="32"/>
    </row>
    <row r="3623" spans="1:1">
      <c r="A3623" s="32"/>
    </row>
    <row r="3624" spans="1:1">
      <c r="A3624" s="32"/>
    </row>
    <row r="3625" spans="1:1">
      <c r="A3625" s="32"/>
    </row>
    <row r="3626" spans="1:1">
      <c r="A3626" s="32"/>
    </row>
    <row r="3627" spans="1:1">
      <c r="A3627" s="32"/>
    </row>
    <row r="3628" spans="1:1">
      <c r="A3628" s="32"/>
    </row>
    <row r="3629" spans="1:1">
      <c r="A3629" s="32"/>
    </row>
    <row r="3630" spans="1:1">
      <c r="A3630" s="32"/>
    </row>
    <row r="3631" spans="1:1">
      <c r="A3631" s="32"/>
    </row>
    <row r="3632" spans="1:1">
      <c r="A3632" s="32"/>
    </row>
    <row r="3633" spans="1:1">
      <c r="A3633" s="32"/>
    </row>
    <row r="3634" spans="1:1">
      <c r="A3634" s="32"/>
    </row>
    <row r="3635" spans="1:1">
      <c r="A3635" s="32"/>
    </row>
    <row r="3636" spans="1:1">
      <c r="A3636" s="32"/>
    </row>
    <row r="3637" spans="1:1">
      <c r="A3637" s="32"/>
    </row>
    <row r="3638" spans="1:1">
      <c r="A3638" s="32"/>
    </row>
    <row r="3639" spans="1:1">
      <c r="A3639" s="32"/>
    </row>
    <row r="3640" spans="1:1">
      <c r="A3640" s="32"/>
    </row>
    <row r="3641" spans="1:1">
      <c r="A3641" s="32"/>
    </row>
    <row r="3642" spans="1:1">
      <c r="A3642" s="32"/>
    </row>
    <row r="3643" spans="1:1">
      <c r="A3643" s="32"/>
    </row>
    <row r="3644" spans="1:1">
      <c r="A3644" s="32"/>
    </row>
    <row r="3645" spans="1:1">
      <c r="A3645" s="32"/>
    </row>
    <row r="3646" spans="1:1">
      <c r="A3646" s="32"/>
    </row>
    <row r="3647" spans="1:1">
      <c r="A3647" s="32"/>
    </row>
    <row r="3648" spans="1:1">
      <c r="A3648" s="32"/>
    </row>
    <row r="3649" spans="1:1">
      <c r="A3649" s="32"/>
    </row>
    <row r="3650" spans="1:1">
      <c r="A3650" s="32"/>
    </row>
    <row r="3651" spans="1:1">
      <c r="A3651" s="32"/>
    </row>
    <row r="3652" spans="1:1">
      <c r="A3652" s="32"/>
    </row>
    <row r="3653" spans="1:1">
      <c r="A3653" s="32"/>
    </row>
    <row r="3654" spans="1:1">
      <c r="A3654" s="32"/>
    </row>
    <row r="3655" spans="1:1">
      <c r="A3655" s="32"/>
    </row>
    <row r="3656" spans="1:1">
      <c r="A3656" s="32"/>
    </row>
    <row r="3657" spans="1:1">
      <c r="A3657" s="32"/>
    </row>
    <row r="3658" spans="1:1">
      <c r="A3658" s="32"/>
    </row>
    <row r="3659" spans="1:1">
      <c r="A3659" s="32"/>
    </row>
    <row r="3660" spans="1:1">
      <c r="A3660" s="32"/>
    </row>
    <row r="3661" spans="1:1">
      <c r="A3661" s="32"/>
    </row>
    <row r="3662" spans="1:1">
      <c r="A3662" s="32"/>
    </row>
    <row r="3663" spans="1:1">
      <c r="A3663" s="32"/>
    </row>
    <row r="3664" spans="1:1">
      <c r="A3664" s="32"/>
    </row>
    <row r="3665" spans="1:1">
      <c r="A3665" s="32"/>
    </row>
    <row r="3666" spans="1:1">
      <c r="A3666" s="32"/>
    </row>
    <row r="3667" spans="1:1">
      <c r="A3667" s="32"/>
    </row>
    <row r="3668" spans="1:1">
      <c r="A3668" s="32"/>
    </row>
    <row r="3669" spans="1:1">
      <c r="A3669" s="32"/>
    </row>
    <row r="3670" spans="1:1">
      <c r="A3670" s="32"/>
    </row>
    <row r="3671" spans="1:1">
      <c r="A3671" s="32"/>
    </row>
    <row r="3672" spans="1:1">
      <c r="A3672" s="32"/>
    </row>
    <row r="3673" spans="1:1">
      <c r="A3673" s="32"/>
    </row>
    <row r="3674" spans="1:1">
      <c r="A3674" s="32"/>
    </row>
    <row r="3675" spans="1:1">
      <c r="A3675" s="32"/>
    </row>
    <row r="3676" spans="1:1">
      <c r="A3676" s="32"/>
    </row>
    <row r="3677" spans="1:1">
      <c r="A3677" s="32"/>
    </row>
    <row r="3678" spans="1:1">
      <c r="A3678" s="32"/>
    </row>
    <row r="3679" spans="1:1">
      <c r="A3679" s="32"/>
    </row>
    <row r="3680" spans="1:1">
      <c r="A3680" s="32"/>
    </row>
    <row r="3681" spans="1:1">
      <c r="A3681" s="32"/>
    </row>
    <row r="3682" spans="1:1">
      <c r="A3682" s="32"/>
    </row>
    <row r="3683" spans="1:1">
      <c r="A3683" s="32"/>
    </row>
    <row r="3684" spans="1:1">
      <c r="A3684" s="32"/>
    </row>
    <row r="3685" spans="1:1">
      <c r="A3685" s="32"/>
    </row>
    <row r="3686" spans="1:1">
      <c r="A3686" s="32"/>
    </row>
    <row r="3687" spans="1:1">
      <c r="A3687" s="32"/>
    </row>
    <row r="3688" spans="1:1">
      <c r="A3688" s="32"/>
    </row>
    <row r="3689" spans="1:1">
      <c r="A3689" s="32"/>
    </row>
    <row r="3690" spans="1:1">
      <c r="A3690" s="32"/>
    </row>
    <row r="3691" spans="1:1">
      <c r="A3691" s="32"/>
    </row>
    <row r="3692" spans="1:1">
      <c r="A3692" s="32"/>
    </row>
    <row r="3693" spans="1:1">
      <c r="A3693" s="32"/>
    </row>
    <row r="3694" spans="1:1">
      <c r="A3694" s="32"/>
    </row>
    <row r="3695" spans="1:1">
      <c r="A3695" s="32"/>
    </row>
    <row r="3696" spans="1:1">
      <c r="A3696" s="32"/>
    </row>
    <row r="3697" spans="1:1">
      <c r="A3697" s="32"/>
    </row>
    <row r="3698" spans="1:1">
      <c r="A3698" s="32"/>
    </row>
    <row r="3699" spans="1:1">
      <c r="A3699" s="32"/>
    </row>
    <row r="3700" spans="1:1">
      <c r="A3700" s="32"/>
    </row>
    <row r="3701" spans="1:1">
      <c r="A3701" s="32"/>
    </row>
    <row r="3702" spans="1:1">
      <c r="A3702" s="32"/>
    </row>
    <row r="3703" spans="1:1">
      <c r="A3703" s="32"/>
    </row>
    <row r="3704" spans="1:1">
      <c r="A3704" s="32"/>
    </row>
    <row r="3705" spans="1:1">
      <c r="A3705" s="32"/>
    </row>
    <row r="3706" spans="1:1">
      <c r="A3706" s="32"/>
    </row>
    <row r="3707" spans="1:1">
      <c r="A3707" s="32"/>
    </row>
    <row r="3708" spans="1:1">
      <c r="A3708" s="32"/>
    </row>
    <row r="3709" spans="1:1">
      <c r="A3709" s="32"/>
    </row>
    <row r="3710" spans="1:1">
      <c r="A3710" s="32"/>
    </row>
    <row r="3711" spans="1:1">
      <c r="A3711" s="32"/>
    </row>
    <row r="3712" spans="1:1">
      <c r="A3712" s="32"/>
    </row>
    <row r="3713" spans="1:1">
      <c r="A3713" s="32"/>
    </row>
    <row r="3714" spans="1:1">
      <c r="A3714" s="32"/>
    </row>
    <row r="3715" spans="1:1">
      <c r="A3715" s="32"/>
    </row>
    <row r="3716" spans="1:1">
      <c r="A3716" s="32"/>
    </row>
    <row r="3717" spans="1:1">
      <c r="A3717" s="32"/>
    </row>
    <row r="3718" spans="1:1">
      <c r="A3718" s="32"/>
    </row>
    <row r="3719" spans="1:1">
      <c r="A3719" s="32"/>
    </row>
    <row r="3720" spans="1:1">
      <c r="A3720" s="32"/>
    </row>
    <row r="3721" spans="1:1">
      <c r="A3721" s="32"/>
    </row>
    <row r="3722" spans="1:1">
      <c r="A3722" s="32"/>
    </row>
    <row r="3723" spans="1:1">
      <c r="A3723" s="32"/>
    </row>
    <row r="3724" spans="1:1">
      <c r="A3724" s="32"/>
    </row>
    <row r="3725" spans="1:1">
      <c r="A3725" s="32"/>
    </row>
    <row r="3726" spans="1:1">
      <c r="A3726" s="32"/>
    </row>
    <row r="3727" spans="1:1">
      <c r="A3727" s="32"/>
    </row>
    <row r="3728" spans="1:1">
      <c r="A3728" s="32"/>
    </row>
    <row r="3729" spans="1:1">
      <c r="A3729" s="32"/>
    </row>
    <row r="3730" spans="1:1">
      <c r="A3730" s="32"/>
    </row>
    <row r="3731" spans="1:1">
      <c r="A3731" s="32"/>
    </row>
    <row r="3732" spans="1:1">
      <c r="A3732" s="32"/>
    </row>
    <row r="3733" spans="1:1">
      <c r="A3733" s="32"/>
    </row>
    <row r="3734" spans="1:1">
      <c r="A3734" s="32"/>
    </row>
    <row r="3735" spans="1:1">
      <c r="A3735" s="32"/>
    </row>
    <row r="3736" spans="1:1">
      <c r="A3736" s="32"/>
    </row>
    <row r="3737" spans="1:1">
      <c r="A3737" s="32"/>
    </row>
    <row r="3738" spans="1:1">
      <c r="A3738" s="32"/>
    </row>
    <row r="3739" spans="1:1">
      <c r="A3739" s="32"/>
    </row>
    <row r="3740" spans="1:1">
      <c r="A3740" s="32"/>
    </row>
    <row r="3741" spans="1:1">
      <c r="A3741" s="32"/>
    </row>
    <row r="3742" spans="1:1">
      <c r="A3742" s="32"/>
    </row>
    <row r="3743" spans="1:1">
      <c r="A3743" s="32"/>
    </row>
    <row r="3744" spans="1:1">
      <c r="A3744" s="32"/>
    </row>
    <row r="3745" spans="1:1">
      <c r="A3745" s="32"/>
    </row>
    <row r="3746" spans="1:1">
      <c r="A3746" s="32"/>
    </row>
    <row r="3747" spans="1:1">
      <c r="A3747" s="32"/>
    </row>
    <row r="3748" spans="1:1">
      <c r="A3748" s="32"/>
    </row>
    <row r="3749" spans="1:1">
      <c r="A3749" s="32"/>
    </row>
    <row r="3750" spans="1:1">
      <c r="A3750" s="32"/>
    </row>
    <row r="3751" spans="1:1">
      <c r="A3751" s="32"/>
    </row>
    <row r="3752" spans="1:1">
      <c r="A3752" s="32"/>
    </row>
    <row r="3753" spans="1:1">
      <c r="A3753" s="32"/>
    </row>
    <row r="3754" spans="1:1">
      <c r="A3754" s="32"/>
    </row>
    <row r="3755" spans="1:1">
      <c r="A3755" s="32"/>
    </row>
    <row r="3756" spans="1:1">
      <c r="A3756" s="32"/>
    </row>
    <row r="3757" spans="1:1">
      <c r="A3757" s="32"/>
    </row>
    <row r="3758" spans="1:1">
      <c r="A3758" s="32"/>
    </row>
    <row r="3759" spans="1:1">
      <c r="A3759" s="32"/>
    </row>
    <row r="3760" spans="1:1">
      <c r="A3760" s="32"/>
    </row>
    <row r="3761" spans="1:1">
      <c r="A3761" s="32"/>
    </row>
    <row r="3762" spans="1:1">
      <c r="A3762" s="32"/>
    </row>
    <row r="3763" spans="1:1">
      <c r="A3763" s="32"/>
    </row>
    <row r="3764" spans="1:1">
      <c r="A3764" s="32"/>
    </row>
    <row r="3765" spans="1:1">
      <c r="A3765" s="32"/>
    </row>
    <row r="3766" spans="1:1">
      <c r="A3766" s="32"/>
    </row>
    <row r="3767" spans="1:1">
      <c r="A3767" s="32"/>
    </row>
    <row r="3768" spans="1:1">
      <c r="A3768" s="32"/>
    </row>
    <row r="3769" spans="1:1">
      <c r="A3769" s="32"/>
    </row>
    <row r="3770" spans="1:1">
      <c r="A3770" s="32"/>
    </row>
    <row r="3771" spans="1:1">
      <c r="A3771" s="32"/>
    </row>
    <row r="3772" spans="1:1">
      <c r="A3772" s="32"/>
    </row>
    <row r="3773" spans="1:1">
      <c r="A3773" s="32"/>
    </row>
    <row r="3774" spans="1:1">
      <c r="A3774" s="32"/>
    </row>
    <row r="3775" spans="1:1">
      <c r="A3775" s="32"/>
    </row>
    <row r="3776" spans="1:1">
      <c r="A3776" s="32"/>
    </row>
    <row r="3777" spans="1:1">
      <c r="A3777" s="32"/>
    </row>
    <row r="3778" spans="1:1">
      <c r="A3778" s="32"/>
    </row>
    <row r="3779" spans="1:1">
      <c r="A3779" s="32"/>
    </row>
    <row r="3780" spans="1:1">
      <c r="A3780" s="32"/>
    </row>
    <row r="3781" spans="1:1">
      <c r="A3781" s="32"/>
    </row>
    <row r="3782" spans="1:1">
      <c r="A3782" s="32"/>
    </row>
    <row r="3783" spans="1:1">
      <c r="A3783" s="32"/>
    </row>
    <row r="3784" spans="1:1">
      <c r="A3784" s="32"/>
    </row>
    <row r="3785" spans="1:1">
      <c r="A3785" s="32"/>
    </row>
    <row r="3786" spans="1:1">
      <c r="A3786" s="32"/>
    </row>
    <row r="3787" spans="1:1">
      <c r="A3787" s="32"/>
    </row>
    <row r="3788" spans="1:1">
      <c r="A3788" s="32"/>
    </row>
    <row r="3789" spans="1:1">
      <c r="A3789" s="32"/>
    </row>
    <row r="3790" spans="1:1">
      <c r="A3790" s="32"/>
    </row>
    <row r="3791" spans="1:1">
      <c r="A3791" s="32"/>
    </row>
    <row r="3792" spans="1:1">
      <c r="A3792" s="32"/>
    </row>
    <row r="3793" spans="1:1">
      <c r="A3793" s="32"/>
    </row>
    <row r="3794" spans="1:1">
      <c r="A3794" s="32"/>
    </row>
    <row r="3795" spans="1:1">
      <c r="A3795" s="32"/>
    </row>
    <row r="3796" spans="1:1">
      <c r="A3796" s="32"/>
    </row>
    <row r="3797" spans="1:1">
      <c r="A3797" s="32"/>
    </row>
    <row r="3798" spans="1:1">
      <c r="A3798" s="32"/>
    </row>
    <row r="3799" spans="1:1">
      <c r="A3799" s="32"/>
    </row>
    <row r="3800" spans="1:1">
      <c r="A3800" s="32"/>
    </row>
    <row r="3801" spans="1:1">
      <c r="A3801" s="32"/>
    </row>
    <row r="3802" spans="1:1">
      <c r="A3802" s="32"/>
    </row>
    <row r="3803" spans="1:1">
      <c r="A3803" s="32"/>
    </row>
    <row r="3804" spans="1:1">
      <c r="A3804" s="32"/>
    </row>
    <row r="3805" spans="1:1">
      <c r="A3805" s="32"/>
    </row>
    <row r="3806" spans="1:1">
      <c r="A3806" s="32"/>
    </row>
    <row r="3807" spans="1:1">
      <c r="A3807" s="32"/>
    </row>
    <row r="3808" spans="1:1">
      <c r="A3808" s="32"/>
    </row>
    <row r="3809" spans="1:1">
      <c r="A3809" s="32"/>
    </row>
    <row r="3810" spans="1:1">
      <c r="A3810" s="32"/>
    </row>
    <row r="3811" spans="1:1">
      <c r="A3811" s="32"/>
    </row>
    <row r="3812" spans="1:1">
      <c r="A3812" s="32"/>
    </row>
    <row r="3813" spans="1:1">
      <c r="A3813" s="32"/>
    </row>
    <row r="3814" spans="1:1">
      <c r="A3814" s="32"/>
    </row>
    <row r="3815" spans="1:1">
      <c r="A3815" s="32"/>
    </row>
    <row r="3816" spans="1:1">
      <c r="A3816" s="32"/>
    </row>
    <row r="3817" spans="1:1">
      <c r="A3817" s="32"/>
    </row>
    <row r="3818" spans="1:1">
      <c r="A3818" s="32"/>
    </row>
    <row r="3819" spans="1:1">
      <c r="A3819" s="32"/>
    </row>
    <row r="3820" spans="1:1">
      <c r="A3820" s="32"/>
    </row>
    <row r="3821" spans="1:1">
      <c r="A3821" s="32"/>
    </row>
    <row r="3822" spans="1:1">
      <c r="A3822" s="32"/>
    </row>
    <row r="3823" spans="1:1">
      <c r="A3823" s="32"/>
    </row>
    <row r="3824" spans="1:1">
      <c r="A3824" s="32"/>
    </row>
    <row r="3825" spans="1:1">
      <c r="A3825" s="32"/>
    </row>
    <row r="3826" spans="1:1">
      <c r="A3826" s="32"/>
    </row>
    <row r="3827" spans="1:1">
      <c r="A3827" s="32"/>
    </row>
    <row r="3828" spans="1:1">
      <c r="A3828" s="32"/>
    </row>
    <row r="3829" spans="1:1">
      <c r="A3829" s="32"/>
    </row>
    <row r="3830" spans="1:1">
      <c r="A3830" s="32"/>
    </row>
    <row r="3831" spans="1:1">
      <c r="A3831" s="32"/>
    </row>
    <row r="3832" spans="1:1">
      <c r="A3832" s="32"/>
    </row>
    <row r="3833" spans="1:1">
      <c r="A3833" s="32"/>
    </row>
    <row r="3834" spans="1:1">
      <c r="A3834" s="32"/>
    </row>
    <row r="3835" spans="1:1">
      <c r="A3835" s="32"/>
    </row>
    <row r="3836" spans="1:1">
      <c r="A3836" s="32"/>
    </row>
    <row r="3837" spans="1:1">
      <c r="A3837" s="32"/>
    </row>
    <row r="3838" spans="1:1">
      <c r="A3838" s="32"/>
    </row>
    <row r="3839" spans="1:1">
      <c r="A3839" s="32"/>
    </row>
    <row r="3840" spans="1:1">
      <c r="A3840" s="32"/>
    </row>
    <row r="3841" spans="1:1">
      <c r="A3841" s="32"/>
    </row>
    <row r="3842" spans="1:1">
      <c r="A3842" s="32"/>
    </row>
    <row r="3843" spans="1:1">
      <c r="A3843" s="32"/>
    </row>
    <row r="3844" spans="1:1">
      <c r="A3844" s="32"/>
    </row>
    <row r="3845" spans="1:1">
      <c r="A3845" s="32"/>
    </row>
    <row r="3846" spans="1:1">
      <c r="A3846" s="32"/>
    </row>
    <row r="3847" spans="1:1">
      <c r="A3847" s="32"/>
    </row>
    <row r="3848" spans="1:1">
      <c r="A3848" s="32"/>
    </row>
    <row r="3849" spans="1:1">
      <c r="A3849" s="32"/>
    </row>
    <row r="3850" spans="1:1">
      <c r="A3850" s="32"/>
    </row>
    <row r="3851" spans="1:1">
      <c r="A3851" s="32"/>
    </row>
    <row r="3852" spans="1:1">
      <c r="A3852" s="32"/>
    </row>
    <row r="3853" spans="1:1">
      <c r="A3853" s="32"/>
    </row>
    <row r="3854" spans="1:1">
      <c r="A3854" s="32"/>
    </row>
    <row r="3855" spans="1:1">
      <c r="A3855" s="32"/>
    </row>
    <row r="3856" spans="1:1">
      <c r="A3856" s="32"/>
    </row>
    <row r="3857" spans="1:1">
      <c r="A3857" s="32"/>
    </row>
    <row r="3858" spans="1:1">
      <c r="A3858" s="32"/>
    </row>
    <row r="3859" spans="1:1">
      <c r="A3859" s="32"/>
    </row>
    <row r="3860" spans="1:1">
      <c r="A3860" s="32"/>
    </row>
    <row r="3861" spans="1:1">
      <c r="A3861" s="32"/>
    </row>
    <row r="3862" spans="1:1">
      <c r="A3862" s="32"/>
    </row>
    <row r="3863" spans="1:1">
      <c r="A3863" s="32"/>
    </row>
    <row r="3864" spans="1:1">
      <c r="A3864" s="32"/>
    </row>
    <row r="3865" spans="1:1">
      <c r="A3865" s="32"/>
    </row>
    <row r="3866" spans="1:1">
      <c r="A3866" s="32"/>
    </row>
    <row r="3867" spans="1:1">
      <c r="A3867" s="32"/>
    </row>
    <row r="3868" spans="1:1">
      <c r="A3868" s="32"/>
    </row>
    <row r="3869" spans="1:1">
      <c r="A3869" s="32"/>
    </row>
    <row r="3870" spans="1:1">
      <c r="A3870" s="32"/>
    </row>
    <row r="3871" spans="1:1">
      <c r="A3871" s="32"/>
    </row>
    <row r="3872" spans="1:1">
      <c r="A3872" s="32"/>
    </row>
    <row r="3873" spans="1:1">
      <c r="A3873" s="32"/>
    </row>
    <row r="3874" spans="1:1">
      <c r="A3874" s="32"/>
    </row>
    <row r="3875" spans="1:1">
      <c r="A3875" s="32"/>
    </row>
    <row r="3876" spans="1:1">
      <c r="A3876" s="32"/>
    </row>
    <row r="3877" spans="1:1">
      <c r="A3877" s="32"/>
    </row>
    <row r="3878" spans="1:1">
      <c r="A3878" s="32"/>
    </row>
    <row r="3879" spans="1:1">
      <c r="A3879" s="32"/>
    </row>
    <row r="3880" spans="1:1">
      <c r="A3880" s="32"/>
    </row>
    <row r="3881" spans="1:1">
      <c r="A3881" s="32"/>
    </row>
    <row r="3882" spans="1:1">
      <c r="A3882" s="32"/>
    </row>
    <row r="3883" spans="1:1">
      <c r="A3883" s="32"/>
    </row>
    <row r="3884" spans="1:1">
      <c r="A3884" s="32"/>
    </row>
    <row r="3885" spans="1:1">
      <c r="A3885" s="32"/>
    </row>
    <row r="3886" spans="1:1">
      <c r="A3886" s="32"/>
    </row>
    <row r="3887" spans="1:1">
      <c r="A3887" s="32"/>
    </row>
    <row r="3888" spans="1:1">
      <c r="A3888" s="32"/>
    </row>
    <row r="3889" spans="1:1">
      <c r="A3889" s="32"/>
    </row>
    <row r="3890" spans="1:1">
      <c r="A3890" s="32"/>
    </row>
    <row r="3891" spans="1:1">
      <c r="A3891" s="32"/>
    </row>
    <row r="3892" spans="1:1">
      <c r="A3892" s="32"/>
    </row>
    <row r="3893" spans="1:1">
      <c r="A3893" s="32"/>
    </row>
    <row r="3894" spans="1:1">
      <c r="A3894" s="32"/>
    </row>
    <row r="3895" spans="1:1">
      <c r="A3895" s="32"/>
    </row>
    <row r="3896" spans="1:1">
      <c r="A3896" s="32"/>
    </row>
    <row r="3897" spans="1:1">
      <c r="A3897" s="32"/>
    </row>
    <row r="3898" spans="1:1">
      <c r="A3898" s="32"/>
    </row>
    <row r="3899" spans="1:1">
      <c r="A3899" s="32"/>
    </row>
    <row r="3900" spans="1:1">
      <c r="A3900" s="32"/>
    </row>
    <row r="3901" spans="1:1">
      <c r="A3901" s="32"/>
    </row>
    <row r="3902" spans="1:1">
      <c r="A3902" s="32"/>
    </row>
    <row r="3903" spans="1:1">
      <c r="A3903" s="32"/>
    </row>
    <row r="3904" spans="1:1">
      <c r="A3904" s="32"/>
    </row>
    <row r="3905" spans="1:1">
      <c r="A3905" s="32"/>
    </row>
    <row r="3906" spans="1:1">
      <c r="A3906" s="32"/>
    </row>
    <row r="3907" spans="1:1">
      <c r="A3907" s="32"/>
    </row>
    <row r="3908" spans="1:1">
      <c r="A3908" s="32"/>
    </row>
    <row r="3909" spans="1:1">
      <c r="A3909" s="32"/>
    </row>
    <row r="3910" spans="1:1">
      <c r="A3910" s="32"/>
    </row>
    <row r="3911" spans="1:1">
      <c r="A3911" s="32"/>
    </row>
    <row r="3912" spans="1:1">
      <c r="A3912" s="32"/>
    </row>
    <row r="3913" spans="1:1">
      <c r="A3913" s="32"/>
    </row>
    <row r="3914" spans="1:1">
      <c r="A3914" s="32"/>
    </row>
    <row r="3915" spans="1:1">
      <c r="A3915" s="32"/>
    </row>
    <row r="3916" spans="1:1">
      <c r="A3916" s="32"/>
    </row>
    <row r="3917" spans="1:1">
      <c r="A3917" s="32"/>
    </row>
    <row r="3918" spans="1:1">
      <c r="A3918" s="32"/>
    </row>
    <row r="3919" spans="1:1">
      <c r="A3919" s="32"/>
    </row>
    <row r="3920" spans="1:1">
      <c r="A3920" s="32"/>
    </row>
    <row r="3921" spans="1:1">
      <c r="A3921" s="32"/>
    </row>
    <row r="3922" spans="1:1">
      <c r="A3922" s="32"/>
    </row>
    <row r="3923" spans="1:1">
      <c r="A3923" s="32"/>
    </row>
    <row r="3924" spans="1:1">
      <c r="A3924" s="32"/>
    </row>
    <row r="3925" spans="1:1">
      <c r="A3925" s="32"/>
    </row>
    <row r="3926" spans="1:1">
      <c r="A3926" s="32"/>
    </row>
    <row r="3927" spans="1:1">
      <c r="A3927" s="32"/>
    </row>
    <row r="3928" spans="1:1">
      <c r="A3928" s="32"/>
    </row>
    <row r="3929" spans="1:1">
      <c r="A3929" s="32"/>
    </row>
    <row r="3930" spans="1:1">
      <c r="A3930" s="32"/>
    </row>
    <row r="3931" spans="1:1">
      <c r="A3931" s="32"/>
    </row>
    <row r="3932" spans="1:1">
      <c r="A3932" s="32"/>
    </row>
    <row r="3933" spans="1:1">
      <c r="A3933" s="32"/>
    </row>
    <row r="3934" spans="1:1">
      <c r="A3934" s="32"/>
    </row>
    <row r="3935" spans="1:1">
      <c r="A3935" s="32"/>
    </row>
    <row r="3936" spans="1:1">
      <c r="A3936" s="32"/>
    </row>
    <row r="3937" spans="1:1">
      <c r="A3937" s="32"/>
    </row>
    <row r="3938" spans="1:1">
      <c r="A3938" s="32"/>
    </row>
    <row r="3939" spans="1:1">
      <c r="A3939" s="32"/>
    </row>
    <row r="3940" spans="1:1">
      <c r="A3940" s="32"/>
    </row>
    <row r="3941" spans="1:1">
      <c r="A3941" s="32"/>
    </row>
    <row r="3942" spans="1:1">
      <c r="A3942" s="32"/>
    </row>
    <row r="3943" spans="1:1">
      <c r="A3943" s="32"/>
    </row>
    <row r="3944" spans="1:1">
      <c r="A3944" s="32"/>
    </row>
    <row r="3945" spans="1:1">
      <c r="A3945" s="32"/>
    </row>
    <row r="3946" spans="1:1">
      <c r="A3946" s="32"/>
    </row>
    <row r="3947" spans="1:1">
      <c r="A3947" s="32"/>
    </row>
    <row r="3948" spans="1:1">
      <c r="A3948" s="32"/>
    </row>
    <row r="3949" spans="1:1">
      <c r="A3949" s="32"/>
    </row>
    <row r="3950" spans="1:1">
      <c r="A3950" s="32"/>
    </row>
    <row r="3951" spans="1:1">
      <c r="A3951" s="32"/>
    </row>
    <row r="3952" spans="1:1">
      <c r="A3952" s="32"/>
    </row>
    <row r="3953" spans="1:1">
      <c r="A3953" s="32"/>
    </row>
    <row r="3954" spans="1:1">
      <c r="A3954" s="32"/>
    </row>
    <row r="3955" spans="1:1">
      <c r="A3955" s="32"/>
    </row>
    <row r="3956" spans="1:1">
      <c r="A3956" s="32"/>
    </row>
    <row r="3957" spans="1:1">
      <c r="A3957" s="32"/>
    </row>
    <row r="3958" spans="1:1">
      <c r="A3958" s="32"/>
    </row>
    <row r="3959" spans="1:1">
      <c r="A3959" s="32"/>
    </row>
    <row r="3960" spans="1:1">
      <c r="A3960" s="32"/>
    </row>
    <row r="3961" spans="1:1">
      <c r="A3961" s="32"/>
    </row>
    <row r="3962" spans="1:1">
      <c r="A3962" s="32"/>
    </row>
    <row r="3963" spans="1:1">
      <c r="A3963" s="32"/>
    </row>
    <row r="3964" spans="1:1">
      <c r="A3964" s="32"/>
    </row>
    <row r="3965" spans="1:1">
      <c r="A3965" s="32"/>
    </row>
    <row r="3966" spans="1:1">
      <c r="A3966" s="32"/>
    </row>
    <row r="3967" spans="1:1">
      <c r="A3967" s="32"/>
    </row>
    <row r="3968" spans="1:1">
      <c r="A3968" s="32"/>
    </row>
    <row r="3969" spans="1:1">
      <c r="A3969" s="32"/>
    </row>
    <row r="3970" spans="1:1">
      <c r="A3970" s="32"/>
    </row>
    <row r="3971" spans="1:1">
      <c r="A3971" s="32"/>
    </row>
    <row r="3972" spans="1:1">
      <c r="A3972" s="32"/>
    </row>
    <row r="3973" spans="1:1">
      <c r="A3973" s="32"/>
    </row>
    <row r="3974" spans="1:1">
      <c r="A3974" s="32"/>
    </row>
    <row r="3975" spans="1:1">
      <c r="A3975" s="32"/>
    </row>
    <row r="3976" spans="1:1">
      <c r="A3976" s="32"/>
    </row>
    <row r="3977" spans="1:1">
      <c r="A3977" s="32"/>
    </row>
    <row r="3978" spans="1:1">
      <c r="A3978" s="32"/>
    </row>
    <row r="3979" spans="1:1">
      <c r="A3979" s="32"/>
    </row>
    <row r="3980" spans="1:1">
      <c r="A3980" s="32"/>
    </row>
    <row r="3981" spans="1:1">
      <c r="A3981" s="32"/>
    </row>
    <row r="3982" spans="1:1">
      <c r="A3982" s="32"/>
    </row>
    <row r="3983" spans="1:1">
      <c r="A3983" s="32"/>
    </row>
    <row r="3984" spans="1:1">
      <c r="A3984" s="32"/>
    </row>
    <row r="3985" spans="1:1">
      <c r="A3985" s="32"/>
    </row>
    <row r="3986" spans="1:1">
      <c r="A3986" s="32"/>
    </row>
    <row r="3987" spans="1:1">
      <c r="A3987" s="32"/>
    </row>
    <row r="3988" spans="1:1">
      <c r="A3988" s="32"/>
    </row>
    <row r="3989" spans="1:1">
      <c r="A3989" s="32"/>
    </row>
    <row r="3990" spans="1:1">
      <c r="A3990" s="32"/>
    </row>
    <row r="3991" spans="1:1">
      <c r="A3991" s="32"/>
    </row>
    <row r="3992" spans="1:1">
      <c r="A3992" s="32"/>
    </row>
    <row r="3993" spans="1:1">
      <c r="A3993" s="32"/>
    </row>
    <row r="3994" spans="1:1">
      <c r="A3994" s="32"/>
    </row>
    <row r="3995" spans="1:1">
      <c r="A3995" s="32"/>
    </row>
    <row r="3996" spans="1:1">
      <c r="A3996" s="32"/>
    </row>
    <row r="3997" spans="1:1">
      <c r="A3997" s="32"/>
    </row>
    <row r="3998" spans="1:1">
      <c r="A3998" s="32"/>
    </row>
    <row r="3999" spans="1:1">
      <c r="A3999" s="32"/>
    </row>
    <row r="4000" spans="1:1">
      <c r="A4000" s="32"/>
    </row>
    <row r="4001" spans="1:1">
      <c r="A4001" s="32"/>
    </row>
    <row r="4002" spans="1:1">
      <c r="A4002" s="32"/>
    </row>
    <row r="4003" spans="1:1">
      <c r="A4003" s="32"/>
    </row>
    <row r="4004" spans="1:1">
      <c r="A4004" s="32"/>
    </row>
    <row r="4005" spans="1:1">
      <c r="A4005" s="32"/>
    </row>
    <row r="4006" spans="1:1">
      <c r="A4006" s="32"/>
    </row>
    <row r="4007" spans="1:1">
      <c r="A4007" s="32"/>
    </row>
    <row r="4008" spans="1:1">
      <c r="A4008" s="32"/>
    </row>
    <row r="4009" spans="1:1">
      <c r="A4009" s="32"/>
    </row>
    <row r="4010" spans="1:1">
      <c r="A4010" s="32"/>
    </row>
    <row r="4011" spans="1:1">
      <c r="A4011" s="32"/>
    </row>
    <row r="4012" spans="1:1">
      <c r="A4012" s="32"/>
    </row>
    <row r="4013" spans="1:1">
      <c r="A4013" s="32"/>
    </row>
    <row r="4014" spans="1:1">
      <c r="A4014" s="32"/>
    </row>
    <row r="4015" spans="1:1">
      <c r="A4015" s="32"/>
    </row>
    <row r="4016" spans="1:1">
      <c r="A4016" s="32"/>
    </row>
    <row r="4017" spans="1:1">
      <c r="A4017" s="32"/>
    </row>
    <row r="4018" spans="1:1">
      <c r="A4018" s="32"/>
    </row>
    <row r="4019" spans="1:1">
      <c r="A4019" s="32"/>
    </row>
    <row r="4020" spans="1:1">
      <c r="A4020" s="32"/>
    </row>
    <row r="4021" spans="1:1">
      <c r="A4021" s="32"/>
    </row>
    <row r="4022" spans="1:1">
      <c r="A4022" s="32"/>
    </row>
    <row r="4023" spans="1:1">
      <c r="A4023" s="32"/>
    </row>
    <row r="4024" spans="1:1">
      <c r="A4024" s="32"/>
    </row>
    <row r="4025" spans="1:1">
      <c r="A4025" s="32"/>
    </row>
    <row r="4026" spans="1:1">
      <c r="A4026" s="32"/>
    </row>
    <row r="4027" spans="1:1">
      <c r="A4027" s="32"/>
    </row>
    <row r="4028" spans="1:1">
      <c r="A4028" s="32"/>
    </row>
    <row r="4029" spans="1:1">
      <c r="A4029" s="32"/>
    </row>
    <row r="4030" spans="1:1">
      <c r="A4030" s="32"/>
    </row>
    <row r="4031" spans="1:1">
      <c r="A4031" s="32"/>
    </row>
    <row r="4032" spans="1:1">
      <c r="A4032" s="32"/>
    </row>
    <row r="4033" spans="1:1">
      <c r="A4033" s="32"/>
    </row>
    <row r="4034" spans="1:1">
      <c r="A4034" s="32"/>
    </row>
    <row r="4035" spans="1:1">
      <c r="A4035" s="32"/>
    </row>
    <row r="4036" spans="1:1">
      <c r="A4036" s="32"/>
    </row>
    <row r="4037" spans="1:1">
      <c r="A4037" s="32"/>
    </row>
    <row r="4038" spans="1:1">
      <c r="A4038" s="32"/>
    </row>
    <row r="4039" spans="1:1">
      <c r="A4039" s="32"/>
    </row>
    <row r="4040" spans="1:1">
      <c r="A4040" s="32"/>
    </row>
    <row r="4041" spans="1:1">
      <c r="A4041" s="32"/>
    </row>
    <row r="4042" spans="1:1">
      <c r="A4042" s="32"/>
    </row>
    <row r="4043" spans="1:1">
      <c r="A4043" s="32"/>
    </row>
    <row r="4044" spans="1:1">
      <c r="A4044" s="32"/>
    </row>
    <row r="4045" spans="1:1">
      <c r="A4045" s="32"/>
    </row>
    <row r="4046" spans="1:1">
      <c r="A4046" s="32"/>
    </row>
    <row r="4047" spans="1:1">
      <c r="A4047" s="32"/>
    </row>
    <row r="4048" spans="1:1">
      <c r="A4048" s="32"/>
    </row>
    <row r="4049" spans="1:1">
      <c r="A4049" s="32"/>
    </row>
    <row r="4050" spans="1:1">
      <c r="A4050" s="32"/>
    </row>
    <row r="4051" spans="1:1">
      <c r="A4051" s="32"/>
    </row>
    <row r="4052" spans="1:1">
      <c r="A4052" s="32"/>
    </row>
    <row r="4053" spans="1:1">
      <c r="A4053" s="32"/>
    </row>
    <row r="4054" spans="1:1">
      <c r="A4054" s="32"/>
    </row>
    <row r="4055" spans="1:1">
      <c r="A4055" s="32"/>
    </row>
    <row r="4056" spans="1:1">
      <c r="A4056" s="32"/>
    </row>
    <row r="4057" spans="1:1">
      <c r="A4057" s="32"/>
    </row>
    <row r="4058" spans="1:1">
      <c r="A4058" s="32"/>
    </row>
    <row r="4059" spans="1:1">
      <c r="A4059" s="32"/>
    </row>
    <row r="4060" spans="1:1">
      <c r="A4060" s="32"/>
    </row>
    <row r="4061" spans="1:1">
      <c r="A4061" s="32"/>
    </row>
    <row r="4062" spans="1:1">
      <c r="A4062" s="32"/>
    </row>
    <row r="4063" spans="1:1">
      <c r="A4063" s="32"/>
    </row>
    <row r="4064" spans="1:1">
      <c r="A4064" s="32"/>
    </row>
    <row r="4065" spans="1:1">
      <c r="A4065" s="32"/>
    </row>
    <row r="4066" spans="1:1">
      <c r="A4066" s="32"/>
    </row>
    <row r="4067" spans="1:1">
      <c r="A4067" s="32"/>
    </row>
    <row r="4068" spans="1:1">
      <c r="A4068" s="32"/>
    </row>
    <row r="4069" spans="1:1">
      <c r="A4069" s="32"/>
    </row>
    <row r="4070" spans="1:1">
      <c r="A4070" s="32"/>
    </row>
    <row r="4071" spans="1:1">
      <c r="A4071" s="32"/>
    </row>
    <row r="4072" spans="1:1">
      <c r="A4072" s="32"/>
    </row>
    <row r="4073" spans="1:1">
      <c r="A4073" s="32"/>
    </row>
    <row r="4074" spans="1:1">
      <c r="A4074" s="32"/>
    </row>
    <row r="4075" spans="1:1">
      <c r="A4075" s="32"/>
    </row>
    <row r="4076" spans="1:1">
      <c r="A4076" s="32"/>
    </row>
    <row r="4077" spans="1:1">
      <c r="A4077" s="32"/>
    </row>
    <row r="4078" spans="1:1">
      <c r="A4078" s="32"/>
    </row>
    <row r="4079" spans="1:1">
      <c r="A4079" s="32"/>
    </row>
    <row r="4080" spans="1:1">
      <c r="A4080" s="32"/>
    </row>
    <row r="4081" spans="1:1">
      <c r="A4081" s="32"/>
    </row>
    <row r="4082" spans="1:1">
      <c r="A4082" s="32"/>
    </row>
    <row r="4083" spans="1:1">
      <c r="A4083" s="32"/>
    </row>
    <row r="4084" spans="1:1">
      <c r="A4084" s="32"/>
    </row>
    <row r="4085" spans="1:1">
      <c r="A4085" s="32"/>
    </row>
    <row r="4086" spans="1:1">
      <c r="A4086" s="32"/>
    </row>
    <row r="4087" spans="1:1">
      <c r="A4087" s="32"/>
    </row>
    <row r="4088" spans="1:1">
      <c r="A4088" s="32"/>
    </row>
    <row r="4089" spans="1:1">
      <c r="A4089" s="32"/>
    </row>
    <row r="4090" spans="1:1">
      <c r="A4090" s="32"/>
    </row>
    <row r="4091" spans="1:1">
      <c r="A4091" s="32"/>
    </row>
    <row r="4092" spans="1:1">
      <c r="A4092" s="32"/>
    </row>
    <row r="4093" spans="1:1">
      <c r="A4093" s="32"/>
    </row>
    <row r="4094" spans="1:1">
      <c r="A4094" s="32"/>
    </row>
    <row r="4095" spans="1:1">
      <c r="A4095" s="32"/>
    </row>
    <row r="4096" spans="1:1">
      <c r="A4096" s="32"/>
    </row>
    <row r="4097" spans="1:1">
      <c r="A4097" s="32"/>
    </row>
    <row r="4098" spans="1:1">
      <c r="A4098" s="32"/>
    </row>
    <row r="4099" spans="1:1">
      <c r="A4099" s="32"/>
    </row>
    <row r="4100" spans="1:1">
      <c r="A4100" s="32"/>
    </row>
    <row r="4101" spans="1:1">
      <c r="A4101" s="32"/>
    </row>
    <row r="4102" spans="1:1">
      <c r="A4102" s="32"/>
    </row>
    <row r="4103" spans="1:1">
      <c r="A4103" s="32"/>
    </row>
    <row r="4104" spans="1:1">
      <c r="A4104" s="32"/>
    </row>
    <row r="4105" spans="1:1">
      <c r="A4105" s="32"/>
    </row>
    <row r="4106" spans="1:1">
      <c r="A4106" s="32"/>
    </row>
    <row r="4107" spans="1:1">
      <c r="A4107" s="32"/>
    </row>
    <row r="4108" spans="1:1">
      <c r="A4108" s="32"/>
    </row>
    <row r="4109" spans="1:1">
      <c r="A4109" s="32"/>
    </row>
    <row r="4110" spans="1:1">
      <c r="A4110" s="32"/>
    </row>
    <row r="4111" spans="1:1">
      <c r="A4111" s="32"/>
    </row>
    <row r="4112" spans="1:1">
      <c r="A4112" s="32"/>
    </row>
    <row r="4113" spans="1:1">
      <c r="A4113" s="32"/>
    </row>
    <row r="4114" spans="1:1">
      <c r="A4114" s="32"/>
    </row>
    <row r="4115" spans="1:1">
      <c r="A4115" s="32"/>
    </row>
    <row r="4116" spans="1:1">
      <c r="A4116" s="32"/>
    </row>
    <row r="4117" spans="1:1">
      <c r="A4117" s="32"/>
    </row>
    <row r="4118" spans="1:1">
      <c r="A4118" s="32"/>
    </row>
    <row r="4119" spans="1:1">
      <c r="A4119" s="32"/>
    </row>
    <row r="4120" spans="1:1">
      <c r="A4120" s="32"/>
    </row>
    <row r="4121" spans="1:1">
      <c r="A4121" s="32"/>
    </row>
    <row r="4122" spans="1:1">
      <c r="A4122" s="32"/>
    </row>
    <row r="4123" spans="1:1">
      <c r="A4123" s="32"/>
    </row>
    <row r="4124" spans="1:1">
      <c r="A4124" s="32"/>
    </row>
    <row r="4125" spans="1:1">
      <c r="A4125" s="32"/>
    </row>
    <row r="4126" spans="1:1">
      <c r="A4126" s="32"/>
    </row>
    <row r="4127" spans="1:1">
      <c r="A4127" s="32"/>
    </row>
    <row r="4128" spans="1:1">
      <c r="A4128" s="32"/>
    </row>
    <row r="4129" spans="1:1">
      <c r="A4129" s="32"/>
    </row>
    <row r="4130" spans="1:1">
      <c r="A4130" s="32"/>
    </row>
    <row r="4131" spans="1:1">
      <c r="A4131" s="32"/>
    </row>
    <row r="4132" spans="1:1">
      <c r="A4132" s="32"/>
    </row>
    <row r="4133" spans="1:1">
      <c r="A4133" s="32"/>
    </row>
    <row r="4134" spans="1:1">
      <c r="A4134" s="32"/>
    </row>
    <row r="4135" spans="1:1">
      <c r="A4135" s="32"/>
    </row>
    <row r="4136" spans="1:1">
      <c r="A4136" s="32"/>
    </row>
    <row r="4137" spans="1:1">
      <c r="A4137" s="32"/>
    </row>
    <row r="4138" spans="1:1">
      <c r="A4138" s="32"/>
    </row>
    <row r="4139" spans="1:1">
      <c r="A4139" s="32"/>
    </row>
    <row r="4140" spans="1:1">
      <c r="A4140" s="32"/>
    </row>
    <row r="4141" spans="1:1">
      <c r="A4141" s="32"/>
    </row>
    <row r="4142" spans="1:1">
      <c r="A4142" s="32"/>
    </row>
    <row r="4143" spans="1:1">
      <c r="A4143" s="32"/>
    </row>
    <row r="4144" spans="1:1">
      <c r="A4144" s="32"/>
    </row>
    <row r="4145" spans="1:1">
      <c r="A4145" s="32"/>
    </row>
    <row r="4146" spans="1:1">
      <c r="A4146" s="32"/>
    </row>
    <row r="4147" spans="1:1">
      <c r="A4147" s="32"/>
    </row>
    <row r="4148" spans="1:1">
      <c r="A4148" s="32"/>
    </row>
    <row r="4149" spans="1:1">
      <c r="A4149" s="32"/>
    </row>
    <row r="4150" spans="1:1">
      <c r="A4150" s="32"/>
    </row>
    <row r="4151" spans="1:1">
      <c r="A4151" s="32"/>
    </row>
    <row r="4152" spans="1:1">
      <c r="A4152" s="32"/>
    </row>
    <row r="4153" spans="1:1">
      <c r="A4153" s="32"/>
    </row>
    <row r="4154" spans="1:1">
      <c r="A4154" s="32"/>
    </row>
    <row r="4155" spans="1:1">
      <c r="A4155" s="32"/>
    </row>
    <row r="4156" spans="1:1">
      <c r="A4156" s="32"/>
    </row>
    <row r="4157" spans="1:1">
      <c r="A4157" s="32"/>
    </row>
    <row r="4158" spans="1:1">
      <c r="A4158" s="32"/>
    </row>
    <row r="4159" spans="1:1">
      <c r="A4159" s="32"/>
    </row>
    <row r="4160" spans="1:1">
      <c r="A4160" s="32"/>
    </row>
    <row r="4161" spans="1:1">
      <c r="A4161" s="32"/>
    </row>
    <row r="4162" spans="1:1">
      <c r="A4162" s="32"/>
    </row>
    <row r="4163" spans="1:1">
      <c r="A4163" s="32"/>
    </row>
    <row r="4164" spans="1:1">
      <c r="A4164" s="32"/>
    </row>
    <row r="4165" spans="1:1">
      <c r="A4165" s="32"/>
    </row>
    <row r="4166" spans="1:1">
      <c r="A4166" s="32"/>
    </row>
    <row r="4167" spans="1:1">
      <c r="A4167" s="32"/>
    </row>
    <row r="4168" spans="1:1">
      <c r="A4168" s="32"/>
    </row>
    <row r="4169" spans="1:1">
      <c r="A4169" s="32"/>
    </row>
    <row r="4170" spans="1:1">
      <c r="A4170" s="32"/>
    </row>
    <row r="4171" spans="1:1">
      <c r="A4171" s="32"/>
    </row>
    <row r="4172" spans="1:1">
      <c r="A4172" s="32"/>
    </row>
    <row r="4173" spans="1:1">
      <c r="A4173" s="32"/>
    </row>
    <row r="4174" spans="1:1">
      <c r="A4174" s="32"/>
    </row>
    <row r="4175" spans="1:1">
      <c r="A4175" s="32"/>
    </row>
    <row r="4176" spans="1:1">
      <c r="A4176" s="32"/>
    </row>
    <row r="4177" spans="1:1">
      <c r="A4177" s="32"/>
    </row>
    <row r="4178" spans="1:1">
      <c r="A4178" s="32"/>
    </row>
    <row r="4179" spans="1:1">
      <c r="A4179" s="32"/>
    </row>
    <row r="4180" spans="1:1">
      <c r="A4180" s="32"/>
    </row>
    <row r="4181" spans="1:1">
      <c r="A4181" s="32"/>
    </row>
    <row r="4182" spans="1:1">
      <c r="A4182" s="32"/>
    </row>
    <row r="4183" spans="1:1">
      <c r="A4183" s="32"/>
    </row>
    <row r="4184" spans="1:1">
      <c r="A4184" s="32"/>
    </row>
    <row r="4185" spans="1:1">
      <c r="A4185" s="32"/>
    </row>
    <row r="4186" spans="1:1">
      <c r="A4186" s="32"/>
    </row>
    <row r="4187" spans="1:1">
      <c r="A4187" s="32"/>
    </row>
    <row r="4188" spans="1:1">
      <c r="A4188" s="32"/>
    </row>
    <row r="4189" spans="1:1">
      <c r="A4189" s="32"/>
    </row>
    <row r="4190" spans="1:1">
      <c r="A4190" s="32"/>
    </row>
    <row r="4191" spans="1:1">
      <c r="A4191" s="32"/>
    </row>
    <row r="4192" spans="1:1">
      <c r="A4192" s="32"/>
    </row>
    <row r="4193" spans="1:1">
      <c r="A4193" s="32"/>
    </row>
    <row r="4194" spans="1:1">
      <c r="A4194" s="32"/>
    </row>
    <row r="4195" spans="1:1">
      <c r="A4195" s="32"/>
    </row>
    <row r="4196" spans="1:1">
      <c r="A4196" s="32"/>
    </row>
    <row r="4197" spans="1:1">
      <c r="A4197" s="32"/>
    </row>
    <row r="4198" spans="1:1">
      <c r="A4198" s="32"/>
    </row>
    <row r="4199" spans="1:1">
      <c r="A4199" s="32"/>
    </row>
    <row r="4200" spans="1:1">
      <c r="A4200" s="32"/>
    </row>
    <row r="4201" spans="1:1">
      <c r="A4201" s="32"/>
    </row>
    <row r="4202" spans="1:1">
      <c r="A4202" s="32"/>
    </row>
    <row r="4203" spans="1:1">
      <c r="A4203" s="32"/>
    </row>
    <row r="4204" spans="1:1">
      <c r="A4204" s="32"/>
    </row>
    <row r="4205" spans="1:1">
      <c r="A4205" s="32"/>
    </row>
    <row r="4206" spans="1:1">
      <c r="A4206" s="32"/>
    </row>
    <row r="4207" spans="1:1">
      <c r="A4207" s="32"/>
    </row>
    <row r="4208" spans="1:1">
      <c r="A4208" s="32"/>
    </row>
    <row r="4209" spans="1:1">
      <c r="A4209" s="32"/>
    </row>
    <row r="4210" spans="1:1">
      <c r="A4210" s="32"/>
    </row>
    <row r="4211" spans="1:1">
      <c r="A4211" s="32"/>
    </row>
    <row r="4212" spans="1:1">
      <c r="A4212" s="32"/>
    </row>
    <row r="4213" spans="1:1">
      <c r="A4213" s="32"/>
    </row>
    <row r="4214" spans="1:1">
      <c r="A4214" s="32"/>
    </row>
    <row r="4215" spans="1:1">
      <c r="A4215" s="32"/>
    </row>
    <row r="4216" spans="1:1">
      <c r="A4216" s="32"/>
    </row>
    <row r="4217" spans="1:1">
      <c r="A4217" s="32"/>
    </row>
    <row r="4218" spans="1:1">
      <c r="A4218" s="32"/>
    </row>
    <row r="4219" spans="1:1">
      <c r="A4219" s="32"/>
    </row>
    <row r="4220" spans="1:1">
      <c r="A4220" s="32"/>
    </row>
    <row r="4221" spans="1:1">
      <c r="A4221" s="32"/>
    </row>
    <row r="4222" spans="1:1">
      <c r="A4222" s="32"/>
    </row>
    <row r="4223" spans="1:1">
      <c r="A4223" s="32"/>
    </row>
    <row r="4224" spans="1:1">
      <c r="A4224" s="32"/>
    </row>
    <row r="4225" spans="1:1">
      <c r="A4225" s="32"/>
    </row>
    <row r="4226" spans="1:1">
      <c r="A4226" s="32"/>
    </row>
    <row r="4227" spans="1:1">
      <c r="A4227" s="32"/>
    </row>
    <row r="4228" spans="1:1">
      <c r="A4228" s="32"/>
    </row>
    <row r="4229" spans="1:1">
      <c r="A4229" s="32"/>
    </row>
    <row r="4230" spans="1:1">
      <c r="A4230" s="32"/>
    </row>
    <row r="4231" spans="1:1">
      <c r="A4231" s="32"/>
    </row>
    <row r="4232" spans="1:1">
      <c r="A4232" s="32"/>
    </row>
    <row r="4233" spans="1:1">
      <c r="A4233" s="32"/>
    </row>
    <row r="4234" spans="1:1">
      <c r="A4234" s="32"/>
    </row>
    <row r="4235" spans="1:1">
      <c r="A4235" s="32"/>
    </row>
    <row r="4236" spans="1:1">
      <c r="A4236" s="32"/>
    </row>
    <row r="4237" spans="1:1">
      <c r="A4237" s="32"/>
    </row>
    <row r="4238" spans="1:1">
      <c r="A4238" s="32"/>
    </row>
    <row r="4239" spans="1:1">
      <c r="A4239" s="32"/>
    </row>
    <row r="4240" spans="1:1">
      <c r="A4240" s="32"/>
    </row>
    <row r="4241" spans="1:1">
      <c r="A4241" s="32"/>
    </row>
    <row r="4242" spans="1:1">
      <c r="A4242" s="32"/>
    </row>
    <row r="4243" spans="1:1">
      <c r="A4243" s="32"/>
    </row>
    <row r="4244" spans="1:1">
      <c r="A4244" s="32"/>
    </row>
    <row r="4245" spans="1:1">
      <c r="A4245" s="32"/>
    </row>
    <row r="4246" spans="1:1">
      <c r="A4246" s="32"/>
    </row>
    <row r="4247" spans="1:1">
      <c r="A4247" s="32"/>
    </row>
    <row r="4248" spans="1:1">
      <c r="A4248" s="32"/>
    </row>
    <row r="4249" spans="1:1">
      <c r="A4249" s="32"/>
    </row>
    <row r="4250" spans="1:1">
      <c r="A4250" s="32"/>
    </row>
    <row r="4251" spans="1:1">
      <c r="A4251" s="32"/>
    </row>
    <row r="4252" spans="1:1">
      <c r="A4252" s="32"/>
    </row>
    <row r="4253" spans="1:1">
      <c r="A4253" s="32"/>
    </row>
    <row r="4254" spans="1:1">
      <c r="A4254" s="32"/>
    </row>
    <row r="4255" spans="1:1">
      <c r="A4255" s="32"/>
    </row>
    <row r="4256" spans="1:1">
      <c r="A4256" s="32"/>
    </row>
    <row r="4257" spans="1:1">
      <c r="A4257" s="32"/>
    </row>
    <row r="4258" spans="1:1">
      <c r="A4258" s="32"/>
    </row>
    <row r="4259" spans="1:1">
      <c r="A4259" s="32"/>
    </row>
    <row r="4260" spans="1:1">
      <c r="A4260" s="32"/>
    </row>
    <row r="4261" spans="1:1">
      <c r="A4261" s="32"/>
    </row>
    <row r="4262" spans="1:1">
      <c r="A4262" s="32"/>
    </row>
    <row r="4263" spans="1:1">
      <c r="A4263" s="32"/>
    </row>
    <row r="4264" spans="1:1">
      <c r="A4264" s="32"/>
    </row>
    <row r="4265" spans="1:1">
      <c r="A4265" s="32"/>
    </row>
    <row r="4266" spans="1:1">
      <c r="A4266" s="32"/>
    </row>
    <row r="4267" spans="1:1">
      <c r="A4267" s="32"/>
    </row>
    <row r="4268" spans="1:1">
      <c r="A4268" s="32"/>
    </row>
    <row r="4269" spans="1:1">
      <c r="A4269" s="32"/>
    </row>
    <row r="4270" spans="1:1">
      <c r="A4270" s="32"/>
    </row>
    <row r="4271" spans="1:1">
      <c r="A4271" s="32"/>
    </row>
    <row r="4272" spans="1:1">
      <c r="A4272" s="32"/>
    </row>
    <row r="4273" spans="1:1">
      <c r="A4273" s="32"/>
    </row>
    <row r="4274" spans="1:1">
      <c r="A4274" s="32"/>
    </row>
    <row r="4275" spans="1:1">
      <c r="A4275" s="32"/>
    </row>
    <row r="4276" spans="1:1">
      <c r="A4276" s="32"/>
    </row>
    <row r="4277" spans="1:1">
      <c r="A4277" s="32"/>
    </row>
    <row r="4278" spans="1:1">
      <c r="A4278" s="32"/>
    </row>
    <row r="4279" spans="1:1">
      <c r="A4279" s="32"/>
    </row>
    <row r="4280" spans="1:1">
      <c r="A4280" s="32"/>
    </row>
    <row r="4281" spans="1:1">
      <c r="A4281" s="32"/>
    </row>
    <row r="4282" spans="1:1">
      <c r="A4282" s="32"/>
    </row>
    <row r="4283" spans="1:1">
      <c r="A4283" s="32"/>
    </row>
    <row r="4284" spans="1:1">
      <c r="A4284" s="32"/>
    </row>
    <row r="4285" spans="1:1">
      <c r="A4285" s="32"/>
    </row>
    <row r="4286" spans="1:1">
      <c r="A4286" s="32"/>
    </row>
    <row r="4287" spans="1:1">
      <c r="A4287" s="32"/>
    </row>
    <row r="4288" spans="1:1">
      <c r="A4288" s="32"/>
    </row>
    <row r="4289" spans="1:1">
      <c r="A4289" s="32"/>
    </row>
    <row r="4290" spans="1:1">
      <c r="A4290" s="32"/>
    </row>
    <row r="4291" spans="1:1">
      <c r="A4291" s="32"/>
    </row>
    <row r="4292" spans="1:1">
      <c r="A4292" s="32"/>
    </row>
    <row r="4293" spans="1:1">
      <c r="A4293" s="32"/>
    </row>
    <row r="4294" spans="1:1">
      <c r="A4294" s="32"/>
    </row>
    <row r="4295" spans="1:1">
      <c r="A4295" s="32"/>
    </row>
    <row r="4296" spans="1:1">
      <c r="A4296" s="32"/>
    </row>
    <row r="4297" spans="1:1">
      <c r="A4297" s="32"/>
    </row>
    <row r="4298" spans="1:1">
      <c r="A4298" s="32"/>
    </row>
    <row r="4299" spans="1:1">
      <c r="A4299" s="32"/>
    </row>
    <row r="4300" spans="1:1">
      <c r="A4300" s="32"/>
    </row>
    <row r="4301" spans="1:1">
      <c r="A4301" s="32"/>
    </row>
    <row r="4302" spans="1:1">
      <c r="A4302" s="32"/>
    </row>
    <row r="4303" spans="1:1">
      <c r="A4303" s="32"/>
    </row>
    <row r="4304" spans="1:1">
      <c r="A4304" s="32"/>
    </row>
    <row r="4305" spans="1:1">
      <c r="A4305" s="32"/>
    </row>
    <row r="4306" spans="1:1">
      <c r="A4306" s="32"/>
    </row>
    <row r="4307" spans="1:1">
      <c r="A4307" s="32"/>
    </row>
    <row r="4308" spans="1:1">
      <c r="A4308" s="32"/>
    </row>
    <row r="4309" spans="1:1">
      <c r="A4309" s="32"/>
    </row>
    <row r="4310" spans="1:1">
      <c r="A4310" s="32"/>
    </row>
    <row r="4311" spans="1:1">
      <c r="A4311" s="32"/>
    </row>
    <row r="4312" spans="1:1">
      <c r="A4312" s="32"/>
    </row>
    <row r="4313" spans="1:1">
      <c r="A4313" s="32"/>
    </row>
    <row r="4314" spans="1:1">
      <c r="A4314" s="32"/>
    </row>
    <row r="4315" spans="1:1">
      <c r="A4315" s="32"/>
    </row>
    <row r="4316" spans="1:1">
      <c r="A4316" s="32"/>
    </row>
    <row r="4317" spans="1:1">
      <c r="A4317" s="32"/>
    </row>
    <row r="4318" spans="1:1">
      <c r="A4318" s="32"/>
    </row>
    <row r="4319" spans="1:1">
      <c r="A4319" s="32"/>
    </row>
    <row r="4320" spans="1:1">
      <c r="A4320" s="32"/>
    </row>
    <row r="4321" spans="1:1">
      <c r="A4321" s="32"/>
    </row>
    <row r="4322" spans="1:1">
      <c r="A4322" s="32"/>
    </row>
    <row r="4323" spans="1:1">
      <c r="A4323" s="32"/>
    </row>
    <row r="4324" spans="1:1">
      <c r="A4324" s="32"/>
    </row>
    <row r="4325" spans="1:1">
      <c r="A4325" s="32"/>
    </row>
    <row r="4326" spans="1:1">
      <c r="A4326" s="32"/>
    </row>
    <row r="4327" spans="1:1">
      <c r="A4327" s="32"/>
    </row>
    <row r="4328" spans="1:1">
      <c r="A4328" s="32"/>
    </row>
    <row r="4329" spans="1:1">
      <c r="A4329" s="32"/>
    </row>
    <row r="4330" spans="1:1">
      <c r="A4330" s="32"/>
    </row>
    <row r="4331" spans="1:1">
      <c r="A4331" s="32"/>
    </row>
    <row r="4332" spans="1:1">
      <c r="A4332" s="32"/>
    </row>
    <row r="4333" spans="1:1">
      <c r="A4333" s="32"/>
    </row>
    <row r="4334" spans="1:1">
      <c r="A4334" s="32"/>
    </row>
    <row r="4335" spans="1:1">
      <c r="A4335" s="32"/>
    </row>
    <row r="4336" spans="1:1">
      <c r="A4336" s="32"/>
    </row>
    <row r="4337" spans="1:1">
      <c r="A4337" s="32"/>
    </row>
    <row r="4338" spans="1:1">
      <c r="A4338" s="32"/>
    </row>
    <row r="4339" spans="1:1">
      <c r="A4339" s="32"/>
    </row>
    <row r="4340" spans="1:1">
      <c r="A4340" s="32"/>
    </row>
    <row r="4341" spans="1:1">
      <c r="A4341" s="32"/>
    </row>
    <row r="4342" spans="1:1">
      <c r="A4342" s="32"/>
    </row>
    <row r="4343" spans="1:1">
      <c r="A4343" s="32"/>
    </row>
    <row r="4344" spans="1:1">
      <c r="A4344" s="32"/>
    </row>
    <row r="4345" spans="1:1">
      <c r="A4345" s="32"/>
    </row>
    <row r="4346" spans="1:1">
      <c r="A4346" s="32"/>
    </row>
    <row r="4347" spans="1:1">
      <c r="A4347" s="32"/>
    </row>
    <row r="4348" spans="1:1">
      <c r="A4348" s="32"/>
    </row>
    <row r="4349" spans="1:1">
      <c r="A4349" s="32"/>
    </row>
    <row r="4350" spans="1:1">
      <c r="A4350" s="32"/>
    </row>
    <row r="4351" spans="1:1">
      <c r="A4351" s="32"/>
    </row>
    <row r="4352" spans="1:1">
      <c r="A4352" s="32"/>
    </row>
    <row r="4353" spans="1:1">
      <c r="A4353" s="32"/>
    </row>
    <row r="4354" spans="1:1">
      <c r="A4354" s="32"/>
    </row>
    <row r="4355" spans="1:1">
      <c r="A4355" s="32"/>
    </row>
    <row r="4356" spans="1:1">
      <c r="A4356" s="32"/>
    </row>
    <row r="4357" spans="1:1">
      <c r="A4357" s="32"/>
    </row>
    <row r="4358" spans="1:1">
      <c r="A4358" s="32"/>
    </row>
    <row r="4359" spans="1:1">
      <c r="A4359" s="32"/>
    </row>
    <row r="4360" spans="1:1">
      <c r="A4360" s="32"/>
    </row>
    <row r="4361" spans="1:1">
      <c r="A4361" s="32"/>
    </row>
    <row r="4362" spans="1:1">
      <c r="A4362" s="32"/>
    </row>
    <row r="4363" spans="1:1">
      <c r="A4363" s="32"/>
    </row>
    <row r="4364" spans="1:1">
      <c r="A4364" s="32"/>
    </row>
    <row r="4365" spans="1:1">
      <c r="A4365" s="32"/>
    </row>
    <row r="4366" spans="1:1">
      <c r="A4366" s="32"/>
    </row>
    <row r="4367" spans="1:1">
      <c r="A4367" s="32"/>
    </row>
    <row r="4368" spans="1:1">
      <c r="A4368" s="32"/>
    </row>
    <row r="4369" spans="1:1">
      <c r="A4369" s="32"/>
    </row>
    <row r="4370" spans="1:1">
      <c r="A4370" s="32"/>
    </row>
    <row r="4371" spans="1:1">
      <c r="A4371" s="32"/>
    </row>
    <row r="4372" spans="1:1">
      <c r="A4372" s="32"/>
    </row>
    <row r="4373" spans="1:1">
      <c r="A4373" s="32"/>
    </row>
    <row r="4374" spans="1:1">
      <c r="A4374" s="32"/>
    </row>
    <row r="4375" spans="1:1">
      <c r="A4375" s="32"/>
    </row>
    <row r="4376" spans="1:1">
      <c r="A4376" s="32"/>
    </row>
    <row r="4377" spans="1:1">
      <c r="A4377" s="32"/>
    </row>
    <row r="4378" spans="1:1">
      <c r="A4378" s="32"/>
    </row>
    <row r="4379" spans="1:1">
      <c r="A4379" s="32"/>
    </row>
    <row r="4380" spans="1:1">
      <c r="A4380" s="32"/>
    </row>
    <row r="4381" spans="1:1">
      <c r="A4381" s="32"/>
    </row>
    <row r="4382" spans="1:1">
      <c r="A4382" s="32"/>
    </row>
    <row r="4383" spans="1:1">
      <c r="A4383" s="32"/>
    </row>
    <row r="4384" spans="1:1">
      <c r="A4384" s="32"/>
    </row>
    <row r="4385" spans="1:1">
      <c r="A4385" s="32"/>
    </row>
    <row r="4386" spans="1:1">
      <c r="A4386" s="32"/>
    </row>
    <row r="4387" spans="1:1">
      <c r="A4387" s="32"/>
    </row>
    <row r="4388" spans="1:1">
      <c r="A4388" s="32"/>
    </row>
    <row r="4389" spans="1:1">
      <c r="A4389" s="32"/>
    </row>
    <row r="4390" spans="1:1">
      <c r="A4390" s="32"/>
    </row>
    <row r="4391" spans="1:1">
      <c r="A4391" s="32"/>
    </row>
    <row r="4392" spans="1:1">
      <c r="A4392" s="32"/>
    </row>
    <row r="4393" spans="1:1">
      <c r="A4393" s="32"/>
    </row>
    <row r="4394" spans="1:1">
      <c r="A4394" s="32"/>
    </row>
    <row r="4395" spans="1:1">
      <c r="A4395" s="32"/>
    </row>
    <row r="4396" spans="1:1">
      <c r="A4396" s="32"/>
    </row>
    <row r="4397" spans="1:1">
      <c r="A4397" s="32"/>
    </row>
    <row r="4398" spans="1:1">
      <c r="A4398" s="32"/>
    </row>
    <row r="4399" spans="1:1">
      <c r="A4399" s="32"/>
    </row>
    <row r="4400" spans="1:1">
      <c r="A4400" s="32"/>
    </row>
    <row r="4401" spans="1:1">
      <c r="A4401" s="32"/>
    </row>
    <row r="4402" spans="1:1">
      <c r="A4402" s="32"/>
    </row>
    <row r="4403" spans="1:1">
      <c r="A4403" s="32"/>
    </row>
    <row r="4404" spans="1:1">
      <c r="A4404" s="32"/>
    </row>
    <row r="4405" spans="1:1">
      <c r="A4405" s="32"/>
    </row>
    <row r="4406" spans="1:1">
      <c r="A4406" s="32"/>
    </row>
    <row r="4407" spans="1:1">
      <c r="A4407" s="32"/>
    </row>
    <row r="4408" spans="1:1">
      <c r="A4408" s="32"/>
    </row>
    <row r="4409" spans="1:1">
      <c r="A4409" s="32"/>
    </row>
    <row r="4410" spans="1:1">
      <c r="A4410" s="32"/>
    </row>
    <row r="4411" spans="1:1">
      <c r="A4411" s="32"/>
    </row>
    <row r="4412" spans="1:1">
      <c r="A4412" s="32"/>
    </row>
    <row r="4413" spans="1:1">
      <c r="A4413" s="32"/>
    </row>
    <row r="4414" spans="1:1">
      <c r="A4414" s="32"/>
    </row>
    <row r="4415" spans="1:1">
      <c r="A4415" s="32"/>
    </row>
    <row r="4416" spans="1:1">
      <c r="A4416" s="32"/>
    </row>
    <row r="4417" spans="1:1">
      <c r="A4417" s="32"/>
    </row>
    <row r="4418" spans="1:1">
      <c r="A4418" s="32"/>
    </row>
    <row r="4419" spans="1:1">
      <c r="A4419" s="32"/>
    </row>
    <row r="4420" spans="1:1">
      <c r="A4420" s="32"/>
    </row>
    <row r="4421" spans="1:1">
      <c r="A4421" s="32"/>
    </row>
    <row r="4422" spans="1:1">
      <c r="A4422" s="32"/>
    </row>
    <row r="4423" spans="1:1">
      <c r="A4423" s="32"/>
    </row>
    <row r="4424" spans="1:1">
      <c r="A4424" s="32"/>
    </row>
    <row r="4425" spans="1:1">
      <c r="A4425" s="32"/>
    </row>
    <row r="4426" spans="1:1">
      <c r="A4426" s="32"/>
    </row>
    <row r="4427" spans="1:1">
      <c r="A4427" s="32"/>
    </row>
    <row r="4428" spans="1:1">
      <c r="A4428" s="32"/>
    </row>
    <row r="4429" spans="1:1">
      <c r="A4429" s="32"/>
    </row>
    <row r="4430" spans="1:1">
      <c r="A4430" s="32"/>
    </row>
    <row r="4431" spans="1:1">
      <c r="A4431" s="32"/>
    </row>
    <row r="4432" spans="1:1">
      <c r="A4432" s="32"/>
    </row>
    <row r="4433" spans="1:1">
      <c r="A4433" s="32"/>
    </row>
    <row r="4434" spans="1:1">
      <c r="A4434" s="32"/>
    </row>
    <row r="4435" spans="1:1">
      <c r="A4435" s="32"/>
    </row>
    <row r="4436" spans="1:1">
      <c r="A4436" s="32"/>
    </row>
    <row r="4437" spans="1:1">
      <c r="A4437" s="32"/>
    </row>
    <row r="4438" spans="1:1">
      <c r="A4438" s="32"/>
    </row>
    <row r="4439" spans="1:1">
      <c r="A4439" s="32"/>
    </row>
    <row r="4440" spans="1:1">
      <c r="A4440" s="32"/>
    </row>
    <row r="4441" spans="1:1">
      <c r="A4441" s="32"/>
    </row>
    <row r="4442" spans="1:1">
      <c r="A4442" s="32"/>
    </row>
    <row r="4443" spans="1:1">
      <c r="A4443" s="32"/>
    </row>
    <row r="4444" spans="1:1">
      <c r="A4444" s="32"/>
    </row>
    <row r="4445" spans="1:1">
      <c r="A4445" s="32"/>
    </row>
    <row r="4446" spans="1:1">
      <c r="A4446" s="32"/>
    </row>
    <row r="4447" spans="1:1">
      <c r="A4447" s="32"/>
    </row>
    <row r="4448" spans="1:1">
      <c r="A4448" s="32"/>
    </row>
    <row r="4449" spans="1:1">
      <c r="A4449" s="32"/>
    </row>
    <row r="4450" spans="1:1">
      <c r="A4450" s="32"/>
    </row>
    <row r="4451" spans="1:1">
      <c r="A4451" s="32"/>
    </row>
    <row r="4452" spans="1:1">
      <c r="A4452" s="32"/>
    </row>
    <row r="4453" spans="1:1">
      <c r="A4453" s="32"/>
    </row>
    <row r="4454" spans="1:1">
      <c r="A4454" s="32"/>
    </row>
    <row r="4455" spans="1:1">
      <c r="A4455" s="32"/>
    </row>
    <row r="4456" spans="1:1">
      <c r="A4456" s="32"/>
    </row>
    <row r="4457" spans="1:1">
      <c r="A4457" s="32"/>
    </row>
    <row r="4458" spans="1:1">
      <c r="A4458" s="32"/>
    </row>
    <row r="4459" spans="1:1">
      <c r="A4459" s="32"/>
    </row>
    <row r="4460" spans="1:1">
      <c r="A4460" s="32"/>
    </row>
    <row r="4461" spans="1:1">
      <c r="A4461" s="32"/>
    </row>
    <row r="4462" spans="1:1">
      <c r="A4462" s="32"/>
    </row>
    <row r="4463" spans="1:1">
      <c r="A4463" s="32"/>
    </row>
    <row r="4464" spans="1:1">
      <c r="A4464" s="32"/>
    </row>
    <row r="4465" spans="1:1">
      <c r="A4465" s="32"/>
    </row>
    <row r="4466" spans="1:1">
      <c r="A4466" s="32"/>
    </row>
    <row r="4467" spans="1:1">
      <c r="A4467" s="32"/>
    </row>
    <row r="4468" spans="1:1">
      <c r="A4468" s="32"/>
    </row>
    <row r="4469" spans="1:1">
      <c r="A4469" s="32"/>
    </row>
    <row r="4470" spans="1:1">
      <c r="A4470" s="32"/>
    </row>
    <row r="4471" spans="1:1">
      <c r="A4471" s="32"/>
    </row>
    <row r="4472" spans="1:1">
      <c r="A4472" s="32"/>
    </row>
    <row r="4473" spans="1:1">
      <c r="A4473" s="32"/>
    </row>
    <row r="4474" spans="1:1">
      <c r="A4474" s="32"/>
    </row>
    <row r="4475" spans="1:1">
      <c r="A4475" s="32"/>
    </row>
    <row r="4476" spans="1:1">
      <c r="A4476" s="32"/>
    </row>
    <row r="4477" spans="1:1">
      <c r="A4477" s="32"/>
    </row>
    <row r="4478" spans="1:1">
      <c r="A4478" s="32"/>
    </row>
    <row r="4479" spans="1:1">
      <c r="A4479" s="32"/>
    </row>
    <row r="4480" spans="1:1">
      <c r="A4480" s="32"/>
    </row>
    <row r="4481" spans="1:1">
      <c r="A4481" s="32"/>
    </row>
    <row r="4482" spans="1:1">
      <c r="A4482" s="32"/>
    </row>
    <row r="4483" spans="1:1">
      <c r="A4483" s="32"/>
    </row>
    <row r="4484" spans="1:1">
      <c r="A4484" s="32"/>
    </row>
    <row r="4485" spans="1:1">
      <c r="A4485" s="32"/>
    </row>
    <row r="4486" spans="1:1">
      <c r="A4486" s="32"/>
    </row>
    <row r="4487" spans="1:1">
      <c r="A4487" s="32"/>
    </row>
    <row r="4488" spans="1:1">
      <c r="A4488" s="32"/>
    </row>
    <row r="4489" spans="1:1">
      <c r="A4489" s="32"/>
    </row>
    <row r="4490" spans="1:1">
      <c r="A4490" s="32"/>
    </row>
    <row r="4491" spans="1:1">
      <c r="A4491" s="32"/>
    </row>
    <row r="4492" spans="1:1">
      <c r="A4492" s="32"/>
    </row>
    <row r="4493" spans="1:1">
      <c r="A4493" s="32"/>
    </row>
    <row r="4494" spans="1:1">
      <c r="A4494" s="32"/>
    </row>
    <row r="4495" spans="1:1">
      <c r="A4495" s="32"/>
    </row>
    <row r="4496" spans="1:1">
      <c r="A4496" s="32"/>
    </row>
    <row r="4497" spans="1:1">
      <c r="A4497" s="32"/>
    </row>
    <row r="4498" spans="1:1">
      <c r="A4498" s="32"/>
    </row>
    <row r="4499" spans="1:1">
      <c r="A4499" s="32"/>
    </row>
    <row r="4500" spans="1:1">
      <c r="A4500" s="32"/>
    </row>
    <row r="4501" spans="1:1">
      <c r="A4501" s="32"/>
    </row>
    <row r="4502" spans="1:1">
      <c r="A4502" s="32"/>
    </row>
    <row r="4503" spans="1:1">
      <c r="A4503" s="32"/>
    </row>
    <row r="4504" spans="1:1">
      <c r="A4504" s="32"/>
    </row>
    <row r="4505" spans="1:1">
      <c r="A4505" s="32"/>
    </row>
    <row r="4506" spans="1:1">
      <c r="A4506" s="32"/>
    </row>
    <row r="4507" spans="1:1">
      <c r="A4507" s="32"/>
    </row>
    <row r="4508" spans="1:1">
      <c r="A4508" s="32"/>
    </row>
    <row r="4509" spans="1:1">
      <c r="A4509" s="32"/>
    </row>
    <row r="4510" spans="1:1">
      <c r="A4510" s="32"/>
    </row>
    <row r="4511" spans="1:1">
      <c r="A4511" s="32"/>
    </row>
    <row r="4512" spans="1:1">
      <c r="A4512" s="32"/>
    </row>
    <row r="4513" spans="1:1">
      <c r="A4513" s="32"/>
    </row>
    <row r="4514" spans="1:1">
      <c r="A4514" s="32"/>
    </row>
    <row r="4515" spans="1:1">
      <c r="A4515" s="32"/>
    </row>
    <row r="4516" spans="1:1">
      <c r="A4516" s="32"/>
    </row>
    <row r="4517" spans="1:1">
      <c r="A4517" s="32"/>
    </row>
    <row r="4518" spans="1:1">
      <c r="A4518" s="32"/>
    </row>
    <row r="4519" spans="1:1">
      <c r="A4519" s="32"/>
    </row>
    <row r="4520" spans="1:1">
      <c r="A4520" s="32"/>
    </row>
    <row r="4521" spans="1:1">
      <c r="A4521" s="32"/>
    </row>
    <row r="4522" spans="1:1">
      <c r="A4522" s="32"/>
    </row>
    <row r="4523" spans="1:1">
      <c r="A4523" s="32"/>
    </row>
    <row r="4524" spans="1:1">
      <c r="A4524" s="32"/>
    </row>
    <row r="4525" spans="1:1">
      <c r="A4525" s="32"/>
    </row>
    <row r="4526" spans="1:1">
      <c r="A4526" s="32"/>
    </row>
    <row r="4527" spans="1:1">
      <c r="A4527" s="32"/>
    </row>
    <row r="4528" spans="1:1">
      <c r="A4528" s="32"/>
    </row>
    <row r="4529" spans="1:1">
      <c r="A4529" s="32"/>
    </row>
    <row r="4530" spans="1:1">
      <c r="A4530" s="32"/>
    </row>
    <row r="4531" spans="1:1">
      <c r="A4531" s="32"/>
    </row>
    <row r="4532" spans="1:1">
      <c r="A4532" s="32"/>
    </row>
    <row r="4533" spans="1:1">
      <c r="A4533" s="32"/>
    </row>
    <row r="4534" spans="1:1">
      <c r="A4534" s="32"/>
    </row>
    <row r="4535" spans="1:1">
      <c r="A4535" s="32"/>
    </row>
    <row r="4536" spans="1:1">
      <c r="A4536" s="32"/>
    </row>
    <row r="4537" spans="1:1">
      <c r="A4537" s="32"/>
    </row>
    <row r="4538" spans="1:1">
      <c r="A4538" s="32"/>
    </row>
    <row r="4539" spans="1:1">
      <c r="A4539" s="32"/>
    </row>
    <row r="4540" spans="1:1">
      <c r="A4540" s="32"/>
    </row>
    <row r="4541" spans="1:1">
      <c r="A4541" s="32"/>
    </row>
    <row r="4542" spans="1:1">
      <c r="A4542" s="32"/>
    </row>
    <row r="4543" spans="1:1">
      <c r="A4543" s="32"/>
    </row>
    <row r="4544" spans="1:1">
      <c r="A4544" s="32"/>
    </row>
    <row r="4545" spans="1:1">
      <c r="A4545" s="32"/>
    </row>
    <row r="4546" spans="1:1">
      <c r="A4546" s="32"/>
    </row>
    <row r="4547" spans="1:1">
      <c r="A4547" s="32"/>
    </row>
    <row r="4548" spans="1:1">
      <c r="A4548" s="32"/>
    </row>
    <row r="4549" spans="1:1">
      <c r="A4549" s="32"/>
    </row>
    <row r="4550" spans="1:1">
      <c r="A4550" s="32"/>
    </row>
    <row r="4551" spans="1:1">
      <c r="A4551" s="32"/>
    </row>
    <row r="4552" spans="1:1">
      <c r="A4552" s="32"/>
    </row>
    <row r="4553" spans="1:1">
      <c r="A4553" s="32"/>
    </row>
    <row r="4554" spans="1:1">
      <c r="A4554" s="32"/>
    </row>
    <row r="4555" spans="1:1">
      <c r="A4555" s="32"/>
    </row>
    <row r="4556" spans="1:1">
      <c r="A4556" s="32"/>
    </row>
    <row r="4557" spans="1:1">
      <c r="A4557" s="32"/>
    </row>
    <row r="4558" spans="1:1">
      <c r="A4558" s="32"/>
    </row>
    <row r="4559" spans="1:1">
      <c r="A4559" s="32"/>
    </row>
    <row r="4560" spans="1:1">
      <c r="A4560" s="32"/>
    </row>
    <row r="4561" spans="1:1">
      <c r="A4561" s="32"/>
    </row>
    <row r="4562" spans="1:1">
      <c r="A4562" s="32"/>
    </row>
    <row r="4563" spans="1:1">
      <c r="A4563" s="32"/>
    </row>
    <row r="4564" spans="1:1">
      <c r="A4564" s="32"/>
    </row>
    <row r="4565" spans="1:1">
      <c r="A4565" s="32"/>
    </row>
    <row r="4566" spans="1:1">
      <c r="A4566" s="32"/>
    </row>
    <row r="4567" spans="1:1">
      <c r="A4567" s="32"/>
    </row>
    <row r="4568" spans="1:1">
      <c r="A4568" s="32"/>
    </row>
    <row r="4569" spans="1:1">
      <c r="A4569" s="32"/>
    </row>
    <row r="4570" spans="1:1">
      <c r="A4570" s="32"/>
    </row>
    <row r="4571" spans="1:1">
      <c r="A4571" s="32"/>
    </row>
    <row r="4572" spans="1:1">
      <c r="A4572" s="32"/>
    </row>
    <row r="4573" spans="1:1">
      <c r="A4573" s="32"/>
    </row>
    <row r="4574" spans="1:1">
      <c r="A4574" s="32"/>
    </row>
    <row r="4575" spans="1:1">
      <c r="A4575" s="32"/>
    </row>
    <row r="4576" spans="1:1">
      <c r="A4576" s="32"/>
    </row>
    <row r="4577" spans="1:1">
      <c r="A4577" s="32"/>
    </row>
    <row r="4578" spans="1:1">
      <c r="A4578" s="32"/>
    </row>
    <row r="4579" spans="1:1">
      <c r="A4579" s="32"/>
    </row>
    <row r="4580" spans="1:1">
      <c r="A4580" s="32"/>
    </row>
    <row r="4581" spans="1:1">
      <c r="A4581" s="32"/>
    </row>
    <row r="4582" spans="1:1">
      <c r="A4582" s="32"/>
    </row>
    <row r="4583" spans="1:1">
      <c r="A4583" s="32"/>
    </row>
    <row r="4584" spans="1:1">
      <c r="A4584" s="32"/>
    </row>
    <row r="4585" spans="1:1">
      <c r="A4585" s="32"/>
    </row>
    <row r="4586" spans="1:1">
      <c r="A4586" s="32"/>
    </row>
    <row r="4587" spans="1:1">
      <c r="A4587" s="32"/>
    </row>
    <row r="4588" spans="1:1">
      <c r="A4588" s="32"/>
    </row>
    <row r="4589" spans="1:1">
      <c r="A4589" s="32"/>
    </row>
    <row r="4590" spans="1:1">
      <c r="A4590" s="32"/>
    </row>
    <row r="4591" spans="1:1">
      <c r="A4591" s="32"/>
    </row>
    <row r="4592" spans="1:1">
      <c r="A4592" s="32"/>
    </row>
    <row r="4593" spans="1:1">
      <c r="A4593" s="32"/>
    </row>
    <row r="4594" spans="1:1">
      <c r="A4594" s="32"/>
    </row>
    <row r="4595" spans="1:1">
      <c r="A4595" s="32"/>
    </row>
    <row r="4596" spans="1:1">
      <c r="A4596" s="32"/>
    </row>
    <row r="4597" spans="1:1">
      <c r="A4597" s="32"/>
    </row>
    <row r="4598" spans="1:1">
      <c r="A4598" s="32"/>
    </row>
    <row r="4599" spans="1:1">
      <c r="A4599" s="32"/>
    </row>
    <row r="4600" spans="1:1">
      <c r="A4600" s="32"/>
    </row>
    <row r="4601" spans="1:1">
      <c r="A4601" s="32"/>
    </row>
    <row r="4602" spans="1:1">
      <c r="A4602" s="32"/>
    </row>
    <row r="4603" spans="1:1">
      <c r="A4603" s="32"/>
    </row>
    <row r="4604" spans="1:1">
      <c r="A4604" s="32"/>
    </row>
    <row r="4605" spans="1:1">
      <c r="A4605" s="32"/>
    </row>
    <row r="4606" spans="1:1">
      <c r="A4606" s="32"/>
    </row>
    <row r="4607" spans="1:1">
      <c r="A4607" s="32"/>
    </row>
    <row r="4608" spans="1:1">
      <c r="A4608" s="32"/>
    </row>
    <row r="4609" spans="1:1">
      <c r="A4609" s="32"/>
    </row>
    <row r="4610" spans="1:1">
      <c r="A4610" s="32"/>
    </row>
    <row r="4611" spans="1:1">
      <c r="A4611" s="32"/>
    </row>
    <row r="4612" spans="1:1">
      <c r="A4612" s="32"/>
    </row>
    <row r="4613" spans="1:1">
      <c r="A4613" s="32"/>
    </row>
    <row r="4614" spans="1:1">
      <c r="A4614" s="32"/>
    </row>
    <row r="4615" spans="1:1">
      <c r="A4615" s="32"/>
    </row>
    <row r="4616" spans="1:1">
      <c r="A4616" s="32"/>
    </row>
    <row r="4617" spans="1:1">
      <c r="A4617" s="32"/>
    </row>
    <row r="4618" spans="1:1">
      <c r="A4618" s="32"/>
    </row>
    <row r="4619" spans="1:1">
      <c r="A4619" s="32"/>
    </row>
    <row r="4620" spans="1:1">
      <c r="A4620" s="32"/>
    </row>
    <row r="4621" spans="1:1">
      <c r="A4621" s="32"/>
    </row>
    <row r="4622" spans="1:1">
      <c r="A4622" s="32"/>
    </row>
    <row r="4623" spans="1:1">
      <c r="A4623" s="32"/>
    </row>
    <row r="4624" spans="1:1">
      <c r="A4624" s="32"/>
    </row>
    <row r="4625" spans="1:1">
      <c r="A4625" s="32"/>
    </row>
    <row r="4626" spans="1:1">
      <c r="A4626" s="32"/>
    </row>
    <row r="4627" spans="1:1">
      <c r="A4627" s="32"/>
    </row>
    <row r="4628" spans="1:1">
      <c r="A4628" s="32"/>
    </row>
    <row r="4629" spans="1:1">
      <c r="A4629" s="32"/>
    </row>
    <row r="4630" spans="1:1">
      <c r="A4630" s="32"/>
    </row>
    <row r="4631" spans="1:1">
      <c r="A4631" s="32"/>
    </row>
    <row r="4632" spans="1:1">
      <c r="A4632" s="32"/>
    </row>
    <row r="4633" spans="1:1">
      <c r="A4633" s="32"/>
    </row>
    <row r="4634" spans="1:1">
      <c r="A4634" s="32"/>
    </row>
    <row r="4635" spans="1:1">
      <c r="A4635" s="32"/>
    </row>
    <row r="4636" spans="1:1">
      <c r="A4636" s="32"/>
    </row>
    <row r="4637" spans="1:1">
      <c r="A4637" s="32"/>
    </row>
    <row r="4638" spans="1:1">
      <c r="A4638" s="32"/>
    </row>
    <row r="4639" spans="1:1">
      <c r="A4639" s="32"/>
    </row>
    <row r="4640" spans="1:1">
      <c r="A4640" s="32"/>
    </row>
    <row r="4641" spans="1:1">
      <c r="A4641" s="32"/>
    </row>
    <row r="4642" spans="1:1">
      <c r="A4642" s="32"/>
    </row>
    <row r="4643" spans="1:1">
      <c r="A4643" s="32"/>
    </row>
    <row r="4644" spans="1:1">
      <c r="A4644" s="32"/>
    </row>
    <row r="4645" spans="1:1">
      <c r="A4645" s="32"/>
    </row>
    <row r="4646" spans="1:1">
      <c r="A4646" s="32"/>
    </row>
    <row r="4647" spans="1:1">
      <c r="A4647" s="32"/>
    </row>
    <row r="4648" spans="1:1">
      <c r="A4648" s="32"/>
    </row>
    <row r="4649" spans="1:1">
      <c r="A4649" s="32"/>
    </row>
    <row r="4650" spans="1:1">
      <c r="A4650" s="32"/>
    </row>
    <row r="4651" spans="1:1">
      <c r="A4651" s="32"/>
    </row>
    <row r="4652" spans="1:1">
      <c r="A4652" s="32"/>
    </row>
    <row r="4653" spans="1:1">
      <c r="A4653" s="32"/>
    </row>
    <row r="4654" spans="1:1">
      <c r="A4654" s="32"/>
    </row>
    <row r="4655" spans="1:1">
      <c r="A4655" s="32"/>
    </row>
    <row r="4656" spans="1:1">
      <c r="A4656" s="32"/>
    </row>
    <row r="4657" spans="1:1">
      <c r="A4657" s="32"/>
    </row>
    <row r="4658" spans="1:1">
      <c r="A4658" s="32"/>
    </row>
    <row r="4659" spans="1:1">
      <c r="A4659" s="32"/>
    </row>
    <row r="4660" spans="1:1">
      <c r="A4660" s="32"/>
    </row>
    <row r="4661" spans="1:1">
      <c r="A4661" s="32"/>
    </row>
    <row r="4662" spans="1:1">
      <c r="A4662" s="32"/>
    </row>
    <row r="4663" spans="1:1">
      <c r="A4663" s="32"/>
    </row>
    <row r="4664" spans="1:1">
      <c r="A4664" s="32"/>
    </row>
    <row r="4665" spans="1:1">
      <c r="A4665" s="32"/>
    </row>
    <row r="4666" spans="1:1">
      <c r="A4666" s="32"/>
    </row>
    <row r="4667" spans="1:1">
      <c r="A4667" s="32"/>
    </row>
    <row r="4668" spans="1:1">
      <c r="A4668" s="32"/>
    </row>
    <row r="4669" spans="1:1">
      <c r="A4669" s="32"/>
    </row>
    <row r="4670" spans="1:1">
      <c r="A4670" s="32"/>
    </row>
    <row r="4671" spans="1:1">
      <c r="A4671" s="32"/>
    </row>
    <row r="4672" spans="1:1">
      <c r="A4672" s="32"/>
    </row>
    <row r="4673" spans="1:1">
      <c r="A4673" s="32"/>
    </row>
    <row r="4674" spans="1:1">
      <c r="A4674" s="32"/>
    </row>
    <row r="4675" spans="1:1">
      <c r="A4675" s="32"/>
    </row>
    <row r="4676" spans="1:1">
      <c r="A4676" s="32"/>
    </row>
    <row r="4677" spans="1:1">
      <c r="A4677" s="32"/>
    </row>
    <row r="4678" spans="1:1">
      <c r="A4678" s="32"/>
    </row>
    <row r="4679" spans="1:1">
      <c r="A4679" s="32"/>
    </row>
    <row r="4680" spans="1:1">
      <c r="A4680" s="32"/>
    </row>
    <row r="4681" spans="1:1">
      <c r="A4681" s="32"/>
    </row>
    <row r="4682" spans="1:1">
      <c r="A4682" s="32"/>
    </row>
    <row r="4683" spans="1:1">
      <c r="A4683" s="32"/>
    </row>
    <row r="4684" spans="1:1">
      <c r="A4684" s="32"/>
    </row>
    <row r="4685" spans="1:1">
      <c r="A4685" s="32"/>
    </row>
    <row r="4686" spans="1:1">
      <c r="A4686" s="32"/>
    </row>
    <row r="4687" spans="1:1">
      <c r="A4687" s="32"/>
    </row>
    <row r="4688" spans="1:1">
      <c r="A4688" s="32"/>
    </row>
    <row r="4689" spans="1:1">
      <c r="A4689" s="32"/>
    </row>
    <row r="4690" spans="1:1">
      <c r="A4690" s="32"/>
    </row>
    <row r="4691" spans="1:1">
      <c r="A4691" s="32"/>
    </row>
    <row r="4692" spans="1:1">
      <c r="A4692" s="32"/>
    </row>
    <row r="4693" spans="1:1">
      <c r="A4693" s="32"/>
    </row>
    <row r="4694" spans="1:1">
      <c r="A4694" s="32"/>
    </row>
    <row r="4695" spans="1:1">
      <c r="A4695" s="32"/>
    </row>
    <row r="4696" spans="1:1">
      <c r="A4696" s="32"/>
    </row>
    <row r="4697" spans="1:1">
      <c r="A4697" s="32"/>
    </row>
    <row r="4698" spans="1:1">
      <c r="A4698" s="32"/>
    </row>
    <row r="4699" spans="1:1">
      <c r="A4699" s="32"/>
    </row>
    <row r="4700" spans="1:1">
      <c r="A4700" s="32"/>
    </row>
    <row r="4701" spans="1:1">
      <c r="A4701" s="32"/>
    </row>
    <row r="4702" spans="1:1">
      <c r="A4702" s="32"/>
    </row>
    <row r="4703" spans="1:1">
      <c r="A4703" s="32"/>
    </row>
    <row r="4704" spans="1:1">
      <c r="A4704" s="32"/>
    </row>
    <row r="4705" spans="1:1">
      <c r="A4705" s="32"/>
    </row>
    <row r="4706" spans="1:1">
      <c r="A4706" s="32"/>
    </row>
    <row r="4707" spans="1:1">
      <c r="A4707" s="32"/>
    </row>
    <row r="4708" spans="1:1">
      <c r="A4708" s="32"/>
    </row>
    <row r="4709" spans="1:1">
      <c r="A4709" s="32"/>
    </row>
    <row r="4710" spans="1:1">
      <c r="A4710" s="32"/>
    </row>
    <row r="4711" spans="1:1">
      <c r="A4711" s="32"/>
    </row>
    <row r="4712" spans="1:1">
      <c r="A4712" s="32"/>
    </row>
    <row r="4713" spans="1:1">
      <c r="A4713" s="32"/>
    </row>
    <row r="4714" spans="1:1">
      <c r="A4714" s="32"/>
    </row>
    <row r="4715" spans="1:1">
      <c r="A4715" s="32"/>
    </row>
    <row r="4716" spans="1:1">
      <c r="A4716" s="32"/>
    </row>
    <row r="4717" spans="1:1">
      <c r="A4717" s="32"/>
    </row>
    <row r="4718" spans="1:1">
      <c r="A4718" s="32"/>
    </row>
    <row r="4719" spans="1:1">
      <c r="A4719" s="32"/>
    </row>
    <row r="4720" spans="1:1">
      <c r="A4720" s="32"/>
    </row>
    <row r="4721" spans="1:1">
      <c r="A4721" s="32"/>
    </row>
    <row r="4722" spans="1:1">
      <c r="A4722" s="32"/>
    </row>
    <row r="4723" spans="1:1">
      <c r="A4723" s="32"/>
    </row>
    <row r="4724" spans="1:1">
      <c r="A4724" s="32"/>
    </row>
    <row r="4725" spans="1:1">
      <c r="A4725" s="32"/>
    </row>
    <row r="4726" spans="1:1">
      <c r="A4726" s="32"/>
    </row>
    <row r="4727" spans="1:1">
      <c r="A4727" s="32"/>
    </row>
    <row r="4728" spans="1:1">
      <c r="A4728" s="32"/>
    </row>
    <row r="4729" spans="1:1">
      <c r="A4729" s="32"/>
    </row>
    <row r="4730" spans="1:1">
      <c r="A4730" s="32"/>
    </row>
    <row r="4731" spans="1:1">
      <c r="A4731" s="32"/>
    </row>
    <row r="4732" spans="1:1">
      <c r="A4732" s="32"/>
    </row>
    <row r="4733" spans="1:1">
      <c r="A4733" s="32"/>
    </row>
    <row r="4734" spans="1:1">
      <c r="A4734" s="32"/>
    </row>
    <row r="4735" spans="1:1">
      <c r="A4735" s="32"/>
    </row>
    <row r="4736" spans="1:1">
      <c r="A4736" s="32"/>
    </row>
    <row r="4737" spans="1:1">
      <c r="A4737" s="32"/>
    </row>
    <row r="4738" spans="1:1">
      <c r="A4738" s="32"/>
    </row>
    <row r="4739" spans="1:1">
      <c r="A4739" s="32"/>
    </row>
    <row r="4740" spans="1:1">
      <c r="A4740" s="32"/>
    </row>
    <row r="4741" spans="1:1">
      <c r="A4741" s="32"/>
    </row>
    <row r="4742" spans="1:1">
      <c r="A4742" s="32"/>
    </row>
    <row r="4743" spans="1:1">
      <c r="A4743" s="32"/>
    </row>
    <row r="4744" spans="1:1">
      <c r="A4744" s="32"/>
    </row>
    <row r="4745" spans="1:1">
      <c r="A4745" s="32"/>
    </row>
    <row r="4746" spans="1:1">
      <c r="A4746" s="32"/>
    </row>
    <row r="4747" spans="1:1">
      <c r="A4747" s="32"/>
    </row>
    <row r="4748" spans="1:1">
      <c r="A4748" s="32"/>
    </row>
    <row r="4749" spans="1:1">
      <c r="A4749" s="32"/>
    </row>
    <row r="4750" spans="1:1">
      <c r="A4750" s="32"/>
    </row>
    <row r="4751" spans="1:1">
      <c r="A4751" s="32"/>
    </row>
    <row r="4752" spans="1:1">
      <c r="A4752" s="32"/>
    </row>
    <row r="4753" spans="1:1">
      <c r="A4753" s="32"/>
    </row>
    <row r="4754" spans="1:1">
      <c r="A4754" s="32"/>
    </row>
    <row r="4755" spans="1:1">
      <c r="A4755" s="32"/>
    </row>
    <row r="4756" spans="1:1">
      <c r="A4756" s="32"/>
    </row>
    <row r="4757" spans="1:1">
      <c r="A4757" s="32"/>
    </row>
    <row r="4758" spans="1:1">
      <c r="A4758" s="32"/>
    </row>
    <row r="4759" spans="1:1">
      <c r="A4759" s="32"/>
    </row>
    <row r="4760" spans="1:1">
      <c r="A4760" s="32"/>
    </row>
    <row r="4761" spans="1:1">
      <c r="A4761" s="32"/>
    </row>
    <row r="4762" spans="1:1">
      <c r="A4762" s="32"/>
    </row>
    <row r="4763" spans="1:1">
      <c r="A4763" s="32"/>
    </row>
    <row r="4764" spans="1:1">
      <c r="A4764" s="32"/>
    </row>
    <row r="4765" spans="1:1">
      <c r="A4765" s="32"/>
    </row>
    <row r="4766" spans="1:1">
      <c r="A4766" s="32"/>
    </row>
    <row r="4767" spans="1:1">
      <c r="A4767" s="32"/>
    </row>
    <row r="4768" spans="1:1">
      <c r="A4768" s="32"/>
    </row>
    <row r="4769" spans="1:1">
      <c r="A4769" s="32"/>
    </row>
    <row r="4770" spans="1:1">
      <c r="A4770" s="32"/>
    </row>
    <row r="4771" spans="1:1">
      <c r="A4771" s="32"/>
    </row>
    <row r="4772" spans="1:1">
      <c r="A4772" s="32"/>
    </row>
    <row r="4773" spans="1:1">
      <c r="A4773" s="32"/>
    </row>
    <row r="4774" spans="1:1">
      <c r="A4774" s="32"/>
    </row>
    <row r="4775" spans="1:1">
      <c r="A4775" s="32"/>
    </row>
    <row r="4776" spans="1:1">
      <c r="A4776" s="32"/>
    </row>
    <row r="4777" spans="1:1">
      <c r="A4777" s="32"/>
    </row>
    <row r="4778" spans="1:1">
      <c r="A4778" s="32"/>
    </row>
    <row r="4779" spans="1:1">
      <c r="A4779" s="32"/>
    </row>
    <row r="4780" spans="1:1">
      <c r="A4780" s="32"/>
    </row>
    <row r="4781" spans="1:1">
      <c r="A4781" s="32"/>
    </row>
    <row r="4782" spans="1:1">
      <c r="A4782" s="32"/>
    </row>
    <row r="4783" spans="1:1">
      <c r="A4783" s="32"/>
    </row>
    <row r="4784" spans="1:1">
      <c r="A4784" s="32"/>
    </row>
    <row r="4785" spans="1:1">
      <c r="A4785" s="32"/>
    </row>
    <row r="4786" spans="1:1">
      <c r="A4786" s="32"/>
    </row>
    <row r="4787" spans="1:1">
      <c r="A4787" s="32"/>
    </row>
    <row r="4788" spans="1:1">
      <c r="A4788" s="32"/>
    </row>
    <row r="4789" spans="1:1">
      <c r="A4789" s="32"/>
    </row>
    <row r="4790" spans="1:1">
      <c r="A4790" s="32"/>
    </row>
    <row r="4791" spans="1:1">
      <c r="A4791" s="32"/>
    </row>
    <row r="4792" spans="1:1">
      <c r="A4792" s="32"/>
    </row>
    <row r="4793" spans="1:1">
      <c r="A4793" s="32"/>
    </row>
    <row r="4794" spans="1:1">
      <c r="A4794" s="32"/>
    </row>
    <row r="4795" spans="1:1">
      <c r="A4795" s="32"/>
    </row>
    <row r="4796" spans="1:1">
      <c r="A4796" s="32"/>
    </row>
    <row r="4797" spans="1:1">
      <c r="A4797" s="32"/>
    </row>
    <row r="4798" spans="1:1">
      <c r="A4798" s="32"/>
    </row>
    <row r="4799" spans="1:1">
      <c r="A4799" s="32"/>
    </row>
    <row r="4800" spans="1:1">
      <c r="A4800" s="32"/>
    </row>
    <row r="4801" spans="1:1">
      <c r="A4801" s="32"/>
    </row>
    <row r="4802" spans="1:1">
      <c r="A4802" s="32"/>
    </row>
    <row r="4803" spans="1:1">
      <c r="A4803" s="32"/>
    </row>
    <row r="4804" spans="1:1">
      <c r="A4804" s="32"/>
    </row>
    <row r="4805" spans="1:1">
      <c r="A4805" s="32"/>
    </row>
    <row r="4806" spans="1:1">
      <c r="A4806" s="32"/>
    </row>
    <row r="4807" spans="1:1">
      <c r="A4807" s="32"/>
    </row>
    <row r="4808" spans="1:1">
      <c r="A4808" s="32"/>
    </row>
    <row r="4809" spans="1:1">
      <c r="A4809" s="32"/>
    </row>
    <row r="4810" spans="1:1">
      <c r="A4810" s="32"/>
    </row>
    <row r="4811" spans="1:1">
      <c r="A4811" s="32"/>
    </row>
    <row r="4812" spans="1:1">
      <c r="A4812" s="32"/>
    </row>
    <row r="4813" spans="1:1">
      <c r="A4813" s="32"/>
    </row>
    <row r="4814" spans="1:1">
      <c r="A4814" s="32"/>
    </row>
    <row r="4815" spans="1:1">
      <c r="A4815" s="32"/>
    </row>
    <row r="4816" spans="1:1">
      <c r="A4816" s="32"/>
    </row>
    <row r="4817" spans="1:1">
      <c r="A4817" s="32"/>
    </row>
    <row r="4818" spans="1:1">
      <c r="A4818" s="32"/>
    </row>
    <row r="4819" spans="1:1">
      <c r="A4819" s="32"/>
    </row>
    <row r="4820" spans="1:1">
      <c r="A4820" s="32"/>
    </row>
    <row r="4821" spans="1:1">
      <c r="A4821" s="32"/>
    </row>
    <row r="4822" spans="1:1">
      <c r="A4822" s="32"/>
    </row>
    <row r="4823" spans="1:1">
      <c r="A4823" s="32"/>
    </row>
    <row r="4824" spans="1:1">
      <c r="A4824" s="32"/>
    </row>
    <row r="4825" spans="1:1">
      <c r="A4825" s="32"/>
    </row>
    <row r="4826" spans="1:1">
      <c r="A4826" s="32"/>
    </row>
    <row r="4827" spans="1:1">
      <c r="A4827" s="32"/>
    </row>
    <row r="4828" spans="1:1">
      <c r="A4828" s="32"/>
    </row>
    <row r="4829" spans="1:1">
      <c r="A4829" s="32"/>
    </row>
    <row r="4830" spans="1:1">
      <c r="A4830" s="32"/>
    </row>
    <row r="4831" spans="1:1">
      <c r="A4831" s="32"/>
    </row>
    <row r="4832" spans="1:1">
      <c r="A4832" s="32"/>
    </row>
    <row r="4833" spans="1:1">
      <c r="A4833" s="32"/>
    </row>
    <row r="4834" spans="1:1">
      <c r="A4834" s="32"/>
    </row>
    <row r="4835" spans="1:1">
      <c r="A4835" s="32"/>
    </row>
    <row r="4836" spans="1:1">
      <c r="A4836" s="32"/>
    </row>
    <row r="4837" spans="1:1">
      <c r="A4837" s="32"/>
    </row>
    <row r="4838" spans="1:1">
      <c r="A4838" s="32"/>
    </row>
    <row r="4839" spans="1:1">
      <c r="A4839" s="32"/>
    </row>
    <row r="4840" spans="1:1">
      <c r="A4840" s="32"/>
    </row>
    <row r="4841" spans="1:1">
      <c r="A4841" s="32"/>
    </row>
    <row r="4842" spans="1:1">
      <c r="A4842" s="32"/>
    </row>
    <row r="4843" spans="1:1">
      <c r="A4843" s="32"/>
    </row>
    <row r="4844" spans="1:1">
      <c r="A4844" s="32"/>
    </row>
    <row r="4845" spans="1:1">
      <c r="A4845" s="32"/>
    </row>
    <row r="4846" spans="1:1">
      <c r="A4846" s="32"/>
    </row>
    <row r="4847" spans="1:1">
      <c r="A4847" s="32"/>
    </row>
    <row r="4848" spans="1:1">
      <c r="A4848" s="32"/>
    </row>
    <row r="4849" spans="1:1">
      <c r="A4849" s="32"/>
    </row>
    <row r="4850" spans="1:1">
      <c r="A4850" s="32"/>
    </row>
    <row r="4851" spans="1:1">
      <c r="A4851" s="32"/>
    </row>
    <row r="4852" spans="1:1">
      <c r="A4852" s="32"/>
    </row>
    <row r="4853" spans="1:1">
      <c r="A4853" s="32"/>
    </row>
    <row r="4854" spans="1:1">
      <c r="A4854" s="32"/>
    </row>
    <row r="4855" spans="1:1">
      <c r="A4855" s="32"/>
    </row>
    <row r="4856" spans="1:1">
      <c r="A4856" s="32"/>
    </row>
    <row r="4857" spans="1:1">
      <c r="A4857" s="32"/>
    </row>
    <row r="4858" spans="1:1">
      <c r="A4858" s="32"/>
    </row>
    <row r="4859" spans="1:1">
      <c r="A4859" s="32"/>
    </row>
    <row r="4860" spans="1:1">
      <c r="A4860" s="32"/>
    </row>
    <row r="4861" spans="1:1">
      <c r="A4861" s="32"/>
    </row>
    <row r="4862" spans="1:1">
      <c r="A4862" s="32"/>
    </row>
    <row r="4863" spans="1:1">
      <c r="A4863" s="32"/>
    </row>
    <row r="4864" spans="1:1">
      <c r="A4864" s="32"/>
    </row>
    <row r="4865" spans="1:1">
      <c r="A4865" s="32"/>
    </row>
    <row r="4866" spans="1:1">
      <c r="A4866" s="32"/>
    </row>
    <row r="4867" spans="1:1">
      <c r="A4867" s="32"/>
    </row>
    <row r="4868" spans="1:1">
      <c r="A4868" s="32"/>
    </row>
    <row r="4869" spans="1:1">
      <c r="A4869" s="32"/>
    </row>
    <row r="4870" spans="1:1">
      <c r="A4870" s="32"/>
    </row>
    <row r="4871" spans="1:1">
      <c r="A4871" s="32"/>
    </row>
    <row r="4872" spans="1:1">
      <c r="A4872" s="32"/>
    </row>
    <row r="4873" spans="1:1">
      <c r="A4873" s="32"/>
    </row>
    <row r="4874" spans="1:1">
      <c r="A4874" s="32"/>
    </row>
    <row r="4875" spans="1:1">
      <c r="A4875" s="32"/>
    </row>
    <row r="4876" spans="1:1">
      <c r="A4876" s="32"/>
    </row>
    <row r="4877" spans="1:1">
      <c r="A4877" s="32"/>
    </row>
    <row r="4878" spans="1:1">
      <c r="A4878" s="32"/>
    </row>
    <row r="4879" spans="1:1">
      <c r="A4879" s="32"/>
    </row>
    <row r="4880" spans="1:1">
      <c r="A4880" s="32"/>
    </row>
    <row r="4881" spans="1:1">
      <c r="A4881" s="32"/>
    </row>
    <row r="4882" spans="1:1">
      <c r="A4882" s="32"/>
    </row>
    <row r="4883" spans="1:1">
      <c r="A4883" s="32"/>
    </row>
    <row r="4884" spans="1:1">
      <c r="A4884" s="32"/>
    </row>
    <row r="4885" spans="1:1">
      <c r="A4885" s="32"/>
    </row>
    <row r="4886" spans="1:1">
      <c r="A4886" s="32"/>
    </row>
    <row r="4887" spans="1:1">
      <c r="A4887" s="32"/>
    </row>
    <row r="4888" spans="1:1">
      <c r="A4888" s="32"/>
    </row>
    <row r="4889" spans="1:1">
      <c r="A4889" s="32"/>
    </row>
    <row r="4890" spans="1:1">
      <c r="A4890" s="32"/>
    </row>
    <row r="4891" spans="1:1">
      <c r="A4891" s="32"/>
    </row>
    <row r="4892" spans="1:1">
      <c r="A4892" s="32"/>
    </row>
    <row r="4893" spans="1:1">
      <c r="A4893" s="32"/>
    </row>
    <row r="4894" spans="1:1">
      <c r="A4894" s="32"/>
    </row>
    <row r="4895" spans="1:1">
      <c r="A4895" s="32"/>
    </row>
    <row r="4896" spans="1:1">
      <c r="A4896" s="32"/>
    </row>
    <row r="4897" spans="1:1">
      <c r="A4897" s="32"/>
    </row>
    <row r="4898" spans="1:1">
      <c r="A4898" s="32"/>
    </row>
    <row r="4899" spans="1:1">
      <c r="A4899" s="32"/>
    </row>
    <row r="4900" spans="1:1">
      <c r="A4900" s="32"/>
    </row>
    <row r="4901" spans="1:1">
      <c r="A4901" s="32"/>
    </row>
    <row r="4902" spans="1:1">
      <c r="A4902" s="32"/>
    </row>
    <row r="4903" spans="1:1">
      <c r="A4903" s="32"/>
    </row>
    <row r="4904" spans="1:1">
      <c r="A4904" s="32"/>
    </row>
    <row r="4905" spans="1:1">
      <c r="A4905" s="32"/>
    </row>
    <row r="4906" spans="1:1">
      <c r="A4906" s="32"/>
    </row>
    <row r="4907" spans="1:1">
      <c r="A4907" s="32"/>
    </row>
    <row r="4908" spans="1:1">
      <c r="A4908" s="32"/>
    </row>
    <row r="4909" spans="1:1">
      <c r="A4909" s="32"/>
    </row>
    <row r="4910" spans="1:1">
      <c r="A4910" s="32"/>
    </row>
    <row r="4911" spans="1:1">
      <c r="A4911" s="32"/>
    </row>
    <row r="4912" spans="1:1">
      <c r="A4912" s="32"/>
    </row>
    <row r="4913" spans="1:1">
      <c r="A4913" s="32"/>
    </row>
    <row r="4914" spans="1:1">
      <c r="A4914" s="32"/>
    </row>
    <row r="4915" spans="1:1">
      <c r="A4915" s="32"/>
    </row>
    <row r="4916" spans="1:1">
      <c r="A4916" s="32"/>
    </row>
    <row r="4917" spans="1:1">
      <c r="A4917" s="32"/>
    </row>
    <row r="4918" spans="1:1">
      <c r="A4918" s="32"/>
    </row>
    <row r="4919" spans="1:1">
      <c r="A4919" s="32"/>
    </row>
    <row r="4920" spans="1:1">
      <c r="A4920" s="32"/>
    </row>
    <row r="4921" spans="1:1">
      <c r="A4921" s="32"/>
    </row>
    <row r="4922" spans="1:1">
      <c r="A4922" s="32"/>
    </row>
    <row r="4923" spans="1:1">
      <c r="A4923" s="32"/>
    </row>
    <row r="4924" spans="1:1">
      <c r="A4924" s="32"/>
    </row>
    <row r="4925" spans="1:1">
      <c r="A4925" s="32"/>
    </row>
    <row r="4926" spans="1:1">
      <c r="A4926" s="32"/>
    </row>
    <row r="4927" spans="1:1">
      <c r="A4927" s="32"/>
    </row>
    <row r="4928" spans="1:1">
      <c r="A4928" s="32"/>
    </row>
    <row r="4929" spans="1:1">
      <c r="A4929" s="32"/>
    </row>
    <row r="4930" spans="1:1">
      <c r="A4930" s="32"/>
    </row>
    <row r="4931" spans="1:1">
      <c r="A4931" s="32"/>
    </row>
    <row r="4932" spans="1:1">
      <c r="A4932" s="32"/>
    </row>
    <row r="4933" spans="1:1">
      <c r="A4933" s="32"/>
    </row>
    <row r="4934" spans="1:1">
      <c r="A4934" s="32"/>
    </row>
    <row r="4935" spans="1:1">
      <c r="A4935" s="32"/>
    </row>
    <row r="4936" spans="1:1">
      <c r="A4936" s="32"/>
    </row>
    <row r="4937" spans="1:1">
      <c r="A4937" s="32"/>
    </row>
    <row r="4938" spans="1:1">
      <c r="A4938" s="32"/>
    </row>
    <row r="4939" spans="1:1">
      <c r="A4939" s="32"/>
    </row>
    <row r="4940" spans="1:1">
      <c r="A4940" s="32"/>
    </row>
    <row r="4941" spans="1:1">
      <c r="A4941" s="32"/>
    </row>
    <row r="4942" spans="1:1">
      <c r="A4942" s="32"/>
    </row>
    <row r="4943" spans="1:1">
      <c r="A4943" s="32"/>
    </row>
    <row r="4944" spans="1:1">
      <c r="A4944" s="32"/>
    </row>
    <row r="4945" spans="1:1">
      <c r="A4945" s="32"/>
    </row>
    <row r="4946" spans="1:1">
      <c r="A4946" s="32"/>
    </row>
    <row r="4947" spans="1:1">
      <c r="A4947" s="32"/>
    </row>
    <row r="4948" spans="1:1">
      <c r="A4948" s="32"/>
    </row>
    <row r="4949" spans="1:1">
      <c r="A4949" s="32"/>
    </row>
    <row r="4950" spans="1:1">
      <c r="A4950" s="32"/>
    </row>
    <row r="4951" spans="1:1">
      <c r="A4951" s="32"/>
    </row>
    <row r="4952" spans="1:1">
      <c r="A4952" s="32"/>
    </row>
    <row r="4953" spans="1:1">
      <c r="A4953" s="32"/>
    </row>
    <row r="4954" spans="1:1">
      <c r="A4954" s="32"/>
    </row>
    <row r="4955" spans="1:1">
      <c r="A4955" s="32"/>
    </row>
    <row r="4956" spans="1:1">
      <c r="A4956" s="32"/>
    </row>
    <row r="4957" spans="1:1">
      <c r="A4957" s="32"/>
    </row>
    <row r="4958" spans="1:1">
      <c r="A4958" s="32"/>
    </row>
    <row r="4959" spans="1:1">
      <c r="A4959" s="32"/>
    </row>
    <row r="4960" spans="1:1">
      <c r="A4960" s="32"/>
    </row>
    <row r="4961" spans="1:1">
      <c r="A4961" s="32"/>
    </row>
    <row r="4962" spans="1:1">
      <c r="A4962" s="32"/>
    </row>
    <row r="4963" spans="1:1">
      <c r="A4963" s="32"/>
    </row>
    <row r="4964" spans="1:1">
      <c r="A4964" s="32"/>
    </row>
    <row r="4965" spans="1:1">
      <c r="A4965" s="32"/>
    </row>
    <row r="4966" spans="1:1">
      <c r="A4966" s="32"/>
    </row>
    <row r="4967" spans="1:1">
      <c r="A4967" s="32"/>
    </row>
    <row r="4968" spans="1:1">
      <c r="A4968" s="32"/>
    </row>
    <row r="4969" spans="1:1">
      <c r="A4969" s="32"/>
    </row>
    <row r="4970" spans="1:1">
      <c r="A4970" s="32"/>
    </row>
    <row r="4971" spans="1:1">
      <c r="A4971" s="32"/>
    </row>
    <row r="4972" spans="1:1">
      <c r="A4972" s="32"/>
    </row>
    <row r="4973" spans="1:1">
      <c r="A4973" s="32"/>
    </row>
    <row r="4974" spans="1:1">
      <c r="A4974" s="32"/>
    </row>
    <row r="4975" spans="1:1">
      <c r="A4975" s="32"/>
    </row>
    <row r="4976" spans="1:1">
      <c r="A4976" s="32"/>
    </row>
    <row r="4977" spans="1:1">
      <c r="A4977" s="32"/>
    </row>
    <row r="4978" spans="1:1">
      <c r="A4978" s="32"/>
    </row>
    <row r="4979" spans="1:1">
      <c r="A4979" s="32"/>
    </row>
    <row r="4980" spans="1:1">
      <c r="A4980" s="32"/>
    </row>
    <row r="4981" spans="1:1">
      <c r="A4981" s="32"/>
    </row>
    <row r="4982" spans="1:1">
      <c r="A4982" s="32"/>
    </row>
    <row r="4983" spans="1:1">
      <c r="A4983" s="32"/>
    </row>
    <row r="4984" spans="1:1">
      <c r="A4984" s="32"/>
    </row>
    <row r="4985" spans="1:1">
      <c r="A4985" s="32"/>
    </row>
    <row r="4986" spans="1:1">
      <c r="A4986" s="32"/>
    </row>
    <row r="4987" spans="1:1">
      <c r="A4987" s="32"/>
    </row>
    <row r="4988" spans="1:1">
      <c r="A4988" s="32"/>
    </row>
    <row r="4989" spans="1:1">
      <c r="A4989" s="32"/>
    </row>
    <row r="4990" spans="1:1">
      <c r="A4990" s="32"/>
    </row>
    <row r="4991" spans="1:1">
      <c r="A4991" s="32"/>
    </row>
    <row r="4992" spans="1:1">
      <c r="A4992" s="32"/>
    </row>
    <row r="4993" spans="1:1">
      <c r="A4993" s="32"/>
    </row>
    <row r="4994" spans="1:1">
      <c r="A4994" s="32"/>
    </row>
    <row r="4995" spans="1:1">
      <c r="A4995" s="32"/>
    </row>
    <row r="4996" spans="1:1">
      <c r="A4996" s="32"/>
    </row>
    <row r="4997" spans="1:1">
      <c r="A4997" s="32"/>
    </row>
    <row r="4998" spans="1:1">
      <c r="A4998" s="32"/>
    </row>
    <row r="4999" spans="1:1">
      <c r="A4999" s="32"/>
    </row>
    <row r="5000" spans="1:1">
      <c r="A5000" s="32"/>
    </row>
    <row r="5001" spans="1:1">
      <c r="A5001" s="32"/>
    </row>
    <row r="5002" spans="1:1">
      <c r="A5002" s="32"/>
    </row>
    <row r="5003" spans="1:1">
      <c r="A5003" s="32"/>
    </row>
    <row r="5004" spans="1:1">
      <c r="A5004" s="32"/>
    </row>
    <row r="5005" spans="1:1">
      <c r="A5005" s="32"/>
    </row>
    <row r="5006" spans="1:1">
      <c r="A5006" s="32"/>
    </row>
    <row r="5007" spans="1:1">
      <c r="A5007" s="32"/>
    </row>
    <row r="5008" spans="1:1">
      <c r="A5008" s="32"/>
    </row>
    <row r="5009" spans="1:1">
      <c r="A5009" s="32"/>
    </row>
    <row r="5010" spans="1:1">
      <c r="A5010" s="32"/>
    </row>
    <row r="5011" spans="1:1">
      <c r="A5011" s="32"/>
    </row>
    <row r="5012" spans="1:1">
      <c r="A5012" s="32"/>
    </row>
    <row r="5013" spans="1:1">
      <c r="A5013" s="32"/>
    </row>
    <row r="5014" spans="1:1">
      <c r="A5014" s="32"/>
    </row>
    <row r="5015" spans="1:1">
      <c r="A5015" s="32"/>
    </row>
    <row r="5016" spans="1:1">
      <c r="A5016" s="32"/>
    </row>
    <row r="5017" spans="1:1">
      <c r="A5017" s="32"/>
    </row>
    <row r="5018" spans="1:1">
      <c r="A5018" s="32"/>
    </row>
    <row r="5019" spans="1:1">
      <c r="A5019" s="32"/>
    </row>
    <row r="5020" spans="1:1">
      <c r="A5020" s="32"/>
    </row>
    <row r="5021" spans="1:1">
      <c r="A5021" s="32"/>
    </row>
    <row r="5022" spans="1:1">
      <c r="A5022" s="32"/>
    </row>
    <row r="5023" spans="1:1">
      <c r="A5023" s="32"/>
    </row>
    <row r="5024" spans="1:1">
      <c r="A5024" s="32"/>
    </row>
    <row r="5025" spans="1:1">
      <c r="A5025" s="32"/>
    </row>
    <row r="5026" spans="1:1">
      <c r="A5026" s="32"/>
    </row>
    <row r="5027" spans="1:1">
      <c r="A5027" s="32"/>
    </row>
    <row r="5028" spans="1:1">
      <c r="A5028" s="32"/>
    </row>
    <row r="5029" spans="1:1">
      <c r="A5029" s="32"/>
    </row>
    <row r="5030" spans="1:1">
      <c r="A5030" s="32"/>
    </row>
    <row r="5031" spans="1:1">
      <c r="A5031" s="32"/>
    </row>
    <row r="5032" spans="1:1">
      <c r="A5032" s="32"/>
    </row>
    <row r="5033" spans="1:1">
      <c r="A5033" s="32"/>
    </row>
    <row r="5034" spans="1:1">
      <c r="A5034" s="32"/>
    </row>
    <row r="5035" spans="1:1">
      <c r="A5035" s="32"/>
    </row>
    <row r="5036" spans="1:1">
      <c r="A5036" s="32"/>
    </row>
    <row r="5037" spans="1:1">
      <c r="A5037" s="32"/>
    </row>
    <row r="5038" spans="1:1">
      <c r="A5038" s="32"/>
    </row>
    <row r="5039" spans="1:1">
      <c r="A5039" s="32"/>
    </row>
    <row r="5040" spans="1:1">
      <c r="A5040" s="32"/>
    </row>
    <row r="5041" spans="1:1">
      <c r="A5041" s="32"/>
    </row>
    <row r="5042" spans="1:1">
      <c r="A5042" s="32"/>
    </row>
    <row r="5043" spans="1:1">
      <c r="A5043" s="32"/>
    </row>
    <row r="5044" spans="1:1">
      <c r="A5044" s="32"/>
    </row>
    <row r="5045" spans="1:1">
      <c r="A5045" s="32"/>
    </row>
    <row r="5046" spans="1:1">
      <c r="A5046" s="32"/>
    </row>
    <row r="5047" spans="1:1">
      <c r="A5047" s="32"/>
    </row>
    <row r="5048" spans="1:1">
      <c r="A5048" s="32"/>
    </row>
    <row r="5049" spans="1:1">
      <c r="A5049" s="32"/>
    </row>
    <row r="5050" spans="1:1">
      <c r="A5050" s="32"/>
    </row>
    <row r="5051" spans="1:1">
      <c r="A5051" s="32"/>
    </row>
    <row r="5052" spans="1:1">
      <c r="A5052" s="32"/>
    </row>
    <row r="5053" spans="1:1">
      <c r="A5053" s="32"/>
    </row>
    <row r="5054" spans="1:1">
      <c r="A5054" s="32"/>
    </row>
    <row r="5055" spans="1:1">
      <c r="A5055" s="32"/>
    </row>
    <row r="5056" spans="1:1">
      <c r="A5056" s="32"/>
    </row>
    <row r="5057" spans="1:1">
      <c r="A5057" s="32"/>
    </row>
    <row r="5058" spans="1:1">
      <c r="A5058" s="32"/>
    </row>
    <row r="5059" spans="1:1">
      <c r="A5059" s="32"/>
    </row>
    <row r="5060" spans="1:1">
      <c r="A5060" s="32"/>
    </row>
    <row r="5061" spans="1:1">
      <c r="A5061" s="32"/>
    </row>
    <row r="5062" spans="1:1">
      <c r="A5062" s="32"/>
    </row>
    <row r="5063" spans="1:1">
      <c r="A5063" s="32"/>
    </row>
    <row r="5064" spans="1:1">
      <c r="A5064" s="32"/>
    </row>
    <row r="5065" spans="1:1">
      <c r="A5065" s="32"/>
    </row>
    <row r="5066" spans="1:1">
      <c r="A5066" s="32"/>
    </row>
    <row r="5067" spans="1:1">
      <c r="A5067" s="32"/>
    </row>
    <row r="5068" spans="1:1">
      <c r="A5068" s="32"/>
    </row>
    <row r="5069" spans="1:1">
      <c r="A5069" s="32"/>
    </row>
    <row r="5070" spans="1:1">
      <c r="A5070" s="32"/>
    </row>
    <row r="5071" spans="1:1">
      <c r="A5071" s="32"/>
    </row>
    <row r="5072" spans="1:1">
      <c r="A5072" s="32"/>
    </row>
    <row r="5073" spans="1:1">
      <c r="A5073" s="32"/>
    </row>
    <row r="5074" spans="1:1">
      <c r="A5074" s="32"/>
    </row>
    <row r="5075" spans="1:1">
      <c r="A5075" s="32"/>
    </row>
    <row r="5076" spans="1:1">
      <c r="A5076" s="32"/>
    </row>
    <row r="5077" spans="1:1">
      <c r="A5077" s="32"/>
    </row>
    <row r="5078" spans="1:1">
      <c r="A5078" s="32"/>
    </row>
    <row r="5079" spans="1:1">
      <c r="A5079" s="32"/>
    </row>
    <row r="5080" spans="1:1">
      <c r="A5080" s="32"/>
    </row>
    <row r="5081" spans="1:1">
      <c r="A5081" s="32"/>
    </row>
    <row r="5082" spans="1:1">
      <c r="A5082" s="32"/>
    </row>
    <row r="5083" spans="1:1">
      <c r="A5083" s="32"/>
    </row>
    <row r="5084" spans="1:1">
      <c r="A5084" s="32"/>
    </row>
    <row r="5085" spans="1:1">
      <c r="A5085" s="32"/>
    </row>
    <row r="5086" spans="1:1">
      <c r="A5086" s="32"/>
    </row>
    <row r="5087" spans="1:1">
      <c r="A5087" s="32"/>
    </row>
    <row r="5088" spans="1:1">
      <c r="A5088" s="32"/>
    </row>
    <row r="5089" spans="1:1">
      <c r="A5089" s="32"/>
    </row>
    <row r="5090" spans="1:1">
      <c r="A5090" s="32"/>
    </row>
    <row r="5091" spans="1:1">
      <c r="A5091" s="32"/>
    </row>
    <row r="5092" spans="1:1">
      <c r="A5092" s="32"/>
    </row>
    <row r="5093" spans="1:1">
      <c r="A5093" s="32"/>
    </row>
    <row r="5094" spans="1:1">
      <c r="A5094" s="32"/>
    </row>
    <row r="5095" spans="1:1">
      <c r="A5095" s="32"/>
    </row>
    <row r="5096" spans="1:1">
      <c r="A5096" s="32"/>
    </row>
    <row r="5097" spans="1:1">
      <c r="A5097" s="32"/>
    </row>
    <row r="5098" spans="1:1">
      <c r="A5098" s="32"/>
    </row>
    <row r="5099" spans="1:1">
      <c r="A5099" s="32"/>
    </row>
    <row r="5100" spans="1:1">
      <c r="A5100" s="32"/>
    </row>
    <row r="5101" spans="1:1">
      <c r="A5101" s="32"/>
    </row>
    <row r="5102" spans="1:1">
      <c r="A5102" s="32"/>
    </row>
    <row r="5103" spans="1:1">
      <c r="A5103" s="32"/>
    </row>
    <row r="5104" spans="1:1">
      <c r="A5104" s="32"/>
    </row>
    <row r="5105" spans="1:1">
      <c r="A5105" s="32"/>
    </row>
    <row r="5106" spans="1:1">
      <c r="A5106" s="32"/>
    </row>
    <row r="5107" spans="1:1">
      <c r="A5107" s="32"/>
    </row>
    <row r="5108" spans="1:1">
      <c r="A5108" s="32"/>
    </row>
    <row r="5109" spans="1:1">
      <c r="A5109" s="32"/>
    </row>
    <row r="5110" spans="1:1">
      <c r="A5110" s="32"/>
    </row>
    <row r="5111" spans="1:1">
      <c r="A5111" s="32"/>
    </row>
    <row r="5112" spans="1:1">
      <c r="A5112" s="32"/>
    </row>
    <row r="5113" spans="1:1">
      <c r="A5113" s="32"/>
    </row>
    <row r="5114" spans="1:1">
      <c r="A5114" s="32"/>
    </row>
    <row r="5115" spans="1:1">
      <c r="A5115" s="32"/>
    </row>
    <row r="5116" spans="1:1">
      <c r="A5116" s="32"/>
    </row>
    <row r="5117" spans="1:1">
      <c r="A5117" s="32"/>
    </row>
    <row r="5118" spans="1:1">
      <c r="A5118" s="32"/>
    </row>
    <row r="5119" spans="1:1">
      <c r="A5119" s="32"/>
    </row>
    <row r="5120" spans="1:1">
      <c r="A5120" s="32"/>
    </row>
    <row r="5121" spans="1:1">
      <c r="A5121" s="32"/>
    </row>
    <row r="5122" spans="1:1">
      <c r="A5122" s="32"/>
    </row>
    <row r="5123" spans="1:1">
      <c r="A5123" s="32"/>
    </row>
    <row r="5124" spans="1:1">
      <c r="A5124" s="32"/>
    </row>
    <row r="5125" spans="1:1">
      <c r="A5125" s="32"/>
    </row>
    <row r="5126" spans="1:1">
      <c r="A5126" s="32"/>
    </row>
    <row r="5127" spans="1:1">
      <c r="A5127" s="32"/>
    </row>
    <row r="5128" spans="1:1">
      <c r="A5128" s="32"/>
    </row>
    <row r="5129" spans="1:1">
      <c r="A5129" s="32"/>
    </row>
    <row r="5130" spans="1:1">
      <c r="A5130" s="32"/>
    </row>
    <row r="5131" spans="1:1">
      <c r="A5131" s="32"/>
    </row>
    <row r="5132" spans="1:1">
      <c r="A5132" s="32"/>
    </row>
    <row r="5133" spans="1:1">
      <c r="A5133" s="32"/>
    </row>
    <row r="5134" spans="1:1">
      <c r="A5134" s="32"/>
    </row>
    <row r="5135" spans="1:1">
      <c r="A5135" s="32"/>
    </row>
    <row r="5136" spans="1:1">
      <c r="A5136" s="32"/>
    </row>
    <row r="5137" spans="1:1">
      <c r="A5137" s="32"/>
    </row>
    <row r="5138" spans="1:1">
      <c r="A5138" s="32"/>
    </row>
    <row r="5139" spans="1:1">
      <c r="A5139" s="32"/>
    </row>
    <row r="5140" spans="1:1">
      <c r="A5140" s="32"/>
    </row>
    <row r="5141" spans="1:1">
      <c r="A5141" s="32"/>
    </row>
    <row r="5142" spans="1:1">
      <c r="A5142" s="32"/>
    </row>
    <row r="5143" spans="1:1">
      <c r="A5143" s="32"/>
    </row>
    <row r="5144" spans="1:1">
      <c r="A5144" s="32"/>
    </row>
    <row r="5145" spans="1:1">
      <c r="A5145" s="32"/>
    </row>
    <row r="5146" spans="1:1">
      <c r="A5146" s="32"/>
    </row>
    <row r="5147" spans="1:1">
      <c r="A5147" s="32"/>
    </row>
    <row r="5148" spans="1:1">
      <c r="A5148" s="32"/>
    </row>
    <row r="5149" spans="1:1">
      <c r="A5149" s="32"/>
    </row>
    <row r="5150" spans="1:1">
      <c r="A5150" s="32"/>
    </row>
    <row r="5151" spans="1:1">
      <c r="A5151" s="32"/>
    </row>
    <row r="5152" spans="1:1">
      <c r="A5152" s="32"/>
    </row>
    <row r="5153" spans="1:1">
      <c r="A5153" s="32"/>
    </row>
    <row r="5154" spans="1:1">
      <c r="A5154" s="32"/>
    </row>
    <row r="5155" spans="1:1">
      <c r="A5155" s="32"/>
    </row>
    <row r="5156" spans="1:1">
      <c r="A5156" s="32"/>
    </row>
    <row r="5157" spans="1:1">
      <c r="A5157" s="32"/>
    </row>
    <row r="5158" spans="1:1">
      <c r="A5158" s="32"/>
    </row>
    <row r="5159" spans="1:1">
      <c r="A5159" s="32"/>
    </row>
    <row r="5160" spans="1:1">
      <c r="A5160" s="32"/>
    </row>
    <row r="5161" spans="1:1">
      <c r="A5161" s="32"/>
    </row>
    <row r="5162" spans="1:1">
      <c r="A5162" s="32"/>
    </row>
    <row r="5163" spans="1:1">
      <c r="A5163" s="32"/>
    </row>
    <row r="5164" spans="1:1">
      <c r="A5164" s="32"/>
    </row>
    <row r="5165" spans="1:1">
      <c r="A5165" s="32"/>
    </row>
    <row r="5166" spans="1:1">
      <c r="A5166" s="32"/>
    </row>
    <row r="5167" spans="1:1">
      <c r="A5167" s="32"/>
    </row>
    <row r="5168" spans="1:1">
      <c r="A5168" s="32"/>
    </row>
    <row r="5169" spans="1:1">
      <c r="A5169" s="32"/>
    </row>
    <row r="5170" spans="1:1">
      <c r="A5170" s="32"/>
    </row>
    <row r="5171" spans="1:1">
      <c r="A5171" s="32"/>
    </row>
    <row r="5172" spans="1:1">
      <c r="A5172" s="32"/>
    </row>
    <row r="5173" spans="1:1">
      <c r="A5173" s="32"/>
    </row>
    <row r="5174" spans="1:1">
      <c r="A5174" s="32"/>
    </row>
    <row r="5175" spans="1:1">
      <c r="A5175" s="32"/>
    </row>
    <row r="5176" spans="1:1">
      <c r="A5176" s="32"/>
    </row>
    <row r="5177" spans="1:1">
      <c r="A5177" s="32"/>
    </row>
    <row r="5178" spans="1:1">
      <c r="A5178" s="32"/>
    </row>
    <row r="5179" spans="1:1">
      <c r="A5179" s="32"/>
    </row>
    <row r="5180" spans="1:1">
      <c r="A5180" s="32"/>
    </row>
    <row r="5181" spans="1:1">
      <c r="A5181" s="32"/>
    </row>
    <row r="5182" spans="1:1">
      <c r="A5182" s="32"/>
    </row>
    <row r="5183" spans="1:1">
      <c r="A5183" s="32"/>
    </row>
    <row r="5184" spans="1:1">
      <c r="A5184" s="32"/>
    </row>
    <row r="5185" spans="1:1">
      <c r="A5185" s="32"/>
    </row>
    <row r="5186" spans="1:1">
      <c r="A5186" s="32"/>
    </row>
    <row r="5187" spans="1:1">
      <c r="A5187" s="32"/>
    </row>
    <row r="5188" spans="1:1">
      <c r="A5188" s="32"/>
    </row>
    <row r="5189" spans="1:1">
      <c r="A5189" s="32"/>
    </row>
    <row r="5190" spans="1:1">
      <c r="A5190" s="32"/>
    </row>
    <row r="5191" spans="1:1">
      <c r="A5191" s="32"/>
    </row>
    <row r="5192" spans="1:1">
      <c r="A5192" s="32"/>
    </row>
    <row r="5193" spans="1:1">
      <c r="A5193" s="32"/>
    </row>
    <row r="5194" spans="1:1">
      <c r="A5194" s="32"/>
    </row>
    <row r="5195" spans="1:1">
      <c r="A5195" s="32"/>
    </row>
    <row r="5196" spans="1:1">
      <c r="A5196" s="32"/>
    </row>
    <row r="5197" spans="1:1">
      <c r="A5197" s="32"/>
    </row>
    <row r="5198" spans="1:1">
      <c r="A5198" s="32"/>
    </row>
    <row r="5199" spans="1:1">
      <c r="A5199" s="32"/>
    </row>
    <row r="5200" spans="1:1">
      <c r="A5200" s="32"/>
    </row>
    <row r="5201" spans="1:1">
      <c r="A5201" s="32"/>
    </row>
    <row r="5202" spans="1:1">
      <c r="A5202" s="32"/>
    </row>
    <row r="5203" spans="1:1">
      <c r="A5203" s="32"/>
    </row>
    <row r="5204" spans="1:1">
      <c r="A5204" s="32"/>
    </row>
    <row r="5205" spans="1:1">
      <c r="A5205" s="32"/>
    </row>
    <row r="5206" spans="1:1">
      <c r="A5206" s="32"/>
    </row>
    <row r="5207" spans="1:1">
      <c r="A5207" s="32"/>
    </row>
    <row r="5208" spans="1:1">
      <c r="A5208" s="32"/>
    </row>
    <row r="5209" spans="1:1">
      <c r="A5209" s="32"/>
    </row>
    <row r="5210" spans="1:1">
      <c r="A5210" s="32"/>
    </row>
    <row r="5211" spans="1:1">
      <c r="A5211" s="32"/>
    </row>
    <row r="5212" spans="1:1">
      <c r="A5212" s="32"/>
    </row>
    <row r="5213" spans="1:1">
      <c r="A5213" s="32"/>
    </row>
    <row r="5214" spans="1:1">
      <c r="A5214" s="32"/>
    </row>
    <row r="5215" spans="1:1">
      <c r="A5215" s="32"/>
    </row>
    <row r="5216" spans="1:1">
      <c r="A5216" s="32"/>
    </row>
    <row r="5217" spans="1:1">
      <c r="A5217" s="32"/>
    </row>
    <row r="5218" spans="1:1">
      <c r="A5218" s="32"/>
    </row>
    <row r="5219" spans="1:1">
      <c r="A5219" s="32"/>
    </row>
    <row r="5220" spans="1:1">
      <c r="A5220" s="32"/>
    </row>
    <row r="5221" spans="1:1">
      <c r="A5221" s="32"/>
    </row>
    <row r="5222" spans="1:1">
      <c r="A5222" s="32"/>
    </row>
    <row r="5223" spans="1:1">
      <c r="A5223" s="32"/>
    </row>
    <row r="5224" spans="1:1">
      <c r="A5224" s="32"/>
    </row>
    <row r="5225" spans="1:1">
      <c r="A5225" s="32"/>
    </row>
    <row r="5226" spans="1:1">
      <c r="A5226" s="32"/>
    </row>
    <row r="5227" spans="1:1">
      <c r="A5227" s="32"/>
    </row>
    <row r="5228" spans="1:1">
      <c r="A5228" s="32"/>
    </row>
    <row r="5229" spans="1:1">
      <c r="A5229" s="32"/>
    </row>
    <row r="5230" spans="1:1">
      <c r="A5230" s="32"/>
    </row>
    <row r="5231" spans="1:1">
      <c r="A5231" s="32"/>
    </row>
    <row r="5232" spans="1:1">
      <c r="A5232" s="32"/>
    </row>
    <row r="5233" spans="1:1">
      <c r="A5233" s="32"/>
    </row>
    <row r="5234" spans="1:1">
      <c r="A5234" s="32"/>
    </row>
    <row r="5235" spans="1:1">
      <c r="A5235" s="32"/>
    </row>
    <row r="5236" spans="1:1">
      <c r="A5236" s="32"/>
    </row>
    <row r="5237" spans="1:1">
      <c r="A5237" s="32"/>
    </row>
    <row r="5238" spans="1:1">
      <c r="A5238" s="32"/>
    </row>
    <row r="5239" spans="1:1">
      <c r="A5239" s="32"/>
    </row>
    <row r="5240" spans="1:1">
      <c r="A5240" s="32"/>
    </row>
    <row r="5241" spans="1:1">
      <c r="A5241" s="32"/>
    </row>
    <row r="5242" spans="1:1">
      <c r="A5242" s="32"/>
    </row>
    <row r="5243" spans="1:1">
      <c r="A5243" s="32"/>
    </row>
    <row r="5244" spans="1:1">
      <c r="A5244" s="32"/>
    </row>
    <row r="5245" spans="1:1">
      <c r="A5245" s="32"/>
    </row>
    <row r="5246" spans="1:1">
      <c r="A5246" s="32"/>
    </row>
    <row r="5247" spans="1:1">
      <c r="A5247" s="32"/>
    </row>
    <row r="5248" spans="1:1">
      <c r="A5248" s="32"/>
    </row>
    <row r="5249" spans="1:1">
      <c r="A5249" s="32"/>
    </row>
    <row r="5250" spans="1:1">
      <c r="A5250" s="32"/>
    </row>
    <row r="5251" spans="1:1">
      <c r="A5251" s="32"/>
    </row>
    <row r="5252" spans="1:1">
      <c r="A5252" s="32"/>
    </row>
    <row r="5253" spans="1:1">
      <c r="A5253" s="32"/>
    </row>
    <row r="5254" spans="1:1">
      <c r="A5254" s="32"/>
    </row>
    <row r="5255" spans="1:1">
      <c r="A5255" s="32"/>
    </row>
    <row r="5256" spans="1:1">
      <c r="A5256" s="32"/>
    </row>
    <row r="5257" spans="1:1">
      <c r="A5257" s="32"/>
    </row>
    <row r="5258" spans="1:1">
      <c r="A5258" s="32"/>
    </row>
    <row r="5259" spans="1:1">
      <c r="A5259" s="32"/>
    </row>
    <row r="5260" spans="1:1">
      <c r="A5260" s="32"/>
    </row>
    <row r="5261" spans="1:1">
      <c r="A5261" s="32"/>
    </row>
    <row r="5262" spans="1:1">
      <c r="A5262" s="32"/>
    </row>
    <row r="5263" spans="1:1">
      <c r="A5263" s="32"/>
    </row>
    <row r="5264" spans="1:1">
      <c r="A5264" s="32"/>
    </row>
    <row r="5265" spans="1:1">
      <c r="A5265" s="32"/>
    </row>
    <row r="5266" spans="1:1">
      <c r="A5266" s="32"/>
    </row>
    <row r="5267" spans="1:1">
      <c r="A5267" s="32"/>
    </row>
    <row r="5268" spans="1:1">
      <c r="A5268" s="32"/>
    </row>
    <row r="5269" spans="1:1">
      <c r="A5269" s="32"/>
    </row>
    <row r="5270" spans="1:1">
      <c r="A5270" s="32"/>
    </row>
    <row r="5271" spans="1:1">
      <c r="A5271" s="32"/>
    </row>
    <row r="5272" spans="1:1">
      <c r="A5272" s="32"/>
    </row>
    <row r="5273" spans="1:1">
      <c r="A5273" s="32"/>
    </row>
    <row r="5274" spans="1:1">
      <c r="A5274" s="32"/>
    </row>
    <row r="5275" spans="1:1">
      <c r="A5275" s="32"/>
    </row>
    <row r="5276" spans="1:1">
      <c r="A5276" s="32"/>
    </row>
    <row r="5277" spans="1:1">
      <c r="A5277" s="32"/>
    </row>
    <row r="5278" spans="1:1">
      <c r="A5278" s="32"/>
    </row>
    <row r="5279" spans="1:1">
      <c r="A5279" s="32"/>
    </row>
    <row r="5280" spans="1:1">
      <c r="A5280" s="32"/>
    </row>
    <row r="5281" spans="1:1">
      <c r="A5281" s="32"/>
    </row>
    <row r="5282" spans="1:1">
      <c r="A5282" s="32"/>
    </row>
    <row r="5283" spans="1:1">
      <c r="A5283" s="32"/>
    </row>
    <row r="5284" spans="1:1">
      <c r="A5284" s="32"/>
    </row>
    <row r="5285" spans="1:1">
      <c r="A5285" s="32"/>
    </row>
    <row r="5286" spans="1:1">
      <c r="A5286" s="32"/>
    </row>
    <row r="5287" spans="1:1">
      <c r="A5287" s="32"/>
    </row>
    <row r="5288" spans="1:1">
      <c r="A5288" s="32"/>
    </row>
    <row r="5289" spans="1:1">
      <c r="A5289" s="32"/>
    </row>
    <row r="5290" spans="1:1">
      <c r="A5290" s="32"/>
    </row>
    <row r="5291" spans="1:1">
      <c r="A5291" s="32"/>
    </row>
    <row r="5292" spans="1:1">
      <c r="A5292" s="32"/>
    </row>
    <row r="5293" spans="1:1">
      <c r="A5293" s="32"/>
    </row>
    <row r="5294" spans="1:1">
      <c r="A5294" s="32"/>
    </row>
    <row r="5295" spans="1:1">
      <c r="A5295" s="32"/>
    </row>
    <row r="5296" spans="1:1">
      <c r="A5296" s="32"/>
    </row>
    <row r="5297" spans="1:1">
      <c r="A5297" s="32"/>
    </row>
    <row r="5298" spans="1:1">
      <c r="A5298" s="32"/>
    </row>
    <row r="5299" spans="1:1">
      <c r="A5299" s="32"/>
    </row>
    <row r="5300" spans="1:1">
      <c r="A5300" s="32"/>
    </row>
    <row r="5301" spans="1:1">
      <c r="A5301" s="32"/>
    </row>
    <row r="5302" spans="1:1">
      <c r="A5302" s="32"/>
    </row>
    <row r="5303" spans="1:1">
      <c r="A5303" s="32"/>
    </row>
    <row r="5304" spans="1:1">
      <c r="A5304" s="32"/>
    </row>
    <row r="5305" spans="1:1">
      <c r="A5305" s="32"/>
    </row>
    <row r="5306" spans="1:1">
      <c r="A5306" s="32"/>
    </row>
    <row r="5307" spans="1:1">
      <c r="A5307" s="32"/>
    </row>
    <row r="5308" spans="1:1">
      <c r="A5308" s="32"/>
    </row>
    <row r="5309" spans="1:1">
      <c r="A5309" s="32"/>
    </row>
    <row r="5310" spans="1:1">
      <c r="A5310" s="32"/>
    </row>
    <row r="5311" spans="1:1">
      <c r="A5311" s="32"/>
    </row>
    <row r="5312" spans="1:1">
      <c r="A5312" s="32"/>
    </row>
    <row r="5313" spans="1:1">
      <c r="A5313" s="32"/>
    </row>
    <row r="5314" spans="1:1">
      <c r="A5314" s="32"/>
    </row>
    <row r="5315" spans="1:1">
      <c r="A5315" s="32"/>
    </row>
    <row r="5316" spans="1:1">
      <c r="A5316" s="32"/>
    </row>
    <row r="5317" spans="1:1">
      <c r="A5317" s="32"/>
    </row>
    <row r="5318" spans="1:1">
      <c r="A5318" s="32"/>
    </row>
    <row r="5319" spans="1:1">
      <c r="A5319" s="32"/>
    </row>
    <row r="5320" spans="1:1">
      <c r="A5320" s="32"/>
    </row>
    <row r="5321" spans="1:1">
      <c r="A5321" s="32"/>
    </row>
    <row r="5322" spans="1:1">
      <c r="A5322" s="32"/>
    </row>
    <row r="5323" spans="1:1">
      <c r="A5323" s="32"/>
    </row>
    <row r="5324" spans="1:1">
      <c r="A5324" s="32"/>
    </row>
    <row r="5325" spans="1:1">
      <c r="A5325" s="32"/>
    </row>
    <row r="5326" spans="1:1">
      <c r="A5326" s="32"/>
    </row>
    <row r="5327" spans="1:1">
      <c r="A5327" s="32"/>
    </row>
    <row r="5328" spans="1:1">
      <c r="A5328" s="32"/>
    </row>
    <row r="5329" spans="1:1">
      <c r="A5329" s="32"/>
    </row>
    <row r="5330" spans="1:1">
      <c r="A5330" s="32"/>
    </row>
    <row r="5331" spans="1:1">
      <c r="A5331" s="32"/>
    </row>
    <row r="5332" spans="1:1">
      <c r="A5332" s="32"/>
    </row>
    <row r="5333" spans="1:1">
      <c r="A5333" s="32"/>
    </row>
    <row r="5334" spans="1:1">
      <c r="A5334" s="32"/>
    </row>
    <row r="5335" spans="1:1">
      <c r="A5335" s="32"/>
    </row>
    <row r="5336" spans="1:1">
      <c r="A5336" s="32"/>
    </row>
    <row r="5337" spans="1:1">
      <c r="A5337" s="32"/>
    </row>
    <row r="5338" spans="1:1">
      <c r="A5338" s="32"/>
    </row>
    <row r="5339" spans="1:1">
      <c r="A5339" s="32"/>
    </row>
    <row r="5340" spans="1:1">
      <c r="A5340" s="32"/>
    </row>
    <row r="5341" spans="1:1">
      <c r="A5341" s="32"/>
    </row>
    <row r="5342" spans="1:1">
      <c r="A5342" s="32"/>
    </row>
    <row r="5343" spans="1:1">
      <c r="A5343" s="32"/>
    </row>
    <row r="5344" spans="1:1">
      <c r="A5344" s="32"/>
    </row>
    <row r="5345" spans="1:1">
      <c r="A5345" s="32"/>
    </row>
    <row r="5346" spans="1:1">
      <c r="A5346" s="32"/>
    </row>
    <row r="5347" spans="1:1">
      <c r="A5347" s="32"/>
    </row>
    <row r="5348" spans="1:1">
      <c r="A5348" s="32"/>
    </row>
    <row r="5349" spans="1:1">
      <c r="A5349" s="32"/>
    </row>
    <row r="5350" spans="1:1">
      <c r="A5350" s="32"/>
    </row>
    <row r="5351" spans="1:1">
      <c r="A5351" s="32"/>
    </row>
    <row r="5352" spans="1:1">
      <c r="A5352" s="32"/>
    </row>
    <row r="5353" spans="1:1">
      <c r="A5353" s="32"/>
    </row>
    <row r="5354" spans="1:1">
      <c r="A5354" s="32"/>
    </row>
    <row r="5355" spans="1:1">
      <c r="A5355" s="32"/>
    </row>
    <row r="5356" spans="1:1">
      <c r="A5356" s="32"/>
    </row>
    <row r="5357" spans="1:1">
      <c r="A5357" s="32"/>
    </row>
    <row r="5358" spans="1:1">
      <c r="A5358" s="32"/>
    </row>
    <row r="5359" spans="1:1">
      <c r="A5359" s="32"/>
    </row>
    <row r="5360" spans="1:1">
      <c r="A5360" s="32"/>
    </row>
    <row r="5361" spans="1:1">
      <c r="A5361" s="32"/>
    </row>
    <row r="5362" spans="1:1">
      <c r="A5362" s="32"/>
    </row>
    <row r="5363" spans="1:1">
      <c r="A5363" s="32"/>
    </row>
    <row r="5364" spans="1:1">
      <c r="A5364" s="32"/>
    </row>
    <row r="5365" spans="1:1">
      <c r="A5365" s="32"/>
    </row>
    <row r="5366" spans="1:1">
      <c r="A5366" s="32"/>
    </row>
    <row r="5367" spans="1:1">
      <c r="A5367" s="32"/>
    </row>
    <row r="5368" spans="1:1">
      <c r="A5368" s="32"/>
    </row>
    <row r="5369" spans="1:1">
      <c r="A5369" s="32"/>
    </row>
    <row r="5370" spans="1:1">
      <c r="A5370" s="32"/>
    </row>
    <row r="5371" spans="1:1">
      <c r="A5371" s="32"/>
    </row>
    <row r="5372" spans="1:1">
      <c r="A5372" s="32"/>
    </row>
    <row r="5373" spans="1:1">
      <c r="A5373" s="32"/>
    </row>
    <row r="5374" spans="1:1">
      <c r="A5374" s="32"/>
    </row>
    <row r="5375" spans="1:1">
      <c r="A5375" s="32"/>
    </row>
    <row r="5376" spans="1:1">
      <c r="A5376" s="32"/>
    </row>
    <row r="5377" spans="1:1">
      <c r="A5377" s="32"/>
    </row>
    <row r="5378" spans="1:1">
      <c r="A5378" s="32"/>
    </row>
    <row r="5379" spans="1:1">
      <c r="A5379" s="32"/>
    </row>
    <row r="5380" spans="1:1">
      <c r="A5380" s="32"/>
    </row>
    <row r="5381" spans="1:1">
      <c r="A5381" s="32"/>
    </row>
    <row r="5382" spans="1:1">
      <c r="A5382" s="32"/>
    </row>
    <row r="5383" spans="1:1">
      <c r="A5383" s="32"/>
    </row>
    <row r="5384" spans="1:1">
      <c r="A5384" s="32"/>
    </row>
    <row r="5385" spans="1:1">
      <c r="A5385" s="32"/>
    </row>
    <row r="5386" spans="1:1">
      <c r="A5386" s="32"/>
    </row>
    <row r="5387" spans="1:1">
      <c r="A5387" s="32"/>
    </row>
    <row r="5388" spans="1:1">
      <c r="A5388" s="32"/>
    </row>
    <row r="5389" spans="1:1">
      <c r="A5389" s="32"/>
    </row>
    <row r="5390" spans="1:1">
      <c r="A5390" s="32"/>
    </row>
    <row r="5391" spans="1:1">
      <c r="A5391" s="32"/>
    </row>
    <row r="5392" spans="1:1">
      <c r="A5392" s="32"/>
    </row>
    <row r="5393" spans="1:1">
      <c r="A5393" s="32"/>
    </row>
    <row r="5394" spans="1:1">
      <c r="A5394" s="32"/>
    </row>
    <row r="5395" spans="1:1">
      <c r="A5395" s="32"/>
    </row>
    <row r="5396" spans="1:1">
      <c r="A5396" s="32"/>
    </row>
    <row r="5397" spans="1:1">
      <c r="A5397" s="32"/>
    </row>
    <row r="5398" spans="1:1">
      <c r="A5398" s="32"/>
    </row>
    <row r="5399" spans="1:1">
      <c r="A5399" s="32"/>
    </row>
    <row r="5400" spans="1:1">
      <c r="A5400" s="32"/>
    </row>
    <row r="5401" spans="1:1">
      <c r="A5401" s="32"/>
    </row>
    <row r="5402" spans="1:1">
      <c r="A5402" s="32"/>
    </row>
    <row r="5403" spans="1:1">
      <c r="A5403" s="32"/>
    </row>
    <row r="5404" spans="1:1">
      <c r="A5404" s="32"/>
    </row>
    <row r="5405" spans="1:1">
      <c r="A5405" s="32"/>
    </row>
    <row r="5406" spans="1:1">
      <c r="A5406" s="32"/>
    </row>
    <row r="5407" spans="1:1">
      <c r="A5407" s="32"/>
    </row>
    <row r="5408" spans="1:1">
      <c r="A5408" s="32"/>
    </row>
    <row r="5409" spans="1:1">
      <c r="A5409" s="32"/>
    </row>
    <row r="5410" spans="1:1">
      <c r="A5410" s="32"/>
    </row>
    <row r="5411" spans="1:1">
      <c r="A5411" s="32"/>
    </row>
    <row r="5412" spans="1:1">
      <c r="A5412" s="32"/>
    </row>
    <row r="5413" spans="1:1">
      <c r="A5413" s="32"/>
    </row>
    <row r="5414" spans="1:1">
      <c r="A5414" s="32"/>
    </row>
    <row r="5415" spans="1:1">
      <c r="A5415" s="32"/>
    </row>
    <row r="5416" spans="1:1">
      <c r="A5416" s="32"/>
    </row>
    <row r="5417" spans="1:1">
      <c r="A5417" s="32"/>
    </row>
    <row r="5418" spans="1:1">
      <c r="A5418" s="32"/>
    </row>
    <row r="5419" spans="1:1">
      <c r="A5419" s="32"/>
    </row>
    <row r="5420" spans="1:1">
      <c r="A5420" s="32"/>
    </row>
    <row r="5421" spans="1:1">
      <c r="A5421" s="32"/>
    </row>
    <row r="5422" spans="1:1">
      <c r="A5422" s="32"/>
    </row>
    <row r="5423" spans="1:1">
      <c r="A5423" s="32"/>
    </row>
    <row r="5424" spans="1:1">
      <c r="A5424" s="32"/>
    </row>
    <row r="5425" spans="1:1">
      <c r="A5425" s="32"/>
    </row>
    <row r="5426" spans="1:1">
      <c r="A5426" s="32"/>
    </row>
    <row r="5427" spans="1:1">
      <c r="A5427" s="32"/>
    </row>
    <row r="5428" spans="1:1">
      <c r="A5428" s="32"/>
    </row>
    <row r="5429" spans="1:1">
      <c r="A5429" s="32"/>
    </row>
    <row r="5430" spans="1:1">
      <c r="A5430" s="32"/>
    </row>
    <row r="5431" spans="1:1">
      <c r="A5431" s="32"/>
    </row>
    <row r="5432" spans="1:1">
      <c r="A5432" s="32"/>
    </row>
    <row r="5433" spans="1:1">
      <c r="A5433" s="32"/>
    </row>
    <row r="5434" spans="1:1">
      <c r="A5434" s="32"/>
    </row>
    <row r="5435" spans="1:1">
      <c r="A5435" s="32"/>
    </row>
    <row r="5436" spans="1:1">
      <c r="A5436" s="32"/>
    </row>
    <row r="5437" spans="1:1">
      <c r="A5437" s="32"/>
    </row>
    <row r="5438" spans="1:1">
      <c r="A5438" s="32"/>
    </row>
    <row r="5439" spans="1:1">
      <c r="A5439" s="32"/>
    </row>
    <row r="5440" spans="1:1">
      <c r="A5440" s="32"/>
    </row>
    <row r="5441" spans="1:1">
      <c r="A5441" s="32"/>
    </row>
    <row r="5442" spans="1:1">
      <c r="A5442" s="32"/>
    </row>
    <row r="5443" spans="1:1">
      <c r="A5443" s="32"/>
    </row>
    <row r="5444" spans="1:1">
      <c r="A5444" s="32"/>
    </row>
    <row r="5445" spans="1:1">
      <c r="A5445" s="32"/>
    </row>
    <row r="5446" spans="1:1">
      <c r="A5446" s="32"/>
    </row>
    <row r="5447" spans="1:1">
      <c r="A5447" s="32"/>
    </row>
    <row r="5448" spans="1:1">
      <c r="A5448" s="32"/>
    </row>
    <row r="5449" spans="1:1">
      <c r="A5449" s="32"/>
    </row>
    <row r="5450" spans="1:1">
      <c r="A5450" s="32"/>
    </row>
    <row r="5451" spans="1:1">
      <c r="A5451" s="32"/>
    </row>
    <row r="5452" spans="1:1">
      <c r="A5452" s="32"/>
    </row>
    <row r="5453" spans="1:1">
      <c r="A5453" s="32"/>
    </row>
    <row r="5454" spans="1:1">
      <c r="A5454" s="32"/>
    </row>
    <row r="5455" spans="1:1">
      <c r="A5455" s="32"/>
    </row>
    <row r="5456" spans="1:1">
      <c r="A5456" s="32"/>
    </row>
    <row r="5457" spans="1:1">
      <c r="A5457" s="32"/>
    </row>
    <row r="5458" spans="1:1">
      <c r="A5458" s="32"/>
    </row>
    <row r="5459" spans="1:1">
      <c r="A5459" s="32"/>
    </row>
    <row r="5460" spans="1:1">
      <c r="A5460" s="32"/>
    </row>
    <row r="5461" spans="1:1">
      <c r="A5461" s="32"/>
    </row>
    <row r="5462" spans="1:1">
      <c r="A5462" s="32"/>
    </row>
    <row r="5463" spans="1:1">
      <c r="A5463" s="32"/>
    </row>
    <row r="5464" spans="1:1">
      <c r="A5464" s="32"/>
    </row>
    <row r="5465" spans="1:1">
      <c r="A5465" s="32"/>
    </row>
    <row r="5466" spans="1:1">
      <c r="A5466" s="32"/>
    </row>
    <row r="5467" spans="1:1">
      <c r="A5467" s="32"/>
    </row>
    <row r="5468" spans="1:1">
      <c r="A5468" s="32"/>
    </row>
    <row r="5469" spans="1:1">
      <c r="A5469" s="32"/>
    </row>
    <row r="5470" spans="1:1">
      <c r="A5470" s="32"/>
    </row>
    <row r="5471" spans="1:1">
      <c r="A5471" s="32"/>
    </row>
    <row r="5472" spans="1:1">
      <c r="A5472" s="32"/>
    </row>
    <row r="5473" spans="1:1">
      <c r="A5473" s="32"/>
    </row>
    <row r="5474" spans="1:1">
      <c r="A5474" s="32"/>
    </row>
    <row r="5475" spans="1:1">
      <c r="A5475" s="32"/>
    </row>
    <row r="5476" spans="1:1">
      <c r="A5476" s="32"/>
    </row>
    <row r="5477" spans="1:1">
      <c r="A5477" s="32"/>
    </row>
    <row r="5478" spans="1:1">
      <c r="A5478" s="32"/>
    </row>
    <row r="5479" spans="1:1">
      <c r="A5479" s="32"/>
    </row>
    <row r="5480" spans="1:1">
      <c r="A5480" s="32"/>
    </row>
    <row r="5481" spans="1:1">
      <c r="A5481" s="32"/>
    </row>
    <row r="5482" spans="1:1">
      <c r="A5482" s="32"/>
    </row>
    <row r="5483" spans="1:1">
      <c r="A5483" s="32"/>
    </row>
    <row r="5484" spans="1:1">
      <c r="A5484" s="32"/>
    </row>
    <row r="5485" spans="1:1">
      <c r="A5485" s="32"/>
    </row>
    <row r="5486" spans="1:1">
      <c r="A5486" s="32"/>
    </row>
    <row r="5487" spans="1:1">
      <c r="A5487" s="32"/>
    </row>
    <row r="5488" spans="1:1">
      <c r="A5488" s="32"/>
    </row>
    <row r="5489" spans="1:1">
      <c r="A5489" s="32"/>
    </row>
    <row r="5490" spans="1:1">
      <c r="A5490" s="32"/>
    </row>
    <row r="5491" spans="1:1">
      <c r="A5491" s="32"/>
    </row>
    <row r="5492" spans="1:1">
      <c r="A5492" s="32"/>
    </row>
    <row r="5493" spans="1:1">
      <c r="A5493" s="32"/>
    </row>
    <row r="5494" spans="1:1">
      <c r="A5494" s="32"/>
    </row>
    <row r="5495" spans="1:1">
      <c r="A5495" s="32"/>
    </row>
    <row r="5496" spans="1:1">
      <c r="A5496" s="32"/>
    </row>
    <row r="5497" spans="1:1">
      <c r="A5497" s="32"/>
    </row>
    <row r="5498" spans="1:1">
      <c r="A5498" s="32"/>
    </row>
    <row r="5499" spans="1:1">
      <c r="A5499" s="32"/>
    </row>
    <row r="5500" spans="1:1">
      <c r="A5500" s="32"/>
    </row>
    <row r="5501" spans="1:1">
      <c r="A5501" s="32"/>
    </row>
    <row r="5502" spans="1:1">
      <c r="A5502" s="32"/>
    </row>
    <row r="5503" spans="1:1">
      <c r="A5503" s="32"/>
    </row>
    <row r="5504" spans="1:1">
      <c r="A5504" s="32"/>
    </row>
    <row r="5505" spans="1:1">
      <c r="A5505" s="32"/>
    </row>
    <row r="5506" spans="1:1">
      <c r="A5506" s="32"/>
    </row>
    <row r="5507" spans="1:1">
      <c r="A5507" s="32"/>
    </row>
    <row r="5508" spans="1:1">
      <c r="A5508" s="32"/>
    </row>
    <row r="5509" spans="1:1">
      <c r="A5509" s="32"/>
    </row>
    <row r="5510" spans="1:1">
      <c r="A5510" s="32"/>
    </row>
    <row r="5511" spans="1:1">
      <c r="A5511" s="32"/>
    </row>
    <row r="5512" spans="1:1">
      <c r="A5512" s="32"/>
    </row>
    <row r="5513" spans="1:1">
      <c r="A5513" s="32"/>
    </row>
    <row r="5514" spans="1:1">
      <c r="A5514" s="32"/>
    </row>
    <row r="5515" spans="1:1">
      <c r="A5515" s="32"/>
    </row>
    <row r="5516" spans="1:1">
      <c r="A5516" s="32"/>
    </row>
    <row r="5517" spans="1:1">
      <c r="A5517" s="32"/>
    </row>
    <row r="5518" spans="1:1">
      <c r="A5518" s="32"/>
    </row>
    <row r="5519" spans="1:1">
      <c r="A5519" s="32"/>
    </row>
    <row r="5520" spans="1:1">
      <c r="A5520" s="32"/>
    </row>
    <row r="5521" spans="1:1">
      <c r="A5521" s="32"/>
    </row>
    <row r="5522" spans="1:1">
      <c r="A5522" s="32"/>
    </row>
    <row r="5523" spans="1:1">
      <c r="A5523" s="32"/>
    </row>
    <row r="5524" spans="1:1">
      <c r="A5524" s="32"/>
    </row>
    <row r="5525" spans="1:1">
      <c r="A5525" s="32"/>
    </row>
    <row r="5526" spans="1:1">
      <c r="A5526" s="32"/>
    </row>
    <row r="5527" spans="1:1">
      <c r="A5527" s="32"/>
    </row>
    <row r="5528" spans="1:1">
      <c r="A5528" s="32"/>
    </row>
    <row r="5529" spans="1:1">
      <c r="A5529" s="32"/>
    </row>
    <row r="5530" spans="1:1">
      <c r="A5530" s="32"/>
    </row>
    <row r="5531" spans="1:1">
      <c r="A5531" s="32"/>
    </row>
    <row r="5532" spans="1:1">
      <c r="A5532" s="32"/>
    </row>
    <row r="5533" spans="1:1">
      <c r="A5533" s="32"/>
    </row>
    <row r="5534" spans="1:1">
      <c r="A5534" s="32"/>
    </row>
    <row r="5535" spans="1:1">
      <c r="A5535" s="32"/>
    </row>
    <row r="5536" spans="1:1">
      <c r="A5536" s="32"/>
    </row>
    <row r="5537" spans="1:1">
      <c r="A5537" s="32"/>
    </row>
    <row r="5538" spans="1:1">
      <c r="A5538" s="32"/>
    </row>
    <row r="5539" spans="1:1">
      <c r="A5539" s="32"/>
    </row>
    <row r="5540" spans="1:1">
      <c r="A5540" s="32"/>
    </row>
    <row r="5541" spans="1:1">
      <c r="A5541" s="32"/>
    </row>
    <row r="5542" spans="1:1">
      <c r="A5542" s="32"/>
    </row>
    <row r="5543" spans="1:1">
      <c r="A5543" s="32"/>
    </row>
    <row r="5544" spans="1:1">
      <c r="A5544" s="32"/>
    </row>
    <row r="5545" spans="1:1">
      <c r="A5545" s="32"/>
    </row>
    <row r="5546" spans="1:1">
      <c r="A5546" s="32"/>
    </row>
    <row r="5547" spans="1:1">
      <c r="A5547" s="32"/>
    </row>
    <row r="5548" spans="1:1">
      <c r="A5548" s="32"/>
    </row>
    <row r="5549" spans="1:1">
      <c r="A5549" s="32"/>
    </row>
    <row r="5550" spans="1:1">
      <c r="A5550" s="32"/>
    </row>
    <row r="5551" spans="1:1">
      <c r="A5551" s="32"/>
    </row>
    <row r="5552" spans="1:1">
      <c r="A5552" s="32"/>
    </row>
    <row r="5553" spans="1:1">
      <c r="A5553" s="32"/>
    </row>
    <row r="5554" spans="1:1">
      <c r="A5554" s="32"/>
    </row>
    <row r="5555" spans="1:1">
      <c r="A5555" s="32"/>
    </row>
    <row r="5556" spans="1:1">
      <c r="A5556" s="32"/>
    </row>
    <row r="5557" spans="1:1">
      <c r="A5557" s="32"/>
    </row>
    <row r="5558" spans="1:1">
      <c r="A5558" s="32"/>
    </row>
    <row r="5559" spans="1:1">
      <c r="A5559" s="32"/>
    </row>
    <row r="5560" spans="1:1">
      <c r="A5560" s="32"/>
    </row>
    <row r="5561" spans="1:1">
      <c r="A5561" s="32"/>
    </row>
    <row r="5562" spans="1:1">
      <c r="A5562" s="32"/>
    </row>
    <row r="5563" spans="1:1">
      <c r="A5563" s="32"/>
    </row>
    <row r="5564" spans="1:1">
      <c r="A5564" s="32"/>
    </row>
    <row r="5565" spans="1:1">
      <c r="A5565" s="32"/>
    </row>
    <row r="5566" spans="1:1">
      <c r="A5566" s="32"/>
    </row>
    <row r="5567" spans="1:1">
      <c r="A5567" s="32"/>
    </row>
    <row r="5568" spans="1:1">
      <c r="A5568" s="32"/>
    </row>
    <row r="5569" spans="1:1">
      <c r="A5569" s="32"/>
    </row>
    <row r="5570" spans="1:1">
      <c r="A5570" s="32"/>
    </row>
    <row r="5571" spans="1:1">
      <c r="A5571" s="32"/>
    </row>
    <row r="5572" spans="1:1">
      <c r="A5572" s="32"/>
    </row>
    <row r="5573" spans="1:1">
      <c r="A5573" s="32"/>
    </row>
    <row r="5574" spans="1:1">
      <c r="A5574" s="32"/>
    </row>
    <row r="5575" spans="1:1">
      <c r="A5575" s="32"/>
    </row>
    <row r="5576" spans="1:1">
      <c r="A5576" s="32"/>
    </row>
    <row r="5577" spans="1:1">
      <c r="A5577" s="32"/>
    </row>
    <row r="5578" spans="1:1">
      <c r="A5578" s="32"/>
    </row>
    <row r="5579" spans="1:1">
      <c r="A5579" s="32"/>
    </row>
    <row r="5580" spans="1:1">
      <c r="A5580" s="32"/>
    </row>
    <row r="5581" spans="1:1">
      <c r="A5581" s="32"/>
    </row>
    <row r="5582" spans="1:1">
      <c r="A5582" s="32"/>
    </row>
    <row r="5583" spans="1:1">
      <c r="A5583" s="32"/>
    </row>
    <row r="5584" spans="1:1">
      <c r="A5584" s="32"/>
    </row>
    <row r="5585" spans="1:1">
      <c r="A5585" s="32"/>
    </row>
    <row r="5586" spans="1:1">
      <c r="A5586" s="32"/>
    </row>
    <row r="5587" spans="1:1">
      <c r="A5587" s="32"/>
    </row>
    <row r="5588" spans="1:1">
      <c r="A5588" s="32"/>
    </row>
    <row r="5589" spans="1:1">
      <c r="A5589" s="32"/>
    </row>
    <row r="5590" spans="1:1">
      <c r="A5590" s="32"/>
    </row>
    <row r="5591" spans="1:1">
      <c r="A5591" s="32"/>
    </row>
    <row r="5592" spans="1:1">
      <c r="A5592" s="32"/>
    </row>
    <row r="5593" spans="1:1">
      <c r="A5593" s="32"/>
    </row>
    <row r="5594" spans="1:1">
      <c r="A5594" s="32"/>
    </row>
    <row r="5595" spans="1:1">
      <c r="A5595" s="32"/>
    </row>
    <row r="5596" spans="1:1">
      <c r="A5596" s="32"/>
    </row>
    <row r="5597" spans="1:1">
      <c r="A5597" s="32"/>
    </row>
    <row r="5598" spans="1:1">
      <c r="A5598" s="32"/>
    </row>
    <row r="5599" spans="1:1">
      <c r="A5599" s="32"/>
    </row>
    <row r="5600" spans="1:1">
      <c r="A5600" s="32"/>
    </row>
    <row r="5601" spans="1:1">
      <c r="A5601" s="32"/>
    </row>
    <row r="5602" spans="1:1">
      <c r="A5602" s="32"/>
    </row>
    <row r="5603" spans="1:1">
      <c r="A5603" s="32"/>
    </row>
    <row r="5604" spans="1:1">
      <c r="A5604" s="32"/>
    </row>
    <row r="5605" spans="1:1">
      <c r="A5605" s="32"/>
    </row>
    <row r="5606" spans="1:1">
      <c r="A5606" s="32"/>
    </row>
    <row r="5607" spans="1:1">
      <c r="A5607" s="32"/>
    </row>
    <row r="5608" spans="1:1">
      <c r="A5608" s="32"/>
    </row>
    <row r="5609" spans="1:1">
      <c r="A5609" s="32"/>
    </row>
    <row r="5610" spans="1:1">
      <c r="A5610" s="32"/>
    </row>
    <row r="5611" spans="1:1">
      <c r="A5611" s="32"/>
    </row>
    <row r="5612" spans="1:1">
      <c r="A5612" s="32"/>
    </row>
    <row r="5613" spans="1:1">
      <c r="A5613" s="32"/>
    </row>
    <row r="5614" spans="1:1">
      <c r="A5614" s="32"/>
    </row>
    <row r="5615" spans="1:1">
      <c r="A5615" s="32"/>
    </row>
    <row r="5616" spans="1:1">
      <c r="A5616" s="32"/>
    </row>
    <row r="5617" spans="1:1">
      <c r="A5617" s="32"/>
    </row>
    <row r="5618" spans="1:1">
      <c r="A5618" s="32"/>
    </row>
    <row r="5619" spans="1:1">
      <c r="A5619" s="32"/>
    </row>
    <row r="5620" spans="1:1">
      <c r="A5620" s="32"/>
    </row>
    <row r="5621" spans="1:1">
      <c r="A5621" s="32"/>
    </row>
    <row r="5622" spans="1:1">
      <c r="A5622" s="32"/>
    </row>
    <row r="5623" spans="1:1">
      <c r="A5623" s="32"/>
    </row>
    <row r="5624" spans="1:1">
      <c r="A5624" s="32"/>
    </row>
    <row r="5625" spans="1:1">
      <c r="A5625" s="32"/>
    </row>
    <row r="5626" spans="1:1">
      <c r="A5626" s="32"/>
    </row>
    <row r="5627" spans="1:1">
      <c r="A5627" s="32"/>
    </row>
    <row r="5628" spans="1:1">
      <c r="A5628" s="32"/>
    </row>
    <row r="5629" spans="1:1">
      <c r="A5629" s="32"/>
    </row>
    <row r="5630" spans="1:1">
      <c r="A5630" s="32"/>
    </row>
    <row r="5631" spans="1:1">
      <c r="A5631" s="32"/>
    </row>
    <row r="5632" spans="1:1">
      <c r="A5632" s="32"/>
    </row>
    <row r="5633" spans="1:1">
      <c r="A5633" s="32"/>
    </row>
    <row r="5634" spans="1:1">
      <c r="A5634" s="32"/>
    </row>
    <row r="5635" spans="1:1">
      <c r="A5635" s="32"/>
    </row>
    <row r="5636" spans="1:1">
      <c r="A5636" s="32"/>
    </row>
    <row r="5637" spans="1:1">
      <c r="A5637" s="32"/>
    </row>
    <row r="5638" spans="1:1">
      <c r="A5638" s="32"/>
    </row>
    <row r="5639" spans="1:1">
      <c r="A5639" s="32"/>
    </row>
    <row r="5640" spans="1:1">
      <c r="A5640" s="32"/>
    </row>
    <row r="5641" spans="1:1">
      <c r="A5641" s="32"/>
    </row>
    <row r="5642" spans="1:1">
      <c r="A5642" s="32"/>
    </row>
    <row r="5643" spans="1:1">
      <c r="A5643" s="32"/>
    </row>
    <row r="5644" spans="1:1">
      <c r="A5644" s="32"/>
    </row>
    <row r="5645" spans="1:1">
      <c r="A5645" s="32"/>
    </row>
    <row r="5646" spans="1:1">
      <c r="A5646" s="32"/>
    </row>
    <row r="5647" spans="1:1">
      <c r="A5647" s="32"/>
    </row>
    <row r="5648" spans="1:1">
      <c r="A5648" s="32"/>
    </row>
    <row r="5649" spans="1:1">
      <c r="A5649" s="32"/>
    </row>
    <row r="5650" spans="1:1">
      <c r="A5650" s="32"/>
    </row>
    <row r="5651" spans="1:1">
      <c r="A5651" s="32"/>
    </row>
    <row r="5652" spans="1:1">
      <c r="A5652" s="32"/>
    </row>
    <row r="5653" spans="1:1">
      <c r="A5653" s="32"/>
    </row>
    <row r="5654" spans="1:1">
      <c r="A5654" s="32"/>
    </row>
    <row r="5655" spans="1:1">
      <c r="A5655" s="32"/>
    </row>
    <row r="5656" spans="1:1">
      <c r="A5656" s="32"/>
    </row>
    <row r="5657" spans="1:1">
      <c r="A5657" s="32"/>
    </row>
    <row r="5658" spans="1:1">
      <c r="A5658" s="32"/>
    </row>
    <row r="5659" spans="1:1">
      <c r="A5659" s="32"/>
    </row>
    <row r="5660" spans="1:1">
      <c r="A5660" s="32"/>
    </row>
    <row r="5661" spans="1:1">
      <c r="A5661" s="32"/>
    </row>
    <row r="5662" spans="1:1">
      <c r="A5662" s="32"/>
    </row>
    <row r="5663" spans="1:1">
      <c r="A5663" s="32"/>
    </row>
    <row r="5664" spans="1:1">
      <c r="A5664" s="32"/>
    </row>
    <row r="5665" spans="1:1">
      <c r="A5665" s="32"/>
    </row>
    <row r="5666" spans="1:1">
      <c r="A5666" s="32"/>
    </row>
    <row r="5667" spans="1:1">
      <c r="A5667" s="32"/>
    </row>
    <row r="5668" spans="1:1">
      <c r="A5668" s="32"/>
    </row>
    <row r="5669" spans="1:1">
      <c r="A5669" s="32"/>
    </row>
    <row r="5670" spans="1:1">
      <c r="A5670" s="32"/>
    </row>
    <row r="5671" spans="1:1">
      <c r="A5671" s="32"/>
    </row>
    <row r="5672" spans="1:1">
      <c r="A5672" s="32"/>
    </row>
    <row r="5673" spans="1:1">
      <c r="A5673" s="32"/>
    </row>
    <row r="5674" spans="1:1">
      <c r="A5674" s="32"/>
    </row>
    <row r="5675" spans="1:1">
      <c r="A5675" s="32"/>
    </row>
    <row r="5676" spans="1:1">
      <c r="A5676" s="32"/>
    </row>
    <row r="5677" spans="1:1">
      <c r="A5677" s="32"/>
    </row>
    <row r="5678" spans="1:1">
      <c r="A5678" s="32"/>
    </row>
    <row r="5679" spans="1:1">
      <c r="A5679" s="32"/>
    </row>
    <row r="5680" spans="1:1">
      <c r="A5680" s="32"/>
    </row>
    <row r="5681" spans="1:1">
      <c r="A5681" s="32"/>
    </row>
    <row r="5682" spans="1:1">
      <c r="A5682" s="32"/>
    </row>
    <row r="5683" spans="1:1">
      <c r="A5683" s="32"/>
    </row>
    <row r="5684" spans="1:1">
      <c r="A5684" s="32"/>
    </row>
    <row r="5685" spans="1:1">
      <c r="A5685" s="32"/>
    </row>
    <row r="5686" spans="1:1">
      <c r="A5686" s="32"/>
    </row>
    <row r="5687" spans="1:1">
      <c r="A5687" s="32"/>
    </row>
    <row r="5688" spans="1:1">
      <c r="A5688" s="32"/>
    </row>
    <row r="5689" spans="1:1">
      <c r="A5689" s="32"/>
    </row>
    <row r="5690" spans="1:1">
      <c r="A5690" s="32"/>
    </row>
    <row r="5691" spans="1:1">
      <c r="A5691" s="32"/>
    </row>
    <row r="5692" spans="1:1">
      <c r="A5692" s="32"/>
    </row>
    <row r="5693" spans="1:1">
      <c r="A5693" s="32"/>
    </row>
    <row r="5694" spans="1:1">
      <c r="A5694" s="32"/>
    </row>
    <row r="5695" spans="1:1">
      <c r="A5695" s="32"/>
    </row>
    <row r="5696" spans="1:1">
      <c r="A5696" s="32"/>
    </row>
    <row r="5697" spans="1:1">
      <c r="A5697" s="32"/>
    </row>
    <row r="5698" spans="1:1">
      <c r="A5698" s="32"/>
    </row>
    <row r="5699" spans="1:1">
      <c r="A5699" s="32"/>
    </row>
    <row r="5700" spans="1:1">
      <c r="A5700" s="32"/>
    </row>
    <row r="5701" spans="1:1">
      <c r="A5701" s="32"/>
    </row>
    <row r="5702" spans="1:1">
      <c r="A5702" s="32"/>
    </row>
    <row r="5703" spans="1:1">
      <c r="A5703" s="32"/>
    </row>
    <row r="5704" spans="1:1">
      <c r="A5704" s="32"/>
    </row>
    <row r="5705" spans="1:1">
      <c r="A5705" s="32"/>
    </row>
    <row r="5706" spans="1:1">
      <c r="A5706" s="32"/>
    </row>
    <row r="5707" spans="1:1">
      <c r="A5707" s="32"/>
    </row>
    <row r="5708" spans="1:1">
      <c r="A5708" s="32"/>
    </row>
    <row r="5709" spans="1:1">
      <c r="A5709" s="32"/>
    </row>
    <row r="5710" spans="1:1">
      <c r="A5710" s="32"/>
    </row>
    <row r="5711" spans="1:1">
      <c r="A5711" s="32"/>
    </row>
    <row r="5712" spans="1:1">
      <c r="A5712" s="32"/>
    </row>
    <row r="5713" spans="1:1">
      <c r="A5713" s="32"/>
    </row>
    <row r="5714" spans="1:1">
      <c r="A5714" s="32"/>
    </row>
    <row r="5715" spans="1:1">
      <c r="A5715" s="32"/>
    </row>
    <row r="5716" spans="1:1">
      <c r="A5716" s="32"/>
    </row>
    <row r="5717" spans="1:1">
      <c r="A5717" s="32"/>
    </row>
    <row r="5718" spans="1:1">
      <c r="A5718" s="32"/>
    </row>
    <row r="5719" spans="1:1">
      <c r="A5719" s="32"/>
    </row>
    <row r="5720" spans="1:1">
      <c r="A5720" s="32"/>
    </row>
    <row r="5721" spans="1:1">
      <c r="A5721" s="32"/>
    </row>
    <row r="5722" spans="1:1">
      <c r="A5722" s="32"/>
    </row>
    <row r="5723" spans="1:1">
      <c r="A5723" s="32"/>
    </row>
    <row r="5724" spans="1:1">
      <c r="A5724" s="32"/>
    </row>
    <row r="5725" spans="1:1">
      <c r="A5725" s="32"/>
    </row>
    <row r="5726" spans="1:1">
      <c r="A5726" s="32"/>
    </row>
    <row r="5727" spans="1:1">
      <c r="A5727" s="32"/>
    </row>
    <row r="5728" spans="1:1">
      <c r="A5728" s="32"/>
    </row>
    <row r="5729" spans="1:1">
      <c r="A5729" s="32"/>
    </row>
    <row r="5730" spans="1:1">
      <c r="A5730" s="32"/>
    </row>
    <row r="5731" spans="1:1">
      <c r="A5731" s="32"/>
    </row>
    <row r="5732" spans="1:1">
      <c r="A5732" s="32"/>
    </row>
    <row r="5733" spans="1:1">
      <c r="A5733" s="32"/>
    </row>
    <row r="5734" spans="1:1">
      <c r="A5734" s="32"/>
    </row>
    <row r="5735" spans="1:1">
      <c r="A5735" s="32"/>
    </row>
    <row r="5736" spans="1:1">
      <c r="A5736" s="32"/>
    </row>
    <row r="5737" spans="1:1">
      <c r="A5737" s="32"/>
    </row>
    <row r="5738" spans="1:1">
      <c r="A5738" s="32"/>
    </row>
    <row r="5739" spans="1:1">
      <c r="A5739" s="32"/>
    </row>
    <row r="5740" spans="1:1">
      <c r="A5740" s="32"/>
    </row>
    <row r="5741" spans="1:1">
      <c r="A5741" s="32"/>
    </row>
    <row r="5742" spans="1:1">
      <c r="A5742" s="32"/>
    </row>
    <row r="5743" spans="1:1">
      <c r="A5743" s="32"/>
    </row>
    <row r="5744" spans="1:1">
      <c r="A5744" s="32"/>
    </row>
    <row r="5745" spans="1:1">
      <c r="A5745" s="32"/>
    </row>
    <row r="5746" spans="1:1">
      <c r="A5746" s="32"/>
    </row>
    <row r="5747" spans="1:1">
      <c r="A5747" s="32"/>
    </row>
    <row r="5748" spans="1:1">
      <c r="A5748" s="32"/>
    </row>
    <row r="5749" spans="1:1">
      <c r="A5749" s="32"/>
    </row>
    <row r="5750" spans="1:1">
      <c r="A5750" s="32"/>
    </row>
    <row r="5751" spans="1:1">
      <c r="A5751" s="32"/>
    </row>
    <row r="5752" spans="1:1">
      <c r="A5752" s="32"/>
    </row>
    <row r="5753" spans="1:1">
      <c r="A5753" s="32"/>
    </row>
    <row r="5754" spans="1:1">
      <c r="A5754" s="32"/>
    </row>
    <row r="5755" spans="1:1">
      <c r="A5755" s="32"/>
    </row>
    <row r="5756" spans="1:1">
      <c r="A5756" s="32"/>
    </row>
    <row r="5757" spans="1:1">
      <c r="A5757" s="32"/>
    </row>
    <row r="5758" spans="1:1">
      <c r="A5758" s="32"/>
    </row>
    <row r="5759" spans="1:1">
      <c r="A5759" s="32"/>
    </row>
    <row r="5760" spans="1:1">
      <c r="A5760" s="32"/>
    </row>
    <row r="5761" spans="1:1">
      <c r="A5761" s="32"/>
    </row>
    <row r="5762" spans="1:1">
      <c r="A5762" s="32"/>
    </row>
    <row r="5763" spans="1:1">
      <c r="A5763" s="32"/>
    </row>
    <row r="5764" spans="1:1">
      <c r="A5764" s="32"/>
    </row>
    <row r="5765" spans="1:1">
      <c r="A5765" s="32"/>
    </row>
    <row r="5766" spans="1:1">
      <c r="A5766" s="32"/>
    </row>
    <row r="5767" spans="1:1">
      <c r="A5767" s="32"/>
    </row>
    <row r="5768" spans="1:1">
      <c r="A5768" s="32"/>
    </row>
    <row r="5769" spans="1:1">
      <c r="A5769" s="32"/>
    </row>
    <row r="5770" spans="1:1">
      <c r="A5770" s="32"/>
    </row>
    <row r="5771" spans="1:1">
      <c r="A5771" s="32"/>
    </row>
    <row r="5772" spans="1:1">
      <c r="A5772" s="32"/>
    </row>
    <row r="5773" spans="1:1">
      <c r="A5773" s="32"/>
    </row>
    <row r="5774" spans="1:1">
      <c r="A5774" s="32"/>
    </row>
    <row r="5775" spans="1:1">
      <c r="A5775" s="32"/>
    </row>
    <row r="5776" spans="1:1">
      <c r="A5776" s="32"/>
    </row>
    <row r="5777" spans="1:1">
      <c r="A5777" s="32"/>
    </row>
    <row r="5778" spans="1:1">
      <c r="A5778" s="32"/>
    </row>
    <row r="5779" spans="1:1">
      <c r="A5779" s="32"/>
    </row>
    <row r="5780" spans="1:1">
      <c r="A5780" s="32"/>
    </row>
    <row r="5781" spans="1:1">
      <c r="A5781" s="32"/>
    </row>
    <row r="5782" spans="1:1">
      <c r="A5782" s="32"/>
    </row>
    <row r="5783" spans="1:1">
      <c r="A5783" s="32"/>
    </row>
    <row r="5784" spans="1:1">
      <c r="A5784" s="32"/>
    </row>
    <row r="5785" spans="1:1">
      <c r="A5785" s="32"/>
    </row>
    <row r="5786" spans="1:1">
      <c r="A5786" s="32"/>
    </row>
    <row r="5787" spans="1:1">
      <c r="A5787" s="32"/>
    </row>
    <row r="5788" spans="1:1">
      <c r="A5788" s="32"/>
    </row>
    <row r="5789" spans="1:1">
      <c r="A5789" s="32"/>
    </row>
    <row r="5790" spans="1:1">
      <c r="A5790" s="32"/>
    </row>
    <row r="5791" spans="1:1">
      <c r="A5791" s="32"/>
    </row>
    <row r="5792" spans="1:1">
      <c r="A5792" s="32"/>
    </row>
    <row r="5793" spans="1:1">
      <c r="A5793" s="32"/>
    </row>
    <row r="5794" spans="1:1">
      <c r="A5794" s="32"/>
    </row>
    <row r="5795" spans="1:1">
      <c r="A5795" s="32"/>
    </row>
    <row r="5796" spans="1:1">
      <c r="A5796" s="32"/>
    </row>
    <row r="5797" spans="1:1">
      <c r="A5797" s="32"/>
    </row>
    <row r="5798" spans="1:1">
      <c r="A5798" s="32"/>
    </row>
    <row r="5799" spans="1:1">
      <c r="A5799" s="32"/>
    </row>
    <row r="5800" spans="1:1">
      <c r="A5800" s="32"/>
    </row>
    <row r="5801" spans="1:1">
      <c r="A5801" s="32"/>
    </row>
    <row r="5802" spans="1:1">
      <c r="A5802" s="32"/>
    </row>
    <row r="5803" spans="1:1">
      <c r="A5803" s="32"/>
    </row>
    <row r="5804" spans="1:1">
      <c r="A5804" s="32"/>
    </row>
    <row r="5805" spans="1:1">
      <c r="A5805" s="32"/>
    </row>
    <row r="5806" spans="1:1">
      <c r="A5806" s="32"/>
    </row>
    <row r="5807" spans="1:1">
      <c r="A5807" s="32"/>
    </row>
    <row r="5808" spans="1:1">
      <c r="A5808" s="32"/>
    </row>
    <row r="5809" spans="1:1">
      <c r="A5809" s="32"/>
    </row>
    <row r="5810" spans="1:1">
      <c r="A5810" s="32"/>
    </row>
    <row r="5811" spans="1:1">
      <c r="A5811" s="32"/>
    </row>
    <row r="5812" spans="1:1">
      <c r="A5812" s="32"/>
    </row>
    <row r="5813" spans="1:1">
      <c r="A5813" s="32"/>
    </row>
    <row r="5814" spans="1:1">
      <c r="A5814" s="32"/>
    </row>
    <row r="5815" spans="1:1">
      <c r="A5815" s="32"/>
    </row>
    <row r="5816" spans="1:1">
      <c r="A5816" s="32"/>
    </row>
    <row r="5817" spans="1:1">
      <c r="A5817" s="32"/>
    </row>
    <row r="5818" spans="1:1">
      <c r="A5818" s="32"/>
    </row>
    <row r="5819" spans="1:1">
      <c r="A5819" s="32"/>
    </row>
    <row r="5820" spans="1:1">
      <c r="A5820" s="32"/>
    </row>
    <row r="5821" spans="1:1">
      <c r="A5821" s="32"/>
    </row>
    <row r="5822" spans="1:1">
      <c r="A5822" s="32"/>
    </row>
    <row r="5823" spans="1:1">
      <c r="A5823" s="32"/>
    </row>
    <row r="5824" spans="1:1">
      <c r="A5824" s="32"/>
    </row>
    <row r="5825" spans="1:1">
      <c r="A5825" s="32"/>
    </row>
    <row r="5826" spans="1:1">
      <c r="A5826" s="32"/>
    </row>
    <row r="5827" spans="1:1">
      <c r="A5827" s="32"/>
    </row>
    <row r="5828" spans="1:1">
      <c r="A5828" s="32"/>
    </row>
    <row r="5829" spans="1:1">
      <c r="A5829" s="32"/>
    </row>
    <row r="5830" spans="1:1">
      <c r="A5830" s="32"/>
    </row>
    <row r="5831" spans="1:1">
      <c r="A5831" s="32"/>
    </row>
    <row r="5832" spans="1:1">
      <c r="A5832" s="32"/>
    </row>
    <row r="5833" spans="1:1">
      <c r="A5833" s="32"/>
    </row>
    <row r="5834" spans="1:1">
      <c r="A5834" s="32"/>
    </row>
    <row r="5835" spans="1:1">
      <c r="A5835" s="32"/>
    </row>
    <row r="5836" spans="1:1">
      <c r="A5836" s="32"/>
    </row>
    <row r="5837" spans="1:1">
      <c r="A5837" s="32"/>
    </row>
    <row r="5838" spans="1:1">
      <c r="A5838" s="32"/>
    </row>
    <row r="5839" spans="1:1">
      <c r="A5839" s="32"/>
    </row>
    <row r="5840" spans="1:1">
      <c r="A5840" s="32"/>
    </row>
    <row r="5841" spans="1:1">
      <c r="A5841" s="32"/>
    </row>
    <row r="5842" spans="1:1">
      <c r="A5842" s="32"/>
    </row>
    <row r="5843" spans="1:1">
      <c r="A5843" s="32"/>
    </row>
    <row r="5844" spans="1:1">
      <c r="A5844" s="32"/>
    </row>
    <row r="5845" spans="1:1">
      <c r="A5845" s="32"/>
    </row>
    <row r="5846" spans="1:1">
      <c r="A5846" s="32"/>
    </row>
    <row r="5847" spans="1:1">
      <c r="A5847" s="32"/>
    </row>
    <row r="5848" spans="1:1">
      <c r="A5848" s="32"/>
    </row>
    <row r="5849" spans="1:1">
      <c r="A5849" s="32"/>
    </row>
    <row r="5850" spans="1:1">
      <c r="A5850" s="32"/>
    </row>
    <row r="5851" spans="1:1">
      <c r="A5851" s="32"/>
    </row>
    <row r="5852" spans="1:1">
      <c r="A5852" s="32"/>
    </row>
    <row r="5853" spans="1:1">
      <c r="A5853" s="32"/>
    </row>
    <row r="5854" spans="1:1">
      <c r="A5854" s="32"/>
    </row>
    <row r="5855" spans="1:1">
      <c r="A5855" s="32"/>
    </row>
    <row r="5856" spans="1:1">
      <c r="A5856" s="32"/>
    </row>
    <row r="5857" spans="1:1">
      <c r="A5857" s="32"/>
    </row>
    <row r="5858" spans="1:1">
      <c r="A5858" s="32"/>
    </row>
    <row r="5859" spans="1:1">
      <c r="A5859" s="32"/>
    </row>
    <row r="5860" spans="1:1">
      <c r="A5860" s="32"/>
    </row>
    <row r="5861" spans="1:1">
      <c r="A5861" s="32"/>
    </row>
    <row r="5862" spans="1:1">
      <c r="A5862" s="32"/>
    </row>
    <row r="5863" spans="1:1">
      <c r="A5863" s="32"/>
    </row>
    <row r="5864" spans="1:1">
      <c r="A5864" s="32"/>
    </row>
    <row r="5865" spans="1:1">
      <c r="A5865" s="32"/>
    </row>
    <row r="5866" spans="1:1">
      <c r="A5866" s="32"/>
    </row>
    <row r="5867" spans="1:1">
      <c r="A5867" s="32"/>
    </row>
    <row r="5868" spans="1:1">
      <c r="A5868" s="32"/>
    </row>
    <row r="5869" spans="1:1">
      <c r="A5869" s="32"/>
    </row>
    <row r="5870" spans="1:1">
      <c r="A5870" s="32"/>
    </row>
    <row r="5871" spans="1:1">
      <c r="A5871" s="32"/>
    </row>
    <row r="5872" spans="1:1">
      <c r="A5872" s="32"/>
    </row>
    <row r="5873" spans="1:1">
      <c r="A5873" s="32"/>
    </row>
    <row r="5874" spans="1:1">
      <c r="A5874" s="32"/>
    </row>
    <row r="5875" spans="1:1">
      <c r="A5875" s="32"/>
    </row>
    <row r="5876" spans="1:1">
      <c r="A5876" s="32"/>
    </row>
    <row r="5877" spans="1:1">
      <c r="A5877" s="32"/>
    </row>
    <row r="5878" spans="1:1">
      <c r="A5878" s="32"/>
    </row>
    <row r="5879" spans="1:1">
      <c r="A5879" s="32"/>
    </row>
    <row r="5880" spans="1:1">
      <c r="A5880" s="32"/>
    </row>
    <row r="5881" spans="1:1">
      <c r="A5881" s="32"/>
    </row>
    <row r="5882" spans="1:1">
      <c r="A5882" s="32"/>
    </row>
    <row r="5883" spans="1:1">
      <c r="A5883" s="32"/>
    </row>
    <row r="5884" spans="1:1">
      <c r="A5884" s="32"/>
    </row>
    <row r="5885" spans="1:1">
      <c r="A5885" s="32"/>
    </row>
    <row r="5886" spans="1:1">
      <c r="A5886" s="32"/>
    </row>
    <row r="5887" spans="1:1">
      <c r="A5887" s="32"/>
    </row>
    <row r="5888" spans="1:1">
      <c r="A5888" s="32"/>
    </row>
    <row r="5889" spans="1:1">
      <c r="A5889" s="32"/>
    </row>
    <row r="5890" spans="1:1">
      <c r="A5890" s="32"/>
    </row>
    <row r="5891" spans="1:1">
      <c r="A5891" s="32"/>
    </row>
    <row r="5892" spans="1:1">
      <c r="A5892" s="32"/>
    </row>
    <row r="5893" spans="1:1">
      <c r="A5893" s="32"/>
    </row>
    <row r="5894" spans="1:1">
      <c r="A5894" s="32"/>
    </row>
    <row r="5895" spans="1:1">
      <c r="A5895" s="32"/>
    </row>
    <row r="5896" spans="1:1">
      <c r="A5896" s="32"/>
    </row>
    <row r="5897" spans="1:1">
      <c r="A5897" s="32"/>
    </row>
    <row r="5898" spans="1:1">
      <c r="A5898" s="32"/>
    </row>
    <row r="5899" spans="1:1">
      <c r="A5899" s="32"/>
    </row>
    <row r="5900" spans="1:1">
      <c r="A5900" s="32"/>
    </row>
    <row r="5901" spans="1:1">
      <c r="A5901" s="32"/>
    </row>
    <row r="5902" spans="1:1">
      <c r="A5902" s="32"/>
    </row>
    <row r="5903" spans="1:1">
      <c r="A5903" s="32"/>
    </row>
    <row r="5904" spans="1:1">
      <c r="A5904" s="32"/>
    </row>
    <row r="5905" spans="1:1">
      <c r="A5905" s="32"/>
    </row>
    <row r="5906" spans="1:1">
      <c r="A5906" s="32"/>
    </row>
    <row r="5907" spans="1:1">
      <c r="A5907" s="32"/>
    </row>
    <row r="5908" spans="1:1">
      <c r="A5908" s="32"/>
    </row>
    <row r="5909" spans="1:1">
      <c r="A5909" s="32"/>
    </row>
    <row r="5910" spans="1:1">
      <c r="A5910" s="32"/>
    </row>
    <row r="5911" spans="1:1">
      <c r="A5911" s="32"/>
    </row>
    <row r="5912" spans="1:1">
      <c r="A5912" s="32"/>
    </row>
    <row r="5913" spans="1:1">
      <c r="A5913" s="32"/>
    </row>
    <row r="5914" spans="1:1">
      <c r="A5914" s="32"/>
    </row>
    <row r="5915" spans="1:1">
      <c r="A5915" s="32"/>
    </row>
    <row r="5916" spans="1:1">
      <c r="A5916" s="32"/>
    </row>
    <row r="5917" spans="1:1">
      <c r="A5917" s="32"/>
    </row>
    <row r="5918" spans="1:1">
      <c r="A5918" s="32"/>
    </row>
    <row r="5919" spans="1:1">
      <c r="A5919" s="32"/>
    </row>
    <row r="5920" spans="1:1">
      <c r="A5920" s="32"/>
    </row>
    <row r="5921" spans="1:1">
      <c r="A5921" s="32"/>
    </row>
    <row r="5922" spans="1:1">
      <c r="A5922" s="32"/>
    </row>
    <row r="5923" spans="1:1">
      <c r="A5923" s="32"/>
    </row>
    <row r="5924" spans="1:1">
      <c r="A5924" s="32"/>
    </row>
    <row r="5925" spans="1:1">
      <c r="A5925" s="32"/>
    </row>
    <row r="5926" spans="1:1">
      <c r="A5926" s="32"/>
    </row>
    <row r="5927" spans="1:1">
      <c r="A5927" s="32"/>
    </row>
    <row r="5928" spans="1:1">
      <c r="A5928" s="32"/>
    </row>
    <row r="5929" spans="1:1">
      <c r="A5929" s="32"/>
    </row>
    <row r="5930" spans="1:1">
      <c r="A5930" s="32"/>
    </row>
    <row r="5931" spans="1:1">
      <c r="A5931" s="32"/>
    </row>
    <row r="5932" spans="1:1">
      <c r="A5932" s="32"/>
    </row>
    <row r="5933" spans="1:1">
      <c r="A5933" s="32"/>
    </row>
    <row r="5934" spans="1:1">
      <c r="A5934" s="32"/>
    </row>
    <row r="5935" spans="1:1">
      <c r="A5935" s="32"/>
    </row>
    <row r="5936" spans="1:1">
      <c r="A5936" s="32"/>
    </row>
    <row r="5937" spans="1:1">
      <c r="A5937" s="32"/>
    </row>
    <row r="5938" spans="1:1">
      <c r="A5938" s="32"/>
    </row>
    <row r="5939" spans="1:1">
      <c r="A5939" s="32"/>
    </row>
    <row r="5940" spans="1:1">
      <c r="A5940" s="32"/>
    </row>
    <row r="5941" spans="1:1">
      <c r="A5941" s="32"/>
    </row>
    <row r="5942" spans="1:1">
      <c r="A5942" s="32"/>
    </row>
    <row r="5943" spans="1:1">
      <c r="A5943" s="32"/>
    </row>
    <row r="5944" spans="1:1">
      <c r="A5944" s="32"/>
    </row>
    <row r="5945" spans="1:1">
      <c r="A5945" s="32"/>
    </row>
    <row r="5946" spans="1:1">
      <c r="A5946" s="32"/>
    </row>
    <row r="5947" spans="1:1">
      <c r="A5947" s="32"/>
    </row>
    <row r="5948" spans="1:1">
      <c r="A5948" s="32"/>
    </row>
    <row r="5949" spans="1:1">
      <c r="A5949" s="32"/>
    </row>
    <row r="5950" spans="1:1">
      <c r="A5950" s="32"/>
    </row>
    <row r="5951" spans="1:1">
      <c r="A5951" s="32"/>
    </row>
    <row r="5952" spans="1:1">
      <c r="A5952" s="32"/>
    </row>
    <row r="5953" spans="1:1">
      <c r="A5953" s="32"/>
    </row>
    <row r="5954" spans="1:1">
      <c r="A5954" s="32"/>
    </row>
    <row r="5955" spans="1:1">
      <c r="A5955" s="32"/>
    </row>
    <row r="5956" spans="1:1">
      <c r="A5956" s="32"/>
    </row>
    <row r="5957" spans="1:1">
      <c r="A5957" s="32"/>
    </row>
    <row r="5958" spans="1:1">
      <c r="A5958" s="32"/>
    </row>
    <row r="5959" spans="1:1">
      <c r="A5959" s="32"/>
    </row>
    <row r="5960" spans="1:1">
      <c r="A5960" s="32"/>
    </row>
    <row r="5961" spans="1:1">
      <c r="A5961" s="32"/>
    </row>
    <row r="5962" spans="1:1">
      <c r="A5962" s="32"/>
    </row>
    <row r="5963" spans="1:1">
      <c r="A5963" s="32"/>
    </row>
    <row r="5964" spans="1:1">
      <c r="A5964" s="32"/>
    </row>
    <row r="5965" spans="1:1">
      <c r="A5965" s="32"/>
    </row>
    <row r="5966" spans="1:1">
      <c r="A5966" s="32"/>
    </row>
    <row r="5967" spans="1:1">
      <c r="A5967" s="32"/>
    </row>
    <row r="5968" spans="1:1">
      <c r="A5968" s="32"/>
    </row>
    <row r="5969" spans="1:1">
      <c r="A5969" s="32"/>
    </row>
    <row r="5970" spans="1:1">
      <c r="A5970" s="32"/>
    </row>
    <row r="5971" spans="1:1">
      <c r="A5971" s="32"/>
    </row>
    <row r="5972" spans="1:1">
      <c r="A5972" s="32"/>
    </row>
    <row r="5973" spans="1:1">
      <c r="A5973" s="32"/>
    </row>
    <row r="5974" spans="1:1">
      <c r="A5974" s="32"/>
    </row>
    <row r="5975" spans="1:1">
      <c r="A5975" s="32"/>
    </row>
    <row r="5976" spans="1:1">
      <c r="A5976" s="32"/>
    </row>
    <row r="5977" spans="1:1">
      <c r="A5977" s="32"/>
    </row>
    <row r="5978" spans="1:1">
      <c r="A5978" s="32"/>
    </row>
    <row r="5979" spans="1:1">
      <c r="A5979" s="32"/>
    </row>
    <row r="5980" spans="1:1">
      <c r="A5980" s="32"/>
    </row>
    <row r="5981" spans="1:1">
      <c r="A5981" s="32"/>
    </row>
    <row r="5982" spans="1:1">
      <c r="A5982" s="32"/>
    </row>
    <row r="5983" spans="1:1">
      <c r="A5983" s="32"/>
    </row>
    <row r="5984" spans="1:1">
      <c r="A5984" s="32"/>
    </row>
    <row r="5985" spans="1:1">
      <c r="A5985" s="32"/>
    </row>
    <row r="5986" spans="1:1">
      <c r="A5986" s="32"/>
    </row>
    <row r="5987" spans="1:1">
      <c r="A5987" s="32"/>
    </row>
    <row r="5988" spans="1:1">
      <c r="A5988" s="32"/>
    </row>
    <row r="5989" spans="1:1">
      <c r="A5989" s="32"/>
    </row>
    <row r="5990" spans="1:1">
      <c r="A5990" s="32"/>
    </row>
    <row r="5991" spans="1:1">
      <c r="A5991" s="32"/>
    </row>
    <row r="5992" spans="1:1">
      <c r="A5992" s="32"/>
    </row>
    <row r="5993" spans="1:1">
      <c r="A5993" s="32"/>
    </row>
    <row r="5994" spans="1:1">
      <c r="A5994" s="32"/>
    </row>
    <row r="5995" spans="1:1">
      <c r="A5995" s="32"/>
    </row>
    <row r="5996" spans="1:1">
      <c r="A5996" s="32"/>
    </row>
    <row r="5997" spans="1:1">
      <c r="A5997" s="32"/>
    </row>
    <row r="5998" spans="1:1">
      <c r="A5998" s="32"/>
    </row>
    <row r="5999" spans="1:1">
      <c r="A5999" s="32"/>
    </row>
    <row r="6000" spans="1:1">
      <c r="A6000" s="32"/>
    </row>
    <row r="6001" spans="1:1">
      <c r="A6001" s="32"/>
    </row>
    <row r="6002" spans="1:1">
      <c r="A6002" s="32"/>
    </row>
    <row r="6003" spans="1:1">
      <c r="A6003" s="32"/>
    </row>
    <row r="6004" spans="1:1">
      <c r="A6004" s="32"/>
    </row>
    <row r="6005" spans="1:1">
      <c r="A6005" s="32"/>
    </row>
    <row r="6006" spans="1:1">
      <c r="A6006" s="32"/>
    </row>
    <row r="6007" spans="1:1">
      <c r="A6007" s="32"/>
    </row>
    <row r="6008" spans="1:1">
      <c r="A6008" s="32"/>
    </row>
    <row r="6009" spans="1:1">
      <c r="A6009" s="32"/>
    </row>
    <row r="6010" spans="1:1">
      <c r="A6010" s="32"/>
    </row>
    <row r="6011" spans="1:1">
      <c r="A6011" s="32"/>
    </row>
    <row r="6012" spans="1:1">
      <c r="A6012" s="32"/>
    </row>
    <row r="6013" spans="1:1">
      <c r="A6013" s="32"/>
    </row>
    <row r="6014" spans="1:1">
      <c r="A6014" s="32"/>
    </row>
    <row r="6015" spans="1:1">
      <c r="A6015" s="32"/>
    </row>
    <row r="6016" spans="1:1">
      <c r="A6016" s="32"/>
    </row>
    <row r="6017" spans="1:1">
      <c r="A6017" s="32"/>
    </row>
    <row r="6018" spans="1:1">
      <c r="A6018" s="32"/>
    </row>
    <row r="6019" spans="1:1">
      <c r="A6019" s="32"/>
    </row>
    <row r="6020" spans="1:1">
      <c r="A6020" s="32"/>
    </row>
    <row r="6021" spans="1:1">
      <c r="A6021" s="32"/>
    </row>
    <row r="6022" spans="1:1">
      <c r="A6022" s="32"/>
    </row>
    <row r="6023" spans="1:1">
      <c r="A6023" s="32"/>
    </row>
    <row r="6024" spans="1:1">
      <c r="A6024" s="32"/>
    </row>
    <row r="6025" spans="1:1">
      <c r="A6025" s="32"/>
    </row>
    <row r="6026" spans="1:1">
      <c r="A6026" s="32"/>
    </row>
    <row r="6027" spans="1:1">
      <c r="A6027" s="32"/>
    </row>
    <row r="6028" spans="1:1">
      <c r="A6028" s="32"/>
    </row>
    <row r="6029" spans="1:1">
      <c r="A6029" s="32"/>
    </row>
    <row r="6030" spans="1:1">
      <c r="A6030" s="32"/>
    </row>
    <row r="6031" spans="1:1">
      <c r="A6031" s="32"/>
    </row>
    <row r="6032" spans="1:1">
      <c r="A6032" s="32"/>
    </row>
    <row r="6033" spans="1:1">
      <c r="A6033" s="32"/>
    </row>
    <row r="6034" spans="1:1">
      <c r="A6034" s="32"/>
    </row>
    <row r="6035" spans="1:1">
      <c r="A6035" s="32"/>
    </row>
    <row r="6036" spans="1:1">
      <c r="A6036" s="32"/>
    </row>
    <row r="6037" spans="1:1">
      <c r="A6037" s="32"/>
    </row>
    <row r="6038" spans="1:1">
      <c r="A6038" s="32"/>
    </row>
    <row r="6039" spans="1:1">
      <c r="A6039" s="32"/>
    </row>
    <row r="6040" spans="1:1">
      <c r="A6040" s="32"/>
    </row>
    <row r="6041" spans="1:1">
      <c r="A6041" s="32"/>
    </row>
    <row r="6042" spans="1:1">
      <c r="A6042" s="32"/>
    </row>
    <row r="6043" spans="1:1">
      <c r="A6043" s="32"/>
    </row>
    <row r="6044" spans="1:1">
      <c r="A6044" s="32"/>
    </row>
    <row r="6045" spans="1:1">
      <c r="A6045" s="32"/>
    </row>
    <row r="6046" spans="1:1">
      <c r="A6046" s="32"/>
    </row>
    <row r="6047" spans="1:1">
      <c r="A6047" s="32"/>
    </row>
    <row r="6048" spans="1:1">
      <c r="A6048" s="32"/>
    </row>
    <row r="6049" spans="1:1">
      <c r="A6049" s="32"/>
    </row>
    <row r="6050" spans="1:1">
      <c r="A6050" s="32"/>
    </row>
    <row r="6051" spans="1:1">
      <c r="A6051" s="32"/>
    </row>
    <row r="6052" spans="1:1">
      <c r="A6052" s="32"/>
    </row>
    <row r="6053" spans="1:1">
      <c r="A6053" s="32"/>
    </row>
    <row r="6054" spans="1:1">
      <c r="A6054" s="32"/>
    </row>
    <row r="6055" spans="1:1">
      <c r="A6055" s="32"/>
    </row>
    <row r="6056" spans="1:1">
      <c r="A6056" s="32"/>
    </row>
    <row r="6057" spans="1:1">
      <c r="A6057" s="32"/>
    </row>
    <row r="6058" spans="1:1">
      <c r="A6058" s="32"/>
    </row>
    <row r="6059" spans="1:1">
      <c r="A6059" s="32"/>
    </row>
    <row r="6060" spans="1:1">
      <c r="A6060" s="32"/>
    </row>
    <row r="6061" spans="1:1">
      <c r="A6061" s="32"/>
    </row>
    <row r="6062" spans="1:1">
      <c r="A6062" s="32"/>
    </row>
    <row r="6063" spans="1:1">
      <c r="A6063" s="32"/>
    </row>
    <row r="6064" spans="1:1">
      <c r="A6064" s="32"/>
    </row>
    <row r="6065" spans="1:1">
      <c r="A6065" s="32"/>
    </row>
    <row r="6066" spans="1:1">
      <c r="A6066" s="32"/>
    </row>
    <row r="6067" spans="1:1">
      <c r="A6067" s="32"/>
    </row>
    <row r="6068" spans="1:1">
      <c r="A6068" s="32"/>
    </row>
    <row r="6069" spans="1:1">
      <c r="A6069" s="32"/>
    </row>
    <row r="6070" spans="1:1">
      <c r="A6070" s="32"/>
    </row>
    <row r="6071" spans="1:1">
      <c r="A6071" s="32"/>
    </row>
    <row r="6072" spans="1:1">
      <c r="A6072" s="32"/>
    </row>
    <row r="6073" spans="1:1">
      <c r="A6073" s="32"/>
    </row>
    <row r="6074" spans="1:1">
      <c r="A6074" s="32"/>
    </row>
    <row r="6075" spans="1:1">
      <c r="A6075" s="32"/>
    </row>
    <row r="6076" spans="1:1">
      <c r="A6076" s="32"/>
    </row>
    <row r="6077" spans="1:1">
      <c r="A6077" s="32"/>
    </row>
    <row r="6078" spans="1:1">
      <c r="A6078" s="32"/>
    </row>
    <row r="6079" spans="1:1">
      <c r="A6079" s="32"/>
    </row>
    <row r="6080" spans="1:1">
      <c r="A6080" s="32"/>
    </row>
    <row r="6081" spans="1:1">
      <c r="A6081" s="32"/>
    </row>
    <row r="6082" spans="1:1">
      <c r="A6082" s="32"/>
    </row>
    <row r="6083" spans="1:1">
      <c r="A6083" s="32"/>
    </row>
    <row r="6084" spans="1:1">
      <c r="A6084" s="32"/>
    </row>
    <row r="6085" spans="1:1">
      <c r="A6085" s="32"/>
    </row>
    <row r="6086" spans="1:1">
      <c r="A6086" s="32"/>
    </row>
    <row r="6087" spans="1:1">
      <c r="A6087" s="32"/>
    </row>
    <row r="6088" spans="1:1">
      <c r="A6088" s="32"/>
    </row>
    <row r="6089" spans="1:1">
      <c r="A6089" s="32"/>
    </row>
    <row r="6090" spans="1:1">
      <c r="A6090" s="32"/>
    </row>
    <row r="6091" spans="1:1">
      <c r="A6091" s="32"/>
    </row>
    <row r="6092" spans="1:1">
      <c r="A6092" s="32"/>
    </row>
    <row r="6093" spans="1:1">
      <c r="A6093" s="32"/>
    </row>
    <row r="6094" spans="1:1">
      <c r="A6094" s="32"/>
    </row>
    <row r="6095" spans="1:1">
      <c r="A6095" s="32"/>
    </row>
    <row r="6096" spans="1:1">
      <c r="A6096" s="32"/>
    </row>
    <row r="6097" spans="1:1">
      <c r="A6097" s="32"/>
    </row>
    <row r="6098" spans="1:1">
      <c r="A6098" s="32"/>
    </row>
    <row r="6099" spans="1:1">
      <c r="A6099" s="32"/>
    </row>
    <row r="6100" spans="1:1">
      <c r="A6100" s="32"/>
    </row>
    <row r="6101" spans="1:1">
      <c r="A6101" s="32"/>
    </row>
    <row r="6102" spans="1:1">
      <c r="A6102" s="32"/>
    </row>
    <row r="6103" spans="1:1">
      <c r="A6103" s="32"/>
    </row>
    <row r="6104" spans="1:1">
      <c r="A6104" s="32"/>
    </row>
    <row r="6105" spans="1:1">
      <c r="A6105" s="32"/>
    </row>
    <row r="6106" spans="1:1">
      <c r="A6106" s="32"/>
    </row>
    <row r="6107" spans="1:1">
      <c r="A6107" s="32"/>
    </row>
    <row r="6108" spans="1:1">
      <c r="A6108" s="32"/>
    </row>
    <row r="6109" spans="1:1">
      <c r="A6109" s="32"/>
    </row>
    <row r="6110" spans="1:1">
      <c r="A6110" s="32"/>
    </row>
    <row r="6111" spans="1:1">
      <c r="A6111" s="32"/>
    </row>
    <row r="6112" spans="1:1">
      <c r="A6112" s="32"/>
    </row>
    <row r="6113" spans="1:1">
      <c r="A6113" s="32"/>
    </row>
    <row r="6114" spans="1:1">
      <c r="A6114" s="32"/>
    </row>
    <row r="6115" spans="1:1">
      <c r="A6115" s="32"/>
    </row>
    <row r="6116" spans="1:1">
      <c r="A6116" s="32"/>
    </row>
    <row r="6117" spans="1:1">
      <c r="A6117" s="32"/>
    </row>
    <row r="6118" spans="1:1">
      <c r="A6118" s="32"/>
    </row>
    <row r="6119" spans="1:1">
      <c r="A6119" s="32"/>
    </row>
    <row r="6120" spans="1:1">
      <c r="A6120" s="32"/>
    </row>
    <row r="6121" spans="1:1">
      <c r="A6121" s="32"/>
    </row>
    <row r="6122" spans="1:1">
      <c r="A6122" s="32"/>
    </row>
    <row r="6123" spans="1:1">
      <c r="A6123" s="32"/>
    </row>
    <row r="6124" spans="1:1">
      <c r="A6124" s="32"/>
    </row>
    <row r="6125" spans="1:1">
      <c r="A6125" s="32"/>
    </row>
    <row r="6126" spans="1:1">
      <c r="A6126" s="32"/>
    </row>
    <row r="6127" spans="1:1">
      <c r="A6127" s="32"/>
    </row>
    <row r="6128" spans="1:1">
      <c r="A6128" s="32"/>
    </row>
    <row r="6129" spans="1:1">
      <c r="A6129" s="32"/>
    </row>
    <row r="6130" spans="1:1">
      <c r="A6130" s="32"/>
    </row>
    <row r="6131" spans="1:1">
      <c r="A6131" s="32"/>
    </row>
    <row r="6132" spans="1:1">
      <c r="A6132" s="32"/>
    </row>
    <row r="6133" spans="1:1">
      <c r="A6133" s="32"/>
    </row>
    <row r="6134" spans="1:1">
      <c r="A6134" s="32"/>
    </row>
    <row r="6135" spans="1:1">
      <c r="A6135" s="32"/>
    </row>
    <row r="6136" spans="1:1">
      <c r="A6136" s="32"/>
    </row>
    <row r="6137" spans="1:1">
      <c r="A6137" s="32"/>
    </row>
    <row r="6138" spans="1:1">
      <c r="A6138" s="32"/>
    </row>
    <row r="6139" spans="1:1">
      <c r="A6139" s="32"/>
    </row>
    <row r="6140" spans="1:1">
      <c r="A6140" s="32"/>
    </row>
    <row r="6141" spans="1:1">
      <c r="A6141" s="32"/>
    </row>
    <row r="6142" spans="1:1">
      <c r="A6142" s="32"/>
    </row>
    <row r="6143" spans="1:1">
      <c r="A6143" s="32"/>
    </row>
    <row r="6144" spans="1:1">
      <c r="A6144" s="32"/>
    </row>
    <row r="6145" spans="1:1">
      <c r="A6145" s="32"/>
    </row>
    <row r="6146" spans="1:1">
      <c r="A6146" s="32"/>
    </row>
    <row r="6147" spans="1:1">
      <c r="A6147" s="32"/>
    </row>
    <row r="6148" spans="1:1">
      <c r="A6148" s="32"/>
    </row>
    <row r="6149" spans="1:1">
      <c r="A6149" s="32"/>
    </row>
    <row r="6150" spans="1:1">
      <c r="A6150" s="32"/>
    </row>
    <row r="6151" spans="1:1">
      <c r="A6151" s="32"/>
    </row>
    <row r="6152" spans="1:1">
      <c r="A6152" s="32"/>
    </row>
    <row r="6153" spans="1:1">
      <c r="A6153" s="32"/>
    </row>
    <row r="6154" spans="1:1">
      <c r="A6154" s="32"/>
    </row>
    <row r="6155" spans="1:1">
      <c r="A6155" s="32"/>
    </row>
    <row r="6156" spans="1:1">
      <c r="A6156" s="32"/>
    </row>
    <row r="6157" spans="1:1">
      <c r="A6157" s="32"/>
    </row>
    <row r="6158" spans="1:1">
      <c r="A6158" s="32"/>
    </row>
    <row r="6159" spans="1:1">
      <c r="A6159" s="32"/>
    </row>
    <row r="6160" spans="1:1">
      <c r="A6160" s="32"/>
    </row>
    <row r="6161" spans="1:1">
      <c r="A6161" s="32"/>
    </row>
    <row r="6162" spans="1:1">
      <c r="A6162" s="32"/>
    </row>
    <row r="6163" spans="1:1">
      <c r="A6163" s="32"/>
    </row>
    <row r="6164" spans="1:1">
      <c r="A6164" s="32"/>
    </row>
    <row r="6165" spans="1:1">
      <c r="A6165" s="32"/>
    </row>
    <row r="6166" spans="1:1">
      <c r="A6166" s="32"/>
    </row>
    <row r="6167" spans="1:1">
      <c r="A6167" s="32"/>
    </row>
    <row r="6168" spans="1:1">
      <c r="A6168" s="32"/>
    </row>
    <row r="6169" spans="1:1">
      <c r="A6169" s="32"/>
    </row>
    <row r="6170" spans="1:1">
      <c r="A6170" s="32"/>
    </row>
    <row r="6171" spans="1:1">
      <c r="A6171" s="32"/>
    </row>
    <row r="6172" spans="1:1">
      <c r="A6172" s="32"/>
    </row>
    <row r="6173" spans="1:1">
      <c r="A6173" s="32"/>
    </row>
    <row r="6174" spans="1:1">
      <c r="A6174" s="32"/>
    </row>
    <row r="6175" spans="1:1">
      <c r="A6175" s="32"/>
    </row>
    <row r="6176" spans="1:1">
      <c r="A6176" s="32"/>
    </row>
    <row r="6177" spans="1:1">
      <c r="A6177" s="32"/>
    </row>
    <row r="6178" spans="1:1">
      <c r="A6178" s="32"/>
    </row>
    <row r="6179" spans="1:1">
      <c r="A6179" s="32"/>
    </row>
    <row r="6180" spans="1:1">
      <c r="A6180" s="32"/>
    </row>
    <row r="6181" spans="1:1">
      <c r="A6181" s="32"/>
    </row>
    <row r="6182" spans="1:1">
      <c r="A6182" s="32"/>
    </row>
    <row r="6183" spans="1:1">
      <c r="A6183" s="32"/>
    </row>
    <row r="6184" spans="1:1">
      <c r="A6184" s="32"/>
    </row>
    <row r="6185" spans="1:1">
      <c r="A6185" s="32"/>
    </row>
    <row r="6186" spans="1:1">
      <c r="A6186" s="32"/>
    </row>
    <row r="6187" spans="1:1">
      <c r="A6187" s="32"/>
    </row>
    <row r="6188" spans="1:1">
      <c r="A6188" s="32"/>
    </row>
    <row r="6189" spans="1:1">
      <c r="A6189" s="32"/>
    </row>
    <row r="6190" spans="1:1">
      <c r="A6190" s="32"/>
    </row>
    <row r="6191" spans="1:1">
      <c r="A6191" s="32"/>
    </row>
    <row r="6192" spans="1:1">
      <c r="A6192" s="32"/>
    </row>
    <row r="6193" spans="1:1">
      <c r="A6193" s="32"/>
    </row>
    <row r="6194" spans="1:1">
      <c r="A6194" s="32"/>
    </row>
    <row r="6195" spans="1:1">
      <c r="A6195" s="32"/>
    </row>
    <row r="6196" spans="1:1">
      <c r="A6196" s="32"/>
    </row>
    <row r="6197" spans="1:1">
      <c r="A6197" s="32"/>
    </row>
    <row r="6198" spans="1:1">
      <c r="A6198" s="32"/>
    </row>
    <row r="6199" spans="1:1">
      <c r="A6199" s="32"/>
    </row>
    <row r="6200" spans="1:1">
      <c r="A6200" s="32"/>
    </row>
    <row r="6201" spans="1:1">
      <c r="A6201" s="32"/>
    </row>
    <row r="6202" spans="1:1">
      <c r="A6202" s="32"/>
    </row>
    <row r="6203" spans="1:1">
      <c r="A6203" s="32"/>
    </row>
    <row r="6204" spans="1:1">
      <c r="A6204" s="32"/>
    </row>
    <row r="6205" spans="1:1">
      <c r="A6205" s="32"/>
    </row>
    <row r="6206" spans="1:1">
      <c r="A6206" s="32"/>
    </row>
    <row r="6207" spans="1:1">
      <c r="A6207" s="32"/>
    </row>
    <row r="6208" spans="1:1">
      <c r="A6208" s="32"/>
    </row>
    <row r="6209" spans="1:1">
      <c r="A6209" s="32"/>
    </row>
    <row r="6210" spans="1:1">
      <c r="A6210" s="32"/>
    </row>
    <row r="6211" spans="1:1">
      <c r="A6211" s="32"/>
    </row>
    <row r="6212" spans="1:1">
      <c r="A6212" s="32"/>
    </row>
    <row r="6213" spans="1:1">
      <c r="A6213" s="32"/>
    </row>
    <row r="6214" spans="1:1">
      <c r="A6214" s="32"/>
    </row>
    <row r="6215" spans="1:1">
      <c r="A6215" s="32"/>
    </row>
    <row r="6216" spans="1:1">
      <c r="A6216" s="32"/>
    </row>
    <row r="6217" spans="1:1">
      <c r="A6217" s="32"/>
    </row>
    <row r="6218" spans="1:1">
      <c r="A6218" s="32"/>
    </row>
    <row r="6219" spans="1:1">
      <c r="A6219" s="32"/>
    </row>
    <row r="6220" spans="1:1">
      <c r="A6220" s="32"/>
    </row>
    <row r="6221" spans="1:1">
      <c r="A6221" s="32"/>
    </row>
    <row r="6222" spans="1:1">
      <c r="A6222" s="32"/>
    </row>
    <row r="6223" spans="1:1">
      <c r="A6223" s="32"/>
    </row>
    <row r="6224" spans="1:1">
      <c r="A6224" s="32"/>
    </row>
    <row r="6225" spans="1:1">
      <c r="A6225" s="32"/>
    </row>
    <row r="6226" spans="1:1">
      <c r="A6226" s="32"/>
    </row>
    <row r="6227" spans="1:1">
      <c r="A6227" s="32"/>
    </row>
    <row r="6228" spans="1:1">
      <c r="A6228" s="32"/>
    </row>
    <row r="6229" spans="1:1">
      <c r="A6229" s="32"/>
    </row>
    <row r="6230" spans="1:1">
      <c r="A6230" s="32"/>
    </row>
    <row r="6231" spans="1:1">
      <c r="A6231" s="32"/>
    </row>
    <row r="6232" spans="1:1">
      <c r="A6232" s="32"/>
    </row>
    <row r="6233" spans="1:1">
      <c r="A6233" s="32"/>
    </row>
    <row r="6234" spans="1:1">
      <c r="A6234" s="32"/>
    </row>
    <row r="6235" spans="1:1">
      <c r="A6235" s="32"/>
    </row>
    <row r="6236" spans="1:1">
      <c r="A6236" s="32"/>
    </row>
    <row r="6237" spans="1:1">
      <c r="A6237" s="32"/>
    </row>
    <row r="6238" spans="1:1">
      <c r="A6238" s="32"/>
    </row>
    <row r="6239" spans="1:1">
      <c r="A6239" s="32"/>
    </row>
    <row r="6240" spans="1:1">
      <c r="A6240" s="32"/>
    </row>
    <row r="6241" spans="1:1">
      <c r="A6241" s="32"/>
    </row>
    <row r="6242" spans="1:1">
      <c r="A6242" s="32"/>
    </row>
    <row r="6243" spans="1:1">
      <c r="A6243" s="32"/>
    </row>
    <row r="6244" spans="1:1">
      <c r="A6244" s="32"/>
    </row>
    <row r="6245" spans="1:1">
      <c r="A6245" s="32"/>
    </row>
    <row r="6246" spans="1:1">
      <c r="A6246" s="32"/>
    </row>
    <row r="6247" spans="1:1">
      <c r="A6247" s="32"/>
    </row>
    <row r="6248" spans="1:1">
      <c r="A6248" s="32"/>
    </row>
    <row r="6249" spans="1:1">
      <c r="A6249" s="32"/>
    </row>
    <row r="6250" spans="1:1">
      <c r="A6250" s="32"/>
    </row>
    <row r="6251" spans="1:1">
      <c r="A6251" s="32"/>
    </row>
    <row r="6252" spans="1:1">
      <c r="A6252" s="32"/>
    </row>
    <row r="6253" spans="1:1">
      <c r="A6253" s="32"/>
    </row>
    <row r="6254" spans="1:1">
      <c r="A6254" s="32"/>
    </row>
    <row r="6255" spans="1:1">
      <c r="A6255" s="32"/>
    </row>
    <row r="6256" spans="1:1">
      <c r="A6256" s="32"/>
    </row>
    <row r="6257" spans="1:1">
      <c r="A6257" s="32"/>
    </row>
    <row r="6258" spans="1:1">
      <c r="A6258" s="32"/>
    </row>
    <row r="6259" spans="1:1">
      <c r="A6259" s="32"/>
    </row>
    <row r="6260" spans="1:1">
      <c r="A6260" s="32"/>
    </row>
    <row r="6261" spans="1:1">
      <c r="A6261" s="32"/>
    </row>
    <row r="6262" spans="1:1">
      <c r="A6262" s="32"/>
    </row>
    <row r="6263" spans="1:1">
      <c r="A6263" s="32"/>
    </row>
    <row r="6264" spans="1:1">
      <c r="A6264" s="32"/>
    </row>
    <row r="6265" spans="1:1">
      <c r="A6265" s="32"/>
    </row>
    <row r="6266" spans="1:1">
      <c r="A6266" s="32"/>
    </row>
    <row r="6267" spans="1:1">
      <c r="A6267" s="32"/>
    </row>
    <row r="6268" spans="1:1">
      <c r="A6268" s="32"/>
    </row>
    <row r="6269" spans="1:1">
      <c r="A6269" s="32"/>
    </row>
    <row r="6270" spans="1:1">
      <c r="A6270" s="32"/>
    </row>
    <row r="6271" spans="1:1">
      <c r="A6271" s="32"/>
    </row>
    <row r="6272" spans="1:1">
      <c r="A6272" s="32"/>
    </row>
    <row r="6273" spans="1:1">
      <c r="A6273" s="32"/>
    </row>
    <row r="6274" spans="1:1">
      <c r="A6274" s="32"/>
    </row>
    <row r="6275" spans="1:1">
      <c r="A6275" s="32"/>
    </row>
    <row r="6276" spans="1:1">
      <c r="A6276" s="32"/>
    </row>
    <row r="6277" spans="1:1">
      <c r="A6277" s="32"/>
    </row>
    <row r="6278" spans="1:1">
      <c r="A6278" s="32"/>
    </row>
    <row r="6279" spans="1:1">
      <c r="A6279" s="32"/>
    </row>
    <row r="6280" spans="1:1">
      <c r="A6280" s="32"/>
    </row>
    <row r="6281" spans="1:1">
      <c r="A6281" s="32"/>
    </row>
    <row r="6282" spans="1:1">
      <c r="A6282" s="32"/>
    </row>
    <row r="6283" spans="1:1">
      <c r="A6283" s="32"/>
    </row>
    <row r="6284" spans="1:1">
      <c r="A6284" s="32"/>
    </row>
    <row r="6285" spans="1:1">
      <c r="A6285" s="32"/>
    </row>
    <row r="6286" spans="1:1">
      <c r="A6286" s="32"/>
    </row>
    <row r="6287" spans="1:1">
      <c r="A6287" s="32"/>
    </row>
    <row r="6288" spans="1:1">
      <c r="A6288" s="32"/>
    </row>
    <row r="6289" spans="1:1">
      <c r="A6289" s="32"/>
    </row>
    <row r="6290" spans="1:1">
      <c r="A6290" s="32"/>
    </row>
    <row r="6291" spans="1:1">
      <c r="A6291" s="32"/>
    </row>
    <row r="6292" spans="1:1">
      <c r="A6292" s="32"/>
    </row>
    <row r="6293" spans="1:1">
      <c r="A6293" s="32"/>
    </row>
    <row r="6294" spans="1:1">
      <c r="A6294" s="32"/>
    </row>
    <row r="6295" spans="1:1">
      <c r="A6295" s="32"/>
    </row>
    <row r="6296" spans="1:1">
      <c r="A6296" s="32"/>
    </row>
    <row r="6297" spans="1:1">
      <c r="A6297" s="32"/>
    </row>
    <row r="6298" spans="1:1">
      <c r="A6298" s="32"/>
    </row>
    <row r="6299" spans="1:1">
      <c r="A6299" s="32"/>
    </row>
    <row r="6300" spans="1:1">
      <c r="A6300" s="32"/>
    </row>
    <row r="6301" spans="1:1">
      <c r="A6301" s="32"/>
    </row>
    <row r="6302" spans="1:1">
      <c r="A6302" s="32"/>
    </row>
    <row r="6303" spans="1:1">
      <c r="A6303" s="32"/>
    </row>
    <row r="6304" spans="1:1">
      <c r="A6304" s="32"/>
    </row>
    <row r="6305" spans="1:1">
      <c r="A6305" s="32"/>
    </row>
    <row r="6306" spans="1:1">
      <c r="A6306" s="32"/>
    </row>
    <row r="6307" spans="1:1">
      <c r="A6307" s="32"/>
    </row>
    <row r="6308" spans="1:1">
      <c r="A6308" s="32"/>
    </row>
    <row r="6309" spans="1:1">
      <c r="A6309" s="32"/>
    </row>
    <row r="6310" spans="1:1">
      <c r="A6310" s="32"/>
    </row>
    <row r="6311" spans="1:1">
      <c r="A6311" s="32"/>
    </row>
    <row r="6312" spans="1:1">
      <c r="A6312" s="32"/>
    </row>
    <row r="6313" spans="1:1">
      <c r="A6313" s="32"/>
    </row>
    <row r="6314" spans="1:1">
      <c r="A6314" s="32"/>
    </row>
    <row r="6315" spans="1:1">
      <c r="A6315" s="32"/>
    </row>
    <row r="6316" spans="1:1">
      <c r="A6316" s="32"/>
    </row>
    <row r="6317" spans="1:1">
      <c r="A6317" s="32"/>
    </row>
    <row r="6318" spans="1:1">
      <c r="A6318" s="32"/>
    </row>
    <row r="6319" spans="1:1">
      <c r="A6319" s="32"/>
    </row>
    <row r="6320" spans="1:1">
      <c r="A6320" s="32"/>
    </row>
    <row r="6321" spans="1:1">
      <c r="A6321" s="32"/>
    </row>
    <row r="6322" spans="1:1">
      <c r="A6322" s="32"/>
    </row>
    <row r="6323" spans="1:1">
      <c r="A6323" s="32"/>
    </row>
    <row r="6324" spans="1:1">
      <c r="A6324" s="32"/>
    </row>
    <row r="6325" spans="1:1">
      <c r="A6325" s="32"/>
    </row>
    <row r="6326" spans="1:1">
      <c r="A6326" s="32"/>
    </row>
    <row r="6327" spans="1:1">
      <c r="A6327" s="32"/>
    </row>
    <row r="6328" spans="1:1">
      <c r="A6328" s="32"/>
    </row>
    <row r="6329" spans="1:1">
      <c r="A6329" s="32"/>
    </row>
    <row r="6330" spans="1:1">
      <c r="A6330" s="32"/>
    </row>
    <row r="6331" spans="1:1">
      <c r="A6331" s="32"/>
    </row>
    <row r="6332" spans="1:1">
      <c r="A6332" s="32"/>
    </row>
    <row r="6333" spans="1:1">
      <c r="A6333" s="32"/>
    </row>
    <row r="6334" spans="1:1">
      <c r="A6334" s="32"/>
    </row>
    <row r="6335" spans="1:1">
      <c r="A6335" s="32"/>
    </row>
    <row r="6336" spans="1:1">
      <c r="A6336" s="32"/>
    </row>
    <row r="6337" spans="1:1">
      <c r="A6337" s="32"/>
    </row>
    <row r="6338" spans="1:1">
      <c r="A6338" s="32"/>
    </row>
    <row r="6339" spans="1:1">
      <c r="A6339" s="32"/>
    </row>
    <row r="6340" spans="1:1">
      <c r="A6340" s="32"/>
    </row>
    <row r="6341" spans="1:1">
      <c r="A6341" s="32"/>
    </row>
    <row r="6342" spans="1:1">
      <c r="A6342" s="32"/>
    </row>
    <row r="6343" spans="1:1">
      <c r="A6343" s="32"/>
    </row>
    <row r="6344" spans="1:1">
      <c r="A6344" s="32"/>
    </row>
    <row r="6345" spans="1:1">
      <c r="A6345" s="32"/>
    </row>
    <row r="6346" spans="1:1">
      <c r="A6346" s="32"/>
    </row>
    <row r="6347" spans="1:1">
      <c r="A6347" s="32"/>
    </row>
    <row r="6348" spans="1:1">
      <c r="A6348" s="32"/>
    </row>
    <row r="6349" spans="1:1">
      <c r="A6349" s="32"/>
    </row>
    <row r="6350" spans="1:1">
      <c r="A6350" s="32"/>
    </row>
    <row r="6351" spans="1:1">
      <c r="A6351" s="32"/>
    </row>
    <row r="6352" spans="1:1">
      <c r="A6352" s="32"/>
    </row>
    <row r="6353" spans="1:1">
      <c r="A6353" s="32"/>
    </row>
    <row r="6354" spans="1:1">
      <c r="A6354" s="32"/>
    </row>
    <row r="6355" spans="1:1">
      <c r="A6355" s="32"/>
    </row>
    <row r="6356" spans="1:1">
      <c r="A6356" s="32"/>
    </row>
    <row r="6357" spans="1:1">
      <c r="A6357" s="32"/>
    </row>
    <row r="6358" spans="1:1">
      <c r="A6358" s="32"/>
    </row>
    <row r="6359" spans="1:1">
      <c r="A6359" s="32"/>
    </row>
    <row r="6360" spans="1:1">
      <c r="A6360" s="32"/>
    </row>
    <row r="6361" spans="1:1">
      <c r="A6361" s="32"/>
    </row>
    <row r="6362" spans="1:1">
      <c r="A6362" s="32"/>
    </row>
    <row r="6363" spans="1:1">
      <c r="A6363" s="32"/>
    </row>
    <row r="6364" spans="1:1">
      <c r="A6364" s="32"/>
    </row>
    <row r="6365" spans="1:1">
      <c r="A6365" s="32"/>
    </row>
    <row r="6366" spans="1:1">
      <c r="A6366" s="32"/>
    </row>
    <row r="6367" spans="1:1">
      <c r="A6367" s="32"/>
    </row>
    <row r="6368" spans="1:1">
      <c r="A6368" s="32"/>
    </row>
    <row r="6369" spans="1:1">
      <c r="A6369" s="32"/>
    </row>
    <row r="6370" spans="1:1">
      <c r="A6370" s="32"/>
    </row>
    <row r="6371" spans="1:1">
      <c r="A6371" s="32"/>
    </row>
    <row r="6372" spans="1:1">
      <c r="A6372" s="32"/>
    </row>
    <row r="6373" spans="1:1">
      <c r="A6373" s="32"/>
    </row>
    <row r="6374" spans="1:1">
      <c r="A6374" s="32"/>
    </row>
    <row r="6375" spans="1:1">
      <c r="A6375" s="32"/>
    </row>
    <row r="6376" spans="1:1">
      <c r="A6376" s="32"/>
    </row>
    <row r="6377" spans="1:1">
      <c r="A6377" s="32"/>
    </row>
    <row r="6378" spans="1:1">
      <c r="A6378" s="32"/>
    </row>
    <row r="6379" spans="1:1">
      <c r="A6379" s="32"/>
    </row>
    <row r="6380" spans="1:1">
      <c r="A6380" s="32"/>
    </row>
    <row r="6381" spans="1:1">
      <c r="A6381" s="32"/>
    </row>
    <row r="6382" spans="1:1">
      <c r="A6382" s="32"/>
    </row>
    <row r="6383" spans="1:1">
      <c r="A6383" s="32"/>
    </row>
    <row r="6384" spans="1:1">
      <c r="A6384" s="32"/>
    </row>
    <row r="6385" spans="1:1">
      <c r="A6385" s="32"/>
    </row>
    <row r="6386" spans="1:1">
      <c r="A6386" s="32"/>
    </row>
    <row r="6387" spans="1:1">
      <c r="A6387" s="32"/>
    </row>
    <row r="6388" spans="1:1">
      <c r="A6388" s="32"/>
    </row>
    <row r="6389" spans="1:1">
      <c r="A6389" s="32"/>
    </row>
    <row r="6390" spans="1:1">
      <c r="A6390" s="32"/>
    </row>
    <row r="6391" spans="1:1">
      <c r="A6391" s="32"/>
    </row>
    <row r="6392" spans="1:1">
      <c r="A6392" s="32"/>
    </row>
    <row r="6393" spans="1:1">
      <c r="A6393" s="32"/>
    </row>
    <row r="6394" spans="1:1">
      <c r="A6394" s="32"/>
    </row>
    <row r="6395" spans="1:1">
      <c r="A6395" s="32"/>
    </row>
    <row r="6396" spans="1:1">
      <c r="A6396" s="32"/>
    </row>
    <row r="6397" spans="1:1">
      <c r="A6397" s="32"/>
    </row>
    <row r="6398" spans="1:1">
      <c r="A6398" s="32"/>
    </row>
    <row r="6399" spans="1:1">
      <c r="A6399" s="32"/>
    </row>
    <row r="6400" spans="1:1">
      <c r="A6400" s="32"/>
    </row>
    <row r="6401" spans="1:1">
      <c r="A6401" s="32"/>
    </row>
    <row r="6402" spans="1:1">
      <c r="A6402" s="32"/>
    </row>
    <row r="6403" spans="1:1">
      <c r="A6403" s="32"/>
    </row>
    <row r="6404" spans="1:1">
      <c r="A6404" s="32"/>
    </row>
    <row r="6405" spans="1:1">
      <c r="A6405" s="32"/>
    </row>
    <row r="6406" spans="1:1">
      <c r="A6406" s="32"/>
    </row>
    <row r="6407" spans="1:1">
      <c r="A6407" s="32"/>
    </row>
    <row r="6408" spans="1:1">
      <c r="A6408" s="32"/>
    </row>
    <row r="6409" spans="1:1">
      <c r="A6409" s="32"/>
    </row>
    <row r="6410" spans="1:1">
      <c r="A6410" s="32"/>
    </row>
    <row r="6411" spans="1:1">
      <c r="A6411" s="32"/>
    </row>
    <row r="6412" spans="1:1">
      <c r="A6412" s="32"/>
    </row>
    <row r="6413" spans="1:1">
      <c r="A6413" s="32"/>
    </row>
    <row r="6414" spans="1:1">
      <c r="A6414" s="32"/>
    </row>
    <row r="6415" spans="1:1">
      <c r="A6415" s="32"/>
    </row>
    <row r="6416" spans="1:1">
      <c r="A6416" s="32"/>
    </row>
    <row r="6417" spans="1:1">
      <c r="A6417" s="32"/>
    </row>
    <row r="6418" spans="1:1">
      <c r="A6418" s="32"/>
    </row>
    <row r="6419" spans="1:1">
      <c r="A6419" s="32"/>
    </row>
    <row r="6420" spans="1:1">
      <c r="A6420" s="32"/>
    </row>
    <row r="6421" spans="1:1">
      <c r="A6421" s="32"/>
    </row>
    <row r="6422" spans="1:1">
      <c r="A6422" s="32"/>
    </row>
    <row r="6423" spans="1:1">
      <c r="A6423" s="32"/>
    </row>
    <row r="6424" spans="1:1">
      <c r="A6424" s="32"/>
    </row>
    <row r="6425" spans="1:1">
      <c r="A6425" s="32"/>
    </row>
    <row r="6426" spans="1:1">
      <c r="A6426" s="32"/>
    </row>
    <row r="6427" spans="1:1">
      <c r="A6427" s="32"/>
    </row>
    <row r="6428" spans="1:1">
      <c r="A6428" s="32"/>
    </row>
    <row r="6429" spans="1:1">
      <c r="A6429" s="32"/>
    </row>
    <row r="6430" spans="1:1">
      <c r="A6430" s="32"/>
    </row>
    <row r="6431" spans="1:1">
      <c r="A6431" s="32"/>
    </row>
    <row r="6432" spans="1:1">
      <c r="A6432" s="32"/>
    </row>
    <row r="6433" spans="1:1">
      <c r="A6433" s="32"/>
    </row>
    <row r="6434" spans="1:1">
      <c r="A6434" s="32"/>
    </row>
    <row r="6435" spans="1:1">
      <c r="A6435" s="32"/>
    </row>
    <row r="6436" spans="1:1">
      <c r="A6436" s="32"/>
    </row>
    <row r="6437" spans="1:1">
      <c r="A6437" s="32"/>
    </row>
    <row r="6438" spans="1:1">
      <c r="A6438" s="32"/>
    </row>
    <row r="6439" spans="1:1">
      <c r="A6439" s="32"/>
    </row>
    <row r="6440" spans="1:1">
      <c r="A6440" s="32"/>
    </row>
    <row r="6441" spans="1:1">
      <c r="A6441" s="32"/>
    </row>
    <row r="6442" spans="1:1">
      <c r="A6442" s="32"/>
    </row>
    <row r="6443" spans="1:1">
      <c r="A6443" s="32"/>
    </row>
    <row r="6444" spans="1:1">
      <c r="A6444" s="32"/>
    </row>
    <row r="6445" spans="1:1">
      <c r="A6445" s="32"/>
    </row>
    <row r="6446" spans="1:1">
      <c r="A6446" s="32"/>
    </row>
    <row r="6447" spans="1:1">
      <c r="A6447" s="32"/>
    </row>
    <row r="6448" spans="1:1">
      <c r="A6448" s="32"/>
    </row>
    <row r="6449" spans="1:1">
      <c r="A6449" s="32"/>
    </row>
    <row r="6450" spans="1:1">
      <c r="A6450" s="32"/>
    </row>
    <row r="6451" spans="1:1">
      <c r="A6451" s="32"/>
    </row>
    <row r="6452" spans="1:1">
      <c r="A6452" s="32"/>
    </row>
    <row r="6453" spans="1:1">
      <c r="A6453" s="32"/>
    </row>
    <row r="6454" spans="1:1">
      <c r="A6454" s="32"/>
    </row>
    <row r="6455" spans="1:1">
      <c r="A6455" s="32"/>
    </row>
    <row r="6456" spans="1:1">
      <c r="A6456" s="32"/>
    </row>
    <row r="6457" spans="1:1">
      <c r="A6457" s="32"/>
    </row>
    <row r="6458" spans="1:1">
      <c r="A6458" s="32"/>
    </row>
    <row r="6459" spans="1:1">
      <c r="A6459" s="32"/>
    </row>
    <row r="6460" spans="1:1">
      <c r="A6460" s="32"/>
    </row>
    <row r="6461" spans="1:1">
      <c r="A6461" s="32"/>
    </row>
    <row r="6462" spans="1:1">
      <c r="A6462" s="32"/>
    </row>
    <row r="6463" spans="1:1">
      <c r="A6463" s="32"/>
    </row>
    <row r="6464" spans="1:1">
      <c r="A6464" s="32"/>
    </row>
    <row r="6465" spans="1:1">
      <c r="A6465" s="32"/>
    </row>
    <row r="6466" spans="1:1">
      <c r="A6466" s="32"/>
    </row>
    <row r="6467" spans="1:1">
      <c r="A6467" s="32"/>
    </row>
    <row r="6468" spans="1:1">
      <c r="A6468" s="32"/>
    </row>
    <row r="6469" spans="1:1">
      <c r="A6469" s="32"/>
    </row>
    <row r="6470" spans="1:1">
      <c r="A6470" s="32"/>
    </row>
    <row r="6471" spans="1:1">
      <c r="A6471" s="32"/>
    </row>
    <row r="6472" spans="1:1">
      <c r="A6472" s="32"/>
    </row>
    <row r="6473" spans="1:1">
      <c r="A6473" s="32"/>
    </row>
    <row r="6474" spans="1:1">
      <c r="A6474" s="32"/>
    </row>
    <row r="6475" spans="1:1">
      <c r="A6475" s="32"/>
    </row>
    <row r="6476" spans="1:1">
      <c r="A6476" s="32"/>
    </row>
    <row r="6477" spans="1:1">
      <c r="A6477" s="32"/>
    </row>
    <row r="6478" spans="1:1">
      <c r="A6478" s="32"/>
    </row>
    <row r="6479" spans="1:1">
      <c r="A6479" s="32"/>
    </row>
    <row r="6480" spans="1:1">
      <c r="A6480" s="32"/>
    </row>
    <row r="6481" spans="1:1">
      <c r="A6481" s="32"/>
    </row>
    <row r="6482" spans="1:1">
      <c r="A6482" s="32"/>
    </row>
    <row r="6483" spans="1:1">
      <c r="A6483" s="32"/>
    </row>
    <row r="6484" spans="1:1">
      <c r="A6484" s="32"/>
    </row>
    <row r="6485" spans="1:1">
      <c r="A6485" s="32"/>
    </row>
    <row r="6486" spans="1:1">
      <c r="A6486" s="32"/>
    </row>
    <row r="6487" spans="1:1">
      <c r="A6487" s="32"/>
    </row>
    <row r="6488" spans="1:1">
      <c r="A6488" s="32"/>
    </row>
    <row r="6489" spans="1:1">
      <c r="A6489" s="32"/>
    </row>
    <row r="6490" spans="1:1">
      <c r="A6490" s="32"/>
    </row>
    <row r="6491" spans="1:1">
      <c r="A6491" s="32"/>
    </row>
    <row r="6492" spans="1:1">
      <c r="A6492" s="32"/>
    </row>
    <row r="6493" spans="1:1">
      <c r="A6493" s="32"/>
    </row>
    <row r="6494" spans="1:1">
      <c r="A6494" s="32"/>
    </row>
    <row r="6495" spans="1:1">
      <c r="A6495" s="32"/>
    </row>
    <row r="6496" spans="1:1">
      <c r="A6496" s="32"/>
    </row>
    <row r="6497" spans="1:1">
      <c r="A6497" s="32"/>
    </row>
    <row r="6498" spans="1:1">
      <c r="A6498" s="32"/>
    </row>
    <row r="6499" spans="1:1">
      <c r="A6499" s="32"/>
    </row>
    <row r="6500" spans="1:1">
      <c r="A6500" s="32"/>
    </row>
    <row r="6501" spans="1:1">
      <c r="A6501" s="32"/>
    </row>
    <row r="6502" spans="1:1">
      <c r="A6502" s="32"/>
    </row>
    <row r="6503" spans="1:1">
      <c r="A6503" s="32"/>
    </row>
    <row r="6504" spans="1:1">
      <c r="A6504" s="32"/>
    </row>
    <row r="6505" spans="1:1">
      <c r="A6505" s="32"/>
    </row>
    <row r="6506" spans="1:1">
      <c r="A6506" s="32"/>
    </row>
    <row r="6507" spans="1:1">
      <c r="A6507" s="32"/>
    </row>
    <row r="6508" spans="1:1">
      <c r="A6508" s="32"/>
    </row>
    <row r="6509" spans="1:1">
      <c r="A6509" s="32"/>
    </row>
    <row r="6510" spans="1:1">
      <c r="A6510" s="32"/>
    </row>
    <row r="6511" spans="1:1">
      <c r="A6511" s="32"/>
    </row>
    <row r="6512" spans="1:1">
      <c r="A6512" s="32"/>
    </row>
    <row r="6513" spans="1:1">
      <c r="A6513" s="32"/>
    </row>
    <row r="6514" spans="1:1">
      <c r="A6514" s="32"/>
    </row>
    <row r="6515" spans="1:1">
      <c r="A6515" s="32"/>
    </row>
    <row r="6516" spans="1:1">
      <c r="A6516" s="32"/>
    </row>
    <row r="6517" spans="1:1">
      <c r="A6517" s="32"/>
    </row>
    <row r="6518" spans="1:1">
      <c r="A6518" s="32"/>
    </row>
    <row r="6519" spans="1:1">
      <c r="A6519" s="32"/>
    </row>
    <row r="6520" spans="1:1">
      <c r="A6520" s="32"/>
    </row>
    <row r="6521" spans="1:1">
      <c r="A6521" s="32"/>
    </row>
    <row r="6522" spans="1:1">
      <c r="A6522" s="32"/>
    </row>
    <row r="6523" spans="1:1">
      <c r="A6523" s="32"/>
    </row>
    <row r="6524" spans="1:1">
      <c r="A6524" s="32"/>
    </row>
    <row r="6525" spans="1:1">
      <c r="A6525" s="32"/>
    </row>
    <row r="6526" spans="1:1">
      <c r="A6526" s="32"/>
    </row>
    <row r="6527" spans="1:1">
      <c r="A6527" s="32"/>
    </row>
    <row r="6528" spans="1:1">
      <c r="A6528" s="32"/>
    </row>
    <row r="6529" spans="1:1">
      <c r="A6529" s="32"/>
    </row>
    <row r="6530" spans="1:1">
      <c r="A6530" s="32"/>
    </row>
    <row r="6531" spans="1:1">
      <c r="A6531" s="32"/>
    </row>
    <row r="6532" spans="1:1">
      <c r="A6532" s="32"/>
    </row>
    <row r="6533" spans="1:1">
      <c r="A6533" s="32"/>
    </row>
    <row r="6534" spans="1:1">
      <c r="A6534" s="32"/>
    </row>
    <row r="6535" spans="1:1">
      <c r="A6535" s="32"/>
    </row>
    <row r="6536" spans="1:1">
      <c r="A6536" s="32"/>
    </row>
    <row r="6537" spans="1:1">
      <c r="A6537" s="32"/>
    </row>
    <row r="6538" spans="1:1">
      <c r="A6538" s="32"/>
    </row>
    <row r="6539" spans="1:1">
      <c r="A6539" s="32"/>
    </row>
    <row r="6540" spans="1:1">
      <c r="A6540" s="32"/>
    </row>
    <row r="6541" spans="1:1">
      <c r="A6541" s="32"/>
    </row>
    <row r="6542" spans="1:1">
      <c r="A6542" s="32"/>
    </row>
    <row r="6543" spans="1:1">
      <c r="A6543" s="32"/>
    </row>
    <row r="6544" spans="1:1">
      <c r="A6544" s="32"/>
    </row>
    <row r="6545" spans="1:1">
      <c r="A6545" s="32"/>
    </row>
    <row r="6546" spans="1:1">
      <c r="A6546" s="32"/>
    </row>
    <row r="6547" spans="1:1">
      <c r="A6547" s="32"/>
    </row>
    <row r="6548" spans="1:1">
      <c r="A6548" s="32"/>
    </row>
    <row r="6549" spans="1:1">
      <c r="A6549" s="32"/>
    </row>
    <row r="6550" spans="1:1">
      <c r="A6550" s="32"/>
    </row>
    <row r="6551" spans="1:1">
      <c r="A6551" s="32"/>
    </row>
    <row r="6552" spans="1:1">
      <c r="A6552" s="32"/>
    </row>
    <row r="6553" spans="1:1">
      <c r="A6553" s="32"/>
    </row>
    <row r="6554" spans="1:1">
      <c r="A6554" s="32"/>
    </row>
    <row r="6555" spans="1:1">
      <c r="A6555" s="32"/>
    </row>
    <row r="6556" spans="1:1">
      <c r="A6556" s="32"/>
    </row>
    <row r="6557" spans="1:1">
      <c r="A6557" s="32"/>
    </row>
    <row r="6558" spans="1:1">
      <c r="A6558" s="32"/>
    </row>
    <row r="6559" spans="1:1">
      <c r="A6559" s="32"/>
    </row>
    <row r="6560" spans="1:1">
      <c r="A6560" s="32"/>
    </row>
    <row r="6561" spans="1:1">
      <c r="A6561" s="32"/>
    </row>
    <row r="6562" spans="1:1">
      <c r="A6562" s="32"/>
    </row>
    <row r="6563" spans="1:1">
      <c r="A6563" s="32"/>
    </row>
    <row r="6564" spans="1:1">
      <c r="A6564" s="32"/>
    </row>
    <row r="6565" spans="1:1">
      <c r="A6565" s="32"/>
    </row>
    <row r="6566" spans="1:1">
      <c r="A6566" s="32"/>
    </row>
    <row r="6567" spans="1:1">
      <c r="A6567" s="32"/>
    </row>
    <row r="6568" spans="1:1">
      <c r="A6568" s="32"/>
    </row>
    <row r="6569" spans="1:1">
      <c r="A6569" s="32"/>
    </row>
    <row r="6570" spans="1:1">
      <c r="A6570" s="32"/>
    </row>
    <row r="6571" spans="1:1">
      <c r="A6571" s="32"/>
    </row>
    <row r="6572" spans="1:1">
      <c r="A6572" s="32"/>
    </row>
    <row r="6573" spans="1:1">
      <c r="A6573" s="32"/>
    </row>
    <row r="6574" spans="1:1">
      <c r="A6574" s="32"/>
    </row>
    <row r="6575" spans="1:1">
      <c r="A6575" s="32"/>
    </row>
    <row r="6576" spans="1:1">
      <c r="A6576" s="32"/>
    </row>
    <row r="6577" spans="1:1">
      <c r="A6577" s="32"/>
    </row>
    <row r="6578" spans="1:1">
      <c r="A6578" s="32"/>
    </row>
    <row r="6579" spans="1:1">
      <c r="A6579" s="32"/>
    </row>
    <row r="6580" spans="1:1">
      <c r="A6580" s="32"/>
    </row>
    <row r="6581" spans="1:1">
      <c r="A6581" s="32"/>
    </row>
    <row r="6582" spans="1:1">
      <c r="A6582" s="32"/>
    </row>
    <row r="6583" spans="1:1">
      <c r="A6583" s="32"/>
    </row>
    <row r="6584" spans="1:1">
      <c r="A6584" s="32"/>
    </row>
    <row r="6585" spans="1:1">
      <c r="A6585" s="32"/>
    </row>
    <row r="6586" spans="1:1">
      <c r="A6586" s="32"/>
    </row>
    <row r="6587" spans="1:1">
      <c r="A6587" s="32"/>
    </row>
    <row r="6588" spans="1:1">
      <c r="A6588" s="32"/>
    </row>
    <row r="6589" spans="1:1">
      <c r="A6589" s="32"/>
    </row>
    <row r="6590" spans="1:1">
      <c r="A6590" s="32"/>
    </row>
    <row r="6591" spans="1:1">
      <c r="A6591" s="32"/>
    </row>
    <row r="6592" spans="1:1">
      <c r="A6592" s="32"/>
    </row>
    <row r="6593" spans="1:1">
      <c r="A6593" s="32"/>
    </row>
    <row r="6594" spans="1:1">
      <c r="A6594" s="32"/>
    </row>
    <row r="6595" spans="1:1">
      <c r="A6595" s="32"/>
    </row>
    <row r="6596" spans="1:1">
      <c r="A6596" s="32"/>
    </row>
    <row r="6597" spans="1:1">
      <c r="A6597" s="32"/>
    </row>
    <row r="6598" spans="1:1">
      <c r="A6598" s="32"/>
    </row>
    <row r="6599" spans="1:1">
      <c r="A6599" s="32"/>
    </row>
    <row r="6600" spans="1:1">
      <c r="A6600" s="32"/>
    </row>
    <row r="6601" spans="1:1">
      <c r="A6601" s="32"/>
    </row>
    <row r="6602" spans="1:1">
      <c r="A6602" s="32"/>
    </row>
    <row r="6603" spans="1:1">
      <c r="A6603" s="32"/>
    </row>
    <row r="6604" spans="1:1">
      <c r="A6604" s="32"/>
    </row>
    <row r="6605" spans="1:1">
      <c r="A6605" s="32"/>
    </row>
    <row r="6606" spans="1:1">
      <c r="A6606" s="32"/>
    </row>
    <row r="6607" spans="1:1">
      <c r="A6607" s="32"/>
    </row>
    <row r="6608" spans="1:1">
      <c r="A6608" s="32"/>
    </row>
    <row r="6609" spans="1:1">
      <c r="A6609" s="32"/>
    </row>
    <row r="6610" spans="1:1">
      <c r="A6610" s="32"/>
    </row>
    <row r="6611" spans="1:1">
      <c r="A6611" s="32"/>
    </row>
    <row r="6612" spans="1:1">
      <c r="A6612" s="32"/>
    </row>
    <row r="6613" spans="1:1">
      <c r="A6613" s="32"/>
    </row>
    <row r="6614" spans="1:1">
      <c r="A6614" s="32"/>
    </row>
    <row r="6615" spans="1:1">
      <c r="A6615" s="32"/>
    </row>
    <row r="6616" spans="1:1">
      <c r="A6616" s="32"/>
    </row>
    <row r="6617" spans="1:1">
      <c r="A6617" s="32"/>
    </row>
    <row r="6618" spans="1:1">
      <c r="A6618" s="32"/>
    </row>
    <row r="6619" spans="1:1">
      <c r="A6619" s="32"/>
    </row>
    <row r="6620" spans="1:1">
      <c r="A6620" s="32"/>
    </row>
    <row r="6621" spans="1:1">
      <c r="A6621" s="32"/>
    </row>
    <row r="6622" spans="1:1">
      <c r="A6622" s="32"/>
    </row>
    <row r="6623" spans="1:1">
      <c r="A6623" s="32"/>
    </row>
    <row r="6624" spans="1:1">
      <c r="A6624" s="32"/>
    </row>
    <row r="6625" spans="1:1">
      <c r="A6625" s="32"/>
    </row>
    <row r="6626" spans="1:1">
      <c r="A6626" s="32"/>
    </row>
    <row r="6627" spans="1:1">
      <c r="A6627" s="32"/>
    </row>
    <row r="6628" spans="1:1">
      <c r="A6628" s="32"/>
    </row>
    <row r="6629" spans="1:1">
      <c r="A6629" s="32"/>
    </row>
    <row r="6630" spans="1:1">
      <c r="A6630" s="32"/>
    </row>
    <row r="6631" spans="1:1">
      <c r="A6631" s="32"/>
    </row>
    <row r="6632" spans="1:1">
      <c r="A6632" s="32"/>
    </row>
    <row r="6633" spans="1:1">
      <c r="A6633" s="32"/>
    </row>
    <row r="6634" spans="1:1">
      <c r="A6634" s="32"/>
    </row>
    <row r="6635" spans="1:1">
      <c r="A6635" s="32"/>
    </row>
    <row r="6636" spans="1:1">
      <c r="A6636" s="32"/>
    </row>
    <row r="6637" spans="1:1">
      <c r="A6637" s="32"/>
    </row>
    <row r="6638" spans="1:1">
      <c r="A6638" s="32"/>
    </row>
    <row r="6639" spans="1:1">
      <c r="A6639" s="32"/>
    </row>
    <row r="6640" spans="1:1">
      <c r="A6640" s="32"/>
    </row>
    <row r="6641" spans="1:1">
      <c r="A6641" s="32"/>
    </row>
    <row r="6642" spans="1:1">
      <c r="A6642" s="32"/>
    </row>
    <row r="6643" spans="1:1">
      <c r="A6643" s="32"/>
    </row>
    <row r="6644" spans="1:1">
      <c r="A6644" s="32"/>
    </row>
    <row r="6645" spans="1:1">
      <c r="A6645" s="32"/>
    </row>
    <row r="6646" spans="1:1">
      <c r="A6646" s="32"/>
    </row>
    <row r="6647" spans="1:1">
      <c r="A6647" s="32"/>
    </row>
    <row r="6648" spans="1:1">
      <c r="A6648" s="32"/>
    </row>
    <row r="6649" spans="1:1">
      <c r="A6649" s="32"/>
    </row>
    <row r="6650" spans="1:1">
      <c r="A6650" s="32"/>
    </row>
    <row r="6651" spans="1:1">
      <c r="A6651" s="32"/>
    </row>
    <row r="6652" spans="1:1">
      <c r="A6652" s="32"/>
    </row>
    <row r="6653" spans="1:1">
      <c r="A6653" s="32"/>
    </row>
    <row r="6654" spans="1:1">
      <c r="A6654" s="32"/>
    </row>
    <row r="6655" spans="1:1">
      <c r="A6655" s="32"/>
    </row>
    <row r="6656" spans="1:1">
      <c r="A6656" s="32"/>
    </row>
    <row r="6657" spans="1:1">
      <c r="A6657" s="32"/>
    </row>
    <row r="6658" spans="1:1">
      <c r="A6658" s="32"/>
    </row>
    <row r="6659" spans="1:1">
      <c r="A6659" s="32"/>
    </row>
    <row r="6660" spans="1:1">
      <c r="A6660" s="32"/>
    </row>
    <row r="6661" spans="1:1">
      <c r="A6661" s="32"/>
    </row>
    <row r="6662" spans="1:1">
      <c r="A6662" s="32"/>
    </row>
    <row r="6663" spans="1:1">
      <c r="A6663" s="32"/>
    </row>
    <row r="6664" spans="1:1">
      <c r="A6664" s="32"/>
    </row>
    <row r="6665" spans="1:1">
      <c r="A6665" s="32"/>
    </row>
    <row r="6666" spans="1:1">
      <c r="A6666" s="32"/>
    </row>
    <row r="6667" spans="1:1">
      <c r="A6667" s="32"/>
    </row>
    <row r="6668" spans="1:1">
      <c r="A6668" s="32"/>
    </row>
    <row r="6669" spans="1:1">
      <c r="A6669" s="32"/>
    </row>
    <row r="6670" spans="1:1">
      <c r="A6670" s="32"/>
    </row>
    <row r="6671" spans="1:1">
      <c r="A6671" s="32"/>
    </row>
    <row r="6672" spans="1:1">
      <c r="A6672" s="32"/>
    </row>
    <row r="6673" spans="1:1">
      <c r="A6673" s="32"/>
    </row>
    <row r="6674" spans="1:1">
      <c r="A6674" s="32"/>
    </row>
    <row r="6675" spans="1:1">
      <c r="A6675" s="32"/>
    </row>
    <row r="6676" spans="1:1">
      <c r="A6676" s="32"/>
    </row>
    <row r="6677" spans="1:1">
      <c r="A6677" s="32"/>
    </row>
    <row r="6678" spans="1:1">
      <c r="A6678" s="32"/>
    </row>
    <row r="6679" spans="1:1">
      <c r="A6679" s="32"/>
    </row>
    <row r="6680" spans="1:1">
      <c r="A6680" s="32"/>
    </row>
    <row r="6681" spans="1:1">
      <c r="A6681" s="32"/>
    </row>
    <row r="6682" spans="1:1">
      <c r="A6682" s="32"/>
    </row>
    <row r="6683" spans="1:1">
      <c r="A6683" s="32"/>
    </row>
    <row r="6684" spans="1:1">
      <c r="A6684" s="32"/>
    </row>
    <row r="6685" spans="1:1">
      <c r="A6685" s="32"/>
    </row>
    <row r="6686" spans="1:1">
      <c r="A6686" s="32"/>
    </row>
    <row r="6687" spans="1:1">
      <c r="A6687" s="32"/>
    </row>
    <row r="6688" spans="1:1">
      <c r="A6688" s="32"/>
    </row>
    <row r="6689" spans="1:1">
      <c r="A6689" s="32"/>
    </row>
    <row r="6690" spans="1:1">
      <c r="A6690" s="32"/>
    </row>
    <row r="6691" spans="1:1">
      <c r="A6691" s="32"/>
    </row>
    <row r="6692" spans="1:1">
      <c r="A6692" s="32"/>
    </row>
    <row r="6693" spans="1:1">
      <c r="A6693" s="32"/>
    </row>
    <row r="6694" spans="1:1">
      <c r="A6694" s="32"/>
    </row>
    <row r="6695" spans="1:1">
      <c r="A6695" s="32"/>
    </row>
    <row r="6696" spans="1:1">
      <c r="A6696" s="32"/>
    </row>
    <row r="6697" spans="1:1">
      <c r="A6697" s="32"/>
    </row>
    <row r="6698" spans="1:1">
      <c r="A6698" s="32"/>
    </row>
    <row r="6699" spans="1:1">
      <c r="A6699" s="32"/>
    </row>
    <row r="6700" spans="1:1">
      <c r="A6700" s="32"/>
    </row>
    <row r="6701" spans="1:1">
      <c r="A6701" s="32"/>
    </row>
    <row r="6702" spans="1:1">
      <c r="A6702" s="32"/>
    </row>
    <row r="6703" spans="1:1">
      <c r="A6703" s="32"/>
    </row>
    <row r="6704" spans="1:1">
      <c r="A6704" s="32"/>
    </row>
    <row r="6705" spans="1:1">
      <c r="A6705" s="32"/>
    </row>
    <row r="6706" spans="1:1">
      <c r="A6706" s="32"/>
    </row>
    <row r="6707" spans="1:1">
      <c r="A6707" s="32"/>
    </row>
    <row r="6708" spans="1:1">
      <c r="A6708" s="32"/>
    </row>
    <row r="6709" spans="1:1">
      <c r="A6709" s="32"/>
    </row>
    <row r="6710" spans="1:1">
      <c r="A6710" s="32"/>
    </row>
    <row r="6711" spans="1:1">
      <c r="A6711" s="32"/>
    </row>
    <row r="6712" spans="1:1">
      <c r="A6712" s="32"/>
    </row>
    <row r="6713" spans="1:1">
      <c r="A6713" s="32"/>
    </row>
    <row r="6714" spans="1:1">
      <c r="A6714" s="32"/>
    </row>
    <row r="6715" spans="1:1">
      <c r="A6715" s="32"/>
    </row>
    <row r="6716" spans="1:1">
      <c r="A6716" s="32"/>
    </row>
    <row r="6717" spans="1:1">
      <c r="A6717" s="32"/>
    </row>
    <row r="6718" spans="1:1">
      <c r="A6718" s="32"/>
    </row>
    <row r="6719" spans="1:1">
      <c r="A6719" s="32"/>
    </row>
    <row r="6720" spans="1:1">
      <c r="A6720" s="32"/>
    </row>
    <row r="6721" spans="1:1">
      <c r="A6721" s="32"/>
    </row>
    <row r="6722" spans="1:1">
      <c r="A6722" s="32"/>
    </row>
    <row r="6723" spans="1:1">
      <c r="A6723" s="32"/>
    </row>
    <row r="6724" spans="1:1">
      <c r="A6724" s="32"/>
    </row>
    <row r="6725" spans="1:1">
      <c r="A6725" s="32"/>
    </row>
    <row r="6726" spans="1:1">
      <c r="A6726" s="32"/>
    </row>
    <row r="6727" spans="1:1">
      <c r="A6727" s="32"/>
    </row>
    <row r="6728" spans="1:1">
      <c r="A6728" s="32"/>
    </row>
    <row r="6729" spans="1:1">
      <c r="A6729" s="32"/>
    </row>
    <row r="6730" spans="1:1">
      <c r="A6730" s="32"/>
    </row>
    <row r="6731" spans="1:1">
      <c r="A6731" s="32"/>
    </row>
    <row r="6732" spans="1:1">
      <c r="A6732" s="32"/>
    </row>
    <row r="6733" spans="1:1">
      <c r="A6733" s="32"/>
    </row>
    <row r="6734" spans="1:1">
      <c r="A6734" s="32"/>
    </row>
    <row r="6735" spans="1:1">
      <c r="A6735" s="32"/>
    </row>
    <row r="6736" spans="1:1">
      <c r="A6736" s="32"/>
    </row>
    <row r="6737" spans="1:1">
      <c r="A6737" s="32"/>
    </row>
    <row r="6738" spans="1:1">
      <c r="A6738" s="32"/>
    </row>
    <row r="6739" spans="1:1">
      <c r="A6739" s="32"/>
    </row>
    <row r="6740" spans="1:1">
      <c r="A6740" s="32"/>
    </row>
    <row r="6741" spans="1:1">
      <c r="A6741" s="32"/>
    </row>
    <row r="6742" spans="1:1">
      <c r="A6742" s="32"/>
    </row>
    <row r="6743" spans="1:1">
      <c r="A6743" s="32"/>
    </row>
    <row r="6744" spans="1:1">
      <c r="A6744" s="32"/>
    </row>
    <row r="6745" spans="1:1">
      <c r="A6745" s="32"/>
    </row>
    <row r="6746" spans="1:1">
      <c r="A6746" s="32"/>
    </row>
    <row r="6747" spans="1:1">
      <c r="A6747" s="32"/>
    </row>
    <row r="6748" spans="1:1">
      <c r="A6748" s="32"/>
    </row>
    <row r="6749" spans="1:1">
      <c r="A6749" s="32"/>
    </row>
    <row r="6750" spans="1:1">
      <c r="A6750" s="32"/>
    </row>
    <row r="6751" spans="1:1">
      <c r="A6751" s="32"/>
    </row>
    <row r="6752" spans="1:1">
      <c r="A6752" s="32"/>
    </row>
    <row r="6753" spans="1:1">
      <c r="A6753" s="32"/>
    </row>
    <row r="6754" spans="1:1">
      <c r="A6754" s="32"/>
    </row>
    <row r="6755" spans="1:1">
      <c r="A6755" s="32"/>
    </row>
    <row r="6756" spans="1:1">
      <c r="A6756" s="32"/>
    </row>
    <row r="6757" spans="1:1">
      <c r="A6757" s="32"/>
    </row>
    <row r="6758" spans="1:1">
      <c r="A6758" s="32"/>
    </row>
    <row r="6759" spans="1:1">
      <c r="A6759" s="32"/>
    </row>
    <row r="6760" spans="1:1">
      <c r="A6760" s="32"/>
    </row>
    <row r="6761" spans="1:1">
      <c r="A6761" s="32"/>
    </row>
    <row r="6762" spans="1:1">
      <c r="A6762" s="32"/>
    </row>
    <row r="6763" spans="1:1">
      <c r="A6763" s="32"/>
    </row>
    <row r="6764" spans="1:1">
      <c r="A6764" s="32"/>
    </row>
    <row r="6765" spans="1:1">
      <c r="A6765" s="32"/>
    </row>
    <row r="6766" spans="1:1">
      <c r="A6766" s="32"/>
    </row>
    <row r="6767" spans="1:1">
      <c r="A6767" s="32"/>
    </row>
    <row r="6768" spans="1:1">
      <c r="A6768" s="32"/>
    </row>
    <row r="6769" spans="1:1">
      <c r="A6769" s="32"/>
    </row>
    <row r="6770" spans="1:1">
      <c r="A6770" s="32"/>
    </row>
    <row r="6771" spans="1:1">
      <c r="A6771" s="32"/>
    </row>
    <row r="6772" spans="1:1">
      <c r="A6772" s="32"/>
    </row>
    <row r="6773" spans="1:1">
      <c r="A6773" s="32"/>
    </row>
    <row r="6774" spans="1:1">
      <c r="A6774" s="32"/>
    </row>
    <row r="6775" spans="1:1">
      <c r="A6775" s="32"/>
    </row>
    <row r="6776" spans="1:1">
      <c r="A6776" s="32"/>
    </row>
    <row r="6777" spans="1:1">
      <c r="A6777" s="32"/>
    </row>
    <row r="6778" spans="1:1">
      <c r="A6778" s="32"/>
    </row>
    <row r="6779" spans="1:1">
      <c r="A6779" s="32"/>
    </row>
    <row r="6780" spans="1:1">
      <c r="A6780" s="32"/>
    </row>
    <row r="6781" spans="1:1">
      <c r="A6781" s="32"/>
    </row>
    <row r="6782" spans="1:1">
      <c r="A6782" s="32"/>
    </row>
    <row r="6783" spans="1:1">
      <c r="A6783" s="32"/>
    </row>
    <row r="6784" spans="1:1">
      <c r="A6784" s="32"/>
    </row>
    <row r="6785" spans="1:1">
      <c r="A6785" s="32"/>
    </row>
    <row r="6786" spans="1:1">
      <c r="A6786" s="32"/>
    </row>
    <row r="6787" spans="1:1">
      <c r="A6787" s="32"/>
    </row>
    <row r="6788" spans="1:1">
      <c r="A6788" s="32"/>
    </row>
    <row r="6789" spans="1:1">
      <c r="A6789" s="32"/>
    </row>
    <row r="6790" spans="1:1">
      <c r="A6790" s="32"/>
    </row>
    <row r="6791" spans="1:1">
      <c r="A6791" s="32"/>
    </row>
    <row r="6792" spans="1:1">
      <c r="A6792" s="32"/>
    </row>
    <row r="6793" spans="1:1">
      <c r="A6793" s="32"/>
    </row>
    <row r="6794" spans="1:1">
      <c r="A6794" s="32"/>
    </row>
    <row r="6795" spans="1:1">
      <c r="A6795" s="32"/>
    </row>
    <row r="6796" spans="1:1">
      <c r="A6796" s="32"/>
    </row>
    <row r="6797" spans="1:1">
      <c r="A6797" s="32"/>
    </row>
    <row r="6798" spans="1:1">
      <c r="A6798" s="32"/>
    </row>
    <row r="6799" spans="1:1">
      <c r="A6799" s="32"/>
    </row>
    <row r="6800" spans="1:1">
      <c r="A6800" s="32"/>
    </row>
    <row r="6801" spans="1:1">
      <c r="A6801" s="32"/>
    </row>
    <row r="6802" spans="1:1">
      <c r="A6802" s="32"/>
    </row>
    <row r="6803" spans="1:1">
      <c r="A6803" s="32"/>
    </row>
    <row r="6804" spans="1:1">
      <c r="A6804" s="32"/>
    </row>
    <row r="6805" spans="1:1">
      <c r="A6805" s="32"/>
    </row>
    <row r="6806" spans="1:1">
      <c r="A6806" s="32"/>
    </row>
    <row r="6807" spans="1:1">
      <c r="A6807" s="32"/>
    </row>
    <row r="6808" spans="1:1">
      <c r="A6808" s="32"/>
    </row>
    <row r="6809" spans="1:1">
      <c r="A6809" s="32"/>
    </row>
    <row r="6810" spans="1:1">
      <c r="A6810" s="32"/>
    </row>
    <row r="6811" spans="1:1">
      <c r="A6811" s="32"/>
    </row>
    <row r="6812" spans="1:1">
      <c r="A6812" s="32"/>
    </row>
    <row r="6813" spans="1:1">
      <c r="A6813" s="32"/>
    </row>
    <row r="6814" spans="1:1">
      <c r="A6814" s="32"/>
    </row>
    <row r="6815" spans="1:1">
      <c r="A6815" s="32"/>
    </row>
    <row r="6816" spans="1:1">
      <c r="A6816" s="32"/>
    </row>
    <row r="6817" spans="1:1">
      <c r="A6817" s="32"/>
    </row>
    <row r="6818" spans="1:1">
      <c r="A6818" s="32"/>
    </row>
    <row r="6819" spans="1:1">
      <c r="A6819" s="32"/>
    </row>
    <row r="6820" spans="1:1">
      <c r="A6820" s="32"/>
    </row>
    <row r="6821" spans="1:1">
      <c r="A6821" s="32"/>
    </row>
    <row r="6822" spans="1:1">
      <c r="A6822" s="32"/>
    </row>
    <row r="6823" spans="1:1">
      <c r="A6823" s="32"/>
    </row>
    <row r="6824" spans="1:1">
      <c r="A6824" s="32"/>
    </row>
    <row r="6825" spans="1:1">
      <c r="A6825" s="32"/>
    </row>
    <row r="6826" spans="1:1">
      <c r="A6826" s="32"/>
    </row>
    <row r="6827" spans="1:1">
      <c r="A6827" s="32"/>
    </row>
    <row r="6828" spans="1:1">
      <c r="A6828" s="32"/>
    </row>
    <row r="6829" spans="1:1">
      <c r="A6829" s="32"/>
    </row>
    <row r="6830" spans="1:1">
      <c r="A6830" s="32"/>
    </row>
    <row r="6831" spans="1:1">
      <c r="A6831" s="32"/>
    </row>
    <row r="6832" spans="1:1">
      <c r="A6832" s="32"/>
    </row>
    <row r="6833" spans="1:1">
      <c r="A6833" s="32"/>
    </row>
    <row r="6834" spans="1:1">
      <c r="A6834" s="32"/>
    </row>
    <row r="6835" spans="1:1">
      <c r="A6835" s="32"/>
    </row>
    <row r="6836" spans="1:1">
      <c r="A6836" s="32"/>
    </row>
    <row r="6837" spans="1:1">
      <c r="A6837" s="32"/>
    </row>
    <row r="6838" spans="1:1">
      <c r="A6838" s="32"/>
    </row>
    <row r="6839" spans="1:1">
      <c r="A6839" s="32"/>
    </row>
    <row r="6840" spans="1:1">
      <c r="A6840" s="32"/>
    </row>
    <row r="6841" spans="1:1">
      <c r="A6841" s="32"/>
    </row>
    <row r="6842" spans="1:1">
      <c r="A6842" s="32"/>
    </row>
    <row r="6843" spans="1:1">
      <c r="A6843" s="32"/>
    </row>
    <row r="6844" spans="1:1">
      <c r="A6844" s="32"/>
    </row>
    <row r="6845" spans="1:1">
      <c r="A6845" s="32"/>
    </row>
    <row r="6846" spans="1:1">
      <c r="A6846" s="32"/>
    </row>
    <row r="6847" spans="1:1">
      <c r="A6847" s="32"/>
    </row>
    <row r="6848" spans="1:1">
      <c r="A6848" s="32"/>
    </row>
    <row r="6849" spans="1:1">
      <c r="A6849" s="32"/>
    </row>
    <row r="6850" spans="1:1">
      <c r="A6850" s="32"/>
    </row>
    <row r="6851" spans="1:1">
      <c r="A6851" s="32"/>
    </row>
    <row r="6852" spans="1:1">
      <c r="A6852" s="32"/>
    </row>
    <row r="6853" spans="1:1">
      <c r="A6853" s="32"/>
    </row>
    <row r="6854" spans="1:1">
      <c r="A6854" s="32"/>
    </row>
    <row r="6855" spans="1:1">
      <c r="A6855" s="32"/>
    </row>
    <row r="6856" spans="1:1">
      <c r="A6856" s="32"/>
    </row>
    <row r="6857" spans="1:1">
      <c r="A6857" s="32"/>
    </row>
    <row r="6858" spans="1:1">
      <c r="A6858" s="32"/>
    </row>
    <row r="6859" spans="1:1">
      <c r="A6859" s="32"/>
    </row>
    <row r="6860" spans="1:1">
      <c r="A6860" s="32"/>
    </row>
    <row r="6861" spans="1:1">
      <c r="A6861" s="32"/>
    </row>
    <row r="6862" spans="1:1">
      <c r="A6862" s="32"/>
    </row>
    <row r="6863" spans="1:1">
      <c r="A6863" s="32"/>
    </row>
    <row r="6864" spans="1:1">
      <c r="A6864" s="32"/>
    </row>
    <row r="6865" spans="1:1">
      <c r="A6865" s="32"/>
    </row>
    <row r="6866" spans="1:1">
      <c r="A6866" s="32"/>
    </row>
    <row r="6867" spans="1:1">
      <c r="A6867" s="32"/>
    </row>
    <row r="6868" spans="1:1">
      <c r="A6868" s="32"/>
    </row>
    <row r="6869" spans="1:1">
      <c r="A6869" s="32"/>
    </row>
    <row r="6870" spans="1:1">
      <c r="A6870" s="32"/>
    </row>
    <row r="6871" spans="1:1">
      <c r="A6871" s="32"/>
    </row>
    <row r="6872" spans="1:1">
      <c r="A6872" s="32"/>
    </row>
    <row r="6873" spans="1:1">
      <c r="A6873" s="32"/>
    </row>
    <row r="6874" spans="1:1">
      <c r="A6874" s="32"/>
    </row>
    <row r="6875" spans="1:1">
      <c r="A6875" s="32"/>
    </row>
    <row r="6876" spans="1:1">
      <c r="A6876" s="32"/>
    </row>
    <row r="6877" spans="1:1">
      <c r="A6877" s="32"/>
    </row>
    <row r="6878" spans="1:1">
      <c r="A6878" s="32"/>
    </row>
    <row r="6879" spans="1:1">
      <c r="A6879" s="32"/>
    </row>
    <row r="6880" spans="1:1">
      <c r="A6880" s="32"/>
    </row>
    <row r="6881" spans="1:1">
      <c r="A6881" s="32"/>
    </row>
    <row r="6882" spans="1:1">
      <c r="A6882" s="32"/>
    </row>
    <row r="6883" spans="1:1">
      <c r="A6883" s="32"/>
    </row>
    <row r="6884" spans="1:1">
      <c r="A6884" s="32"/>
    </row>
    <row r="6885" spans="1:1">
      <c r="A6885" s="32"/>
    </row>
    <row r="6886" spans="1:1">
      <c r="A6886" s="32"/>
    </row>
    <row r="6887" spans="1:1">
      <c r="A6887" s="32"/>
    </row>
    <row r="6888" spans="1:1">
      <c r="A6888" s="32"/>
    </row>
    <row r="6889" spans="1:1">
      <c r="A6889" s="32"/>
    </row>
    <row r="6890" spans="1:1">
      <c r="A6890" s="32"/>
    </row>
    <row r="6891" spans="1:1">
      <c r="A6891" s="32"/>
    </row>
    <row r="6892" spans="1:1">
      <c r="A6892" s="32"/>
    </row>
    <row r="6893" spans="1:1">
      <c r="A6893" s="32"/>
    </row>
    <row r="6894" spans="1:1">
      <c r="A6894" s="32"/>
    </row>
    <row r="6895" spans="1:1">
      <c r="A6895" s="32"/>
    </row>
    <row r="6896" spans="1:1">
      <c r="A6896" s="32"/>
    </row>
    <row r="6897" spans="1:1">
      <c r="A6897" s="32"/>
    </row>
    <row r="6898" spans="1:1">
      <c r="A6898" s="32"/>
    </row>
    <row r="6899" spans="1:1">
      <c r="A6899" s="32"/>
    </row>
    <row r="6900" spans="1:1">
      <c r="A6900" s="32"/>
    </row>
    <row r="6901" spans="1:1">
      <c r="A6901" s="32"/>
    </row>
    <row r="6902" spans="1:1">
      <c r="A6902" s="32"/>
    </row>
    <row r="6903" spans="1:1">
      <c r="A6903" s="32"/>
    </row>
    <row r="6904" spans="1:1">
      <c r="A6904" s="32"/>
    </row>
    <row r="6905" spans="1:1">
      <c r="A6905" s="32"/>
    </row>
    <row r="6906" spans="1:1">
      <c r="A6906" s="32"/>
    </row>
    <row r="6907" spans="1:1">
      <c r="A6907" s="32"/>
    </row>
    <row r="6908" spans="1:1">
      <c r="A6908" s="32"/>
    </row>
    <row r="6909" spans="1:1">
      <c r="A6909" s="32"/>
    </row>
    <row r="6910" spans="1:1">
      <c r="A6910" s="32"/>
    </row>
    <row r="6911" spans="1:1">
      <c r="A6911" s="32"/>
    </row>
    <row r="6912" spans="1:1">
      <c r="A6912" s="32"/>
    </row>
    <row r="6913" spans="1:1">
      <c r="A6913" s="32"/>
    </row>
    <row r="6914" spans="1:1">
      <c r="A6914" s="32"/>
    </row>
    <row r="6915" spans="1:1">
      <c r="A6915" s="32"/>
    </row>
    <row r="6916" spans="1:1">
      <c r="A6916" s="32"/>
    </row>
    <row r="6917" spans="1:1">
      <c r="A6917" s="32"/>
    </row>
    <row r="6918" spans="1:1">
      <c r="A6918" s="32"/>
    </row>
    <row r="6919" spans="1:1">
      <c r="A6919" s="32"/>
    </row>
    <row r="6920" spans="1:1">
      <c r="A6920" s="32"/>
    </row>
    <row r="6921" spans="1:1">
      <c r="A6921" s="32"/>
    </row>
    <row r="6922" spans="1:1">
      <c r="A6922" s="32"/>
    </row>
    <row r="6923" spans="1:1">
      <c r="A6923" s="32"/>
    </row>
    <row r="6924" spans="1:1">
      <c r="A6924" s="32"/>
    </row>
    <row r="6925" spans="1:1">
      <c r="A6925" s="32"/>
    </row>
    <row r="6926" spans="1:1">
      <c r="A6926" s="32"/>
    </row>
    <row r="6927" spans="1:1">
      <c r="A6927" s="32"/>
    </row>
    <row r="6928" spans="1:1">
      <c r="A6928" s="32"/>
    </row>
    <row r="6929" spans="1:1">
      <c r="A6929" s="32"/>
    </row>
    <row r="6930" spans="1:1">
      <c r="A6930" s="32"/>
    </row>
    <row r="6931" spans="1:1">
      <c r="A6931" s="32"/>
    </row>
    <row r="6932" spans="1:1">
      <c r="A6932" s="32"/>
    </row>
    <row r="6933" spans="1:1">
      <c r="A6933" s="32"/>
    </row>
    <row r="6934" spans="1:1">
      <c r="A6934" s="32"/>
    </row>
    <row r="6935" spans="1:1">
      <c r="A6935" s="32"/>
    </row>
    <row r="6936" spans="1:1">
      <c r="A6936" s="32"/>
    </row>
    <row r="6937" spans="1:1">
      <c r="A6937" s="32"/>
    </row>
    <row r="6938" spans="1:1">
      <c r="A6938" s="32"/>
    </row>
    <row r="6939" spans="1:1">
      <c r="A6939" s="32"/>
    </row>
    <row r="6940" spans="1:1">
      <c r="A6940" s="32"/>
    </row>
    <row r="6941" spans="1:1">
      <c r="A6941" s="32"/>
    </row>
    <row r="6942" spans="1:1">
      <c r="A6942" s="32"/>
    </row>
    <row r="6943" spans="1:1">
      <c r="A6943" s="32"/>
    </row>
    <row r="6944" spans="1:1">
      <c r="A6944" s="32"/>
    </row>
    <row r="6945" spans="1:1">
      <c r="A6945" s="32"/>
    </row>
    <row r="6946" spans="1:1">
      <c r="A6946" s="32"/>
    </row>
    <row r="6947" spans="1:1">
      <c r="A6947" s="32"/>
    </row>
    <row r="6948" spans="1:1">
      <c r="A6948" s="32"/>
    </row>
    <row r="6949" spans="1:1">
      <c r="A6949" s="32"/>
    </row>
    <row r="6950" spans="1:1">
      <c r="A6950" s="32"/>
    </row>
    <row r="6951" spans="1:1">
      <c r="A6951" s="32"/>
    </row>
    <row r="6952" spans="1:1">
      <c r="A6952" s="32"/>
    </row>
    <row r="6953" spans="1:1">
      <c r="A6953" s="32"/>
    </row>
    <row r="6954" spans="1:1">
      <c r="A6954" s="32"/>
    </row>
    <row r="6955" spans="1:1">
      <c r="A6955" s="32"/>
    </row>
    <row r="6956" spans="1:1">
      <c r="A6956" s="32"/>
    </row>
    <row r="6957" spans="1:1">
      <c r="A6957" s="32"/>
    </row>
    <row r="6958" spans="1:1">
      <c r="A6958" s="32"/>
    </row>
    <row r="6959" spans="1:1">
      <c r="A6959" s="32"/>
    </row>
    <row r="6960" spans="1:1">
      <c r="A6960" s="32"/>
    </row>
    <row r="6961" spans="1:1">
      <c r="A6961" s="32"/>
    </row>
    <row r="6962" spans="1:1">
      <c r="A6962" s="32"/>
    </row>
    <row r="6963" spans="1:1">
      <c r="A6963" s="32"/>
    </row>
    <row r="6964" spans="1:1">
      <c r="A6964" s="32"/>
    </row>
    <row r="6965" spans="1:1">
      <c r="A6965" s="32"/>
    </row>
    <row r="6966" spans="1:1">
      <c r="A6966" s="32"/>
    </row>
    <row r="6967" spans="1:1">
      <c r="A6967" s="32"/>
    </row>
    <row r="6968" spans="1:1">
      <c r="A6968" s="32"/>
    </row>
    <row r="6969" spans="1:1">
      <c r="A6969" s="32"/>
    </row>
    <row r="6970" spans="1:1">
      <c r="A6970" s="32"/>
    </row>
    <row r="6971" spans="1:1">
      <c r="A6971" s="32"/>
    </row>
    <row r="6972" spans="1:1">
      <c r="A6972" s="32"/>
    </row>
    <row r="6973" spans="1:1">
      <c r="A6973" s="32"/>
    </row>
    <row r="6974" spans="1:1">
      <c r="A6974" s="32"/>
    </row>
  </sheetData>
  <mergeCells count="1">
    <mergeCell ref="B2:W2"/>
  </mergeCells>
  <conditionalFormatting sqref="A4:A6974">
    <cfRule type="containsText" dxfId="233" priority="3305" operator="containsText" text="E-Mail Sent">
      <formula>NOT(ISERROR(SEARCH("E-Mail Sent",A4)))</formula>
    </cfRule>
    <cfRule type="containsText" dxfId="232" priority="3306" operator="containsText" text="E Mail">
      <formula>NOT(ISERROR(SEARCH("E Mail",A4)))</formula>
    </cfRule>
  </conditionalFormatting>
  <conditionalFormatting sqref="B1:V1 B3:V3 B2">
    <cfRule type="expression" dxfId="231" priority="2982">
      <formula>$D1="Funded"</formula>
    </cfRule>
  </conditionalFormatting>
  <conditionalFormatting sqref="B18:V2998">
    <cfRule type="expression" dxfId="230" priority="1199">
      <formula>$D18="Funded"</formula>
    </cfRule>
    <cfRule type="expression" dxfId="229" priority="1200">
      <formula>$D18="Conditionally Approved"</formula>
    </cfRule>
    <cfRule type="expression" dxfId="228" priority="1201">
      <formula>$D18="Quote Sent"</formula>
    </cfRule>
    <cfRule type="expression" dxfId="227" priority="1202">
      <formula>$D18="Potential Cancel"</formula>
    </cfRule>
    <cfRule type="expression" dxfId="226" priority="1203">
      <formula>$D18="Suspended-Restructure"</formula>
    </cfRule>
    <cfRule type="expression" dxfId="225" priority="1204">
      <formula>$D18="Clear to Close"</formula>
    </cfRule>
    <cfRule type="expression" dxfId="224" priority="1205">
      <formula>$D18="Submitted to Underwriting"</formula>
    </cfRule>
    <cfRule type="expression" dxfId="223" priority="1206">
      <formula>$D18="Responded"</formula>
    </cfRule>
    <cfRule type="expression" dxfId="222" priority="1207">
      <formula>$D18="Locked!"</formula>
    </cfRule>
    <cfRule type="expression" dxfId="221" priority="1208">
      <formula>$D18="E-signed!"</formula>
    </cfRule>
    <cfRule type="expression" dxfId="220" priority="1209">
      <formula>$D18="Docs Received!"</formula>
    </cfRule>
    <cfRule type="expression" dxfId="219" priority="1210">
      <formula>$D18="Disclosures Going Out..."</formula>
    </cfRule>
    <cfRule type="expression" dxfId="218" priority="1211">
      <formula>$D18="Disclosures Sent!"</formula>
    </cfRule>
    <cfRule type="expression" dxfId="217" priority="1212">
      <formula>$D18="FIGURE - Link Sent!"</formula>
    </cfRule>
    <cfRule type="expression" dxfId="216" priority="1213">
      <formula>$D18="Hard Money Opportunity"</formula>
    </cfRule>
    <cfRule type="expression" dxfId="215" priority="1214">
      <formula>$D18="Communicating..."</formula>
    </cfRule>
    <cfRule type="expression" dxfId="214" priority="1215">
      <formula>$D18="Not Interested"</formula>
    </cfRule>
    <cfRule type="expression" dxfId="213" priority="1216">
      <formula>$D18="APP - Pitched &gt; Follow up"</formula>
    </cfRule>
    <cfRule type="expression" dxfId="212" priority="1217">
      <formula>$D18="Appt Scheduled"</formula>
    </cfRule>
    <cfRule type="expression" dxfId="211" priority="1218">
      <formula>$D18="Reverse Mortgage Opportunity"</formula>
    </cfRule>
    <cfRule type="expression" dxfId="210" priority="1219">
      <formula>$D18="Purchase"</formula>
    </cfRule>
    <cfRule type="expression" dxfId="209" priority="1220">
      <formula>$D18="Verified Approval Letter"</formula>
    </cfRule>
    <cfRule type="expression" dxfId="208" priority="1221">
      <formula>$D18="*Thinking about it*"</formula>
    </cfRule>
    <cfRule type="expression" dxfId="207" priority="1222">
      <formula>$D18="DNQ"</formula>
    </cfRule>
    <cfRule type="expression" dxfId="206" priority="1223">
      <formula>$D18="Commercial/Business Loan"</formula>
    </cfRule>
    <cfRule type="expression" dxfId="205" priority="1224">
      <formula>$D18="Credit - Wayfinder"</formula>
    </cfRule>
    <cfRule type="expression" dxfId="204" priority="1225">
      <formula>$D18="Match or Beat"</formula>
    </cfRule>
    <cfRule type="expression" dxfId="203" priority="1226">
      <formula>$D18="Future Deal"</formula>
    </cfRule>
    <cfRule type="expression" dxfId="202" priority="1227">
      <formula>$D18="Prospect -Email Sent"</formula>
    </cfRule>
    <cfRule type="expression" dxfId="201" priority="1228">
      <formula>$D18="STOP!"</formula>
    </cfRule>
    <cfRule type="expression" dxfId="200" priority="1229">
      <formula>$D18="No Benefit"</formula>
    </cfRule>
    <cfRule type="expression" dxfId="199" priority="1230">
      <formula>$D18="Went With Another Lender"</formula>
    </cfRule>
    <cfRule type="expression" dxfId="198" priority="1231">
      <formula>$D18="LOCKED!"</formula>
    </cfRule>
    <cfRule type="expression" dxfId="197" priority="1232">
      <formula>$D18="APP - Pitched &gt; Follow Up!"</formula>
    </cfRule>
    <cfRule type="expression" dxfId="196" priority="1233">
      <formula>$D18="Prospect - Appt Scheduled"</formula>
    </cfRule>
    <cfRule type="expression" dxfId="195" priority="1234">
      <formula>$D18="Appt Scheduled"</formula>
    </cfRule>
  </conditionalFormatting>
  <conditionalFormatting sqref="W3">
    <cfRule type="expression" dxfId="194" priority="1198">
      <formula>$D3="Funded"</formula>
    </cfRule>
  </conditionalFormatting>
  <conditionalFormatting sqref="B4:V17">
    <cfRule type="expression" dxfId="193" priority="1">
      <formula>$D4="Funded"</formula>
    </cfRule>
    <cfRule type="expression" dxfId="192" priority="2">
      <formula>$D4="Conditionally Approved"</formula>
    </cfRule>
    <cfRule type="expression" dxfId="191" priority="3">
      <formula>$D4="Quote Sent"</formula>
    </cfRule>
    <cfRule type="expression" dxfId="190" priority="4">
      <formula>$D4="Potential Cancel"</formula>
    </cfRule>
    <cfRule type="expression" dxfId="189" priority="5">
      <formula>$D4="Suspended-Restructure"</formula>
    </cfRule>
    <cfRule type="expression" dxfId="188" priority="6">
      <formula>$D4="Clear to Close"</formula>
    </cfRule>
    <cfRule type="expression" dxfId="187" priority="7">
      <formula>$D4="Submitted to Underwriting"</formula>
    </cfRule>
    <cfRule type="expression" dxfId="186" priority="8">
      <formula>$D4="Responded"</formula>
    </cfRule>
    <cfRule type="expression" dxfId="185" priority="9">
      <formula>$D4="Locked!"</formula>
    </cfRule>
    <cfRule type="expression" dxfId="184" priority="10">
      <formula>$D4="E-signed!"</formula>
    </cfRule>
    <cfRule type="expression" dxfId="183" priority="11">
      <formula>$D4="Docs Received!"</formula>
    </cfRule>
    <cfRule type="expression" dxfId="182" priority="12">
      <formula>$D4="Disclosures Going Out..."</formula>
    </cfRule>
    <cfRule type="expression" dxfId="181" priority="13">
      <formula>$D4="Disclosures Sent!"</formula>
    </cfRule>
    <cfRule type="expression" dxfId="180" priority="14">
      <formula>$D4="FIGURE - Link Sent!"</formula>
    </cfRule>
    <cfRule type="expression" dxfId="179" priority="15">
      <formula>$D4="Hard Money Opportunity"</formula>
    </cfRule>
    <cfRule type="expression" dxfId="178" priority="16">
      <formula>$D4="Communicating..."</formula>
    </cfRule>
    <cfRule type="expression" dxfId="177" priority="17">
      <formula>$D4="Not Interested"</formula>
    </cfRule>
    <cfRule type="expression" dxfId="176" priority="18">
      <formula>$D4="APP - Pitched &gt; Follow up"</formula>
    </cfRule>
    <cfRule type="expression" dxfId="175" priority="19">
      <formula>$D4="Appt Scheduled"</formula>
    </cfRule>
    <cfRule type="expression" dxfId="174" priority="20">
      <formula>$D4="Reverse Mortgage Opportunity"</formula>
    </cfRule>
    <cfRule type="expression" dxfId="173" priority="21">
      <formula>$D4="Purchase"</formula>
    </cfRule>
    <cfRule type="expression" dxfId="172" priority="22">
      <formula>$D4="Verified Approval Letter"</formula>
    </cfRule>
    <cfRule type="expression" dxfId="171" priority="23">
      <formula>$D4="*Thinking about it*"</formula>
    </cfRule>
    <cfRule type="expression" dxfId="170" priority="24">
      <formula>$D4="DNQ"</formula>
    </cfRule>
    <cfRule type="expression" dxfId="169" priority="25">
      <formula>$D4="Commercial/Business Loan"</formula>
    </cfRule>
    <cfRule type="expression" dxfId="168" priority="26">
      <formula>$D4="Credit - Wayfinder"</formula>
    </cfRule>
    <cfRule type="expression" dxfId="167" priority="27">
      <formula>$D4="Match or Beat"</formula>
    </cfRule>
    <cfRule type="expression" dxfId="166" priority="28">
      <formula>$D4="Future Deal"</formula>
    </cfRule>
    <cfRule type="expression" dxfId="165" priority="29">
      <formula>$D4="Prospect -Email Sent"</formula>
    </cfRule>
    <cfRule type="expression" dxfId="164" priority="30">
      <formula>$D4="STOP!"</formula>
    </cfRule>
    <cfRule type="expression" dxfId="163" priority="31">
      <formula>$D4="No Benefit"</formula>
    </cfRule>
    <cfRule type="expression" dxfId="162" priority="32">
      <formula>$D4="Went With Another Lender"</formula>
    </cfRule>
    <cfRule type="expression" dxfId="161" priority="33">
      <formula>$D4="LOCKED!"</formula>
    </cfRule>
    <cfRule type="expression" dxfId="160" priority="34">
      <formula>$D4="APP - Pitched &gt; Follow Up!"</formula>
    </cfRule>
    <cfRule type="expression" dxfId="159" priority="35">
      <formula>$D4="Prospect - Appt Scheduled"</formula>
    </cfRule>
    <cfRule type="expression" dxfId="158" priority="36">
      <formula>$D4="Appt Scheduled"</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0000000}">
          <x14:formula1>
            <xm:f>WCL!$B$1:$B$47</xm:f>
          </x14:formula1>
          <xm:sqref>D19:D3021 D4:D18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tabColor rgb="FFFF0000"/>
  </sheetPr>
  <dimension ref="A1:V6981"/>
  <sheetViews>
    <sheetView topLeftCell="B1" workbookViewId="0">
      <pane ySplit="3" topLeftCell="A4" activePane="bottomLeft" state="frozen"/>
      <selection activeCell="B1" sqref="B1"/>
      <selection pane="bottomLeft" activeCell="B4" sqref="B4:V10"/>
    </sheetView>
  </sheetViews>
  <sheetFormatPr defaultRowHeight="14.4"/>
  <cols>
    <col min="1" max="1" width="11" hidden="1" customWidth="1"/>
    <col min="2" max="2" width="26.44140625" customWidth="1"/>
    <col min="3" max="3" width="12.109375" style="120" customWidth="1"/>
    <col min="4" max="4" width="39" customWidth="1"/>
    <col min="5" max="6" width="12.109375" customWidth="1"/>
    <col min="7" max="7" width="14" customWidth="1"/>
    <col min="8" max="8" width="29.44140625" bestFit="1" customWidth="1"/>
    <col min="9" max="9" width="7.44140625" customWidth="1"/>
    <col min="10" max="10" width="68.6640625" bestFit="1" customWidth="1"/>
    <col min="11" max="11" width="11" customWidth="1"/>
    <col min="12" max="13" width="10.33203125" customWidth="1"/>
    <col min="14" max="14" width="9" bestFit="1" customWidth="1"/>
    <col min="15" max="15" width="20.109375" style="120" bestFit="1" customWidth="1"/>
    <col min="16" max="16" width="15.33203125" style="120" customWidth="1"/>
    <col min="17" max="17" width="14.44140625" style="163" customWidth="1"/>
    <col min="18" max="18" width="15.33203125" style="163" customWidth="1"/>
    <col min="19" max="19" width="15.88671875" style="144" bestFit="1" customWidth="1"/>
    <col min="20" max="20" width="9" style="144" customWidth="1"/>
    <col min="21" max="21" width="8.109375" customWidth="1"/>
    <col min="22" max="22" width="10.5546875" style="163" bestFit="1" customWidth="1"/>
  </cols>
  <sheetData>
    <row r="1" spans="1:22" ht="2.25" customHeight="1">
      <c r="A1" s="96"/>
      <c r="B1" s="96"/>
      <c r="C1" s="168"/>
      <c r="D1" s="96"/>
      <c r="E1" s="96"/>
      <c r="F1" s="96"/>
      <c r="G1" s="96"/>
      <c r="H1" s="96"/>
      <c r="I1" s="96"/>
      <c r="J1" s="96"/>
      <c r="K1" s="96"/>
      <c r="L1" s="96"/>
      <c r="M1" s="96"/>
      <c r="N1" s="96"/>
      <c r="O1" s="168"/>
      <c r="P1" s="168"/>
      <c r="Q1" s="169"/>
      <c r="R1" s="169"/>
      <c r="S1" s="142"/>
      <c r="T1" s="142"/>
      <c r="U1" s="96"/>
      <c r="V1" s="169"/>
    </row>
    <row r="2" spans="1:22" ht="23.4">
      <c r="A2" s="96"/>
      <c r="B2" s="291" t="s">
        <v>139</v>
      </c>
      <c r="C2" s="292"/>
      <c r="D2" s="292"/>
      <c r="E2" s="292"/>
      <c r="F2" s="292"/>
      <c r="G2" s="292"/>
      <c r="H2" s="292"/>
      <c r="I2" s="292"/>
      <c r="J2" s="292"/>
      <c r="K2" s="292"/>
      <c r="L2" s="292"/>
      <c r="M2" s="292"/>
      <c r="N2" s="292"/>
      <c r="O2" s="292"/>
      <c r="P2" s="292"/>
      <c r="Q2" s="292"/>
      <c r="R2" s="292"/>
      <c r="S2" s="292"/>
      <c r="T2" s="292"/>
      <c r="U2" s="292"/>
      <c r="V2" s="292"/>
    </row>
    <row r="3" spans="1:22" ht="28.8">
      <c r="A3" s="62" t="s">
        <v>27</v>
      </c>
      <c r="B3" s="62" t="s">
        <v>102</v>
      </c>
      <c r="C3" s="63" t="s">
        <v>1</v>
      </c>
      <c r="D3" s="62" t="s">
        <v>2</v>
      </c>
      <c r="E3" s="62" t="s">
        <v>3</v>
      </c>
      <c r="F3" s="62" t="s">
        <v>4</v>
      </c>
      <c r="G3" s="62" t="s">
        <v>5</v>
      </c>
      <c r="H3" s="62" t="s">
        <v>6</v>
      </c>
      <c r="I3" s="62" t="s">
        <v>7</v>
      </c>
      <c r="J3" s="62" t="s">
        <v>8</v>
      </c>
      <c r="K3" s="62" t="s">
        <v>18</v>
      </c>
      <c r="L3" s="62" t="s">
        <v>142</v>
      </c>
      <c r="M3" s="62" t="s">
        <v>153</v>
      </c>
      <c r="N3" s="62" t="s">
        <v>10</v>
      </c>
      <c r="O3" s="63" t="s">
        <v>143</v>
      </c>
      <c r="P3" s="63" t="s">
        <v>144</v>
      </c>
      <c r="Q3" s="162" t="s">
        <v>26</v>
      </c>
      <c r="R3" s="162" t="s">
        <v>81</v>
      </c>
      <c r="S3" s="143" t="s">
        <v>145</v>
      </c>
      <c r="T3" s="143" t="s">
        <v>131</v>
      </c>
      <c r="U3" s="62" t="s">
        <v>23</v>
      </c>
      <c r="V3" s="162" t="s">
        <v>146</v>
      </c>
    </row>
    <row r="4" spans="1:22">
      <c r="A4" s="32"/>
      <c r="D4" s="19"/>
    </row>
    <row r="5" spans="1:22">
      <c r="A5" s="32"/>
      <c r="D5" s="19"/>
    </row>
    <row r="6" spans="1:22">
      <c r="A6" s="32"/>
      <c r="D6" s="19"/>
    </row>
    <row r="7" spans="1:22">
      <c r="A7" s="32"/>
      <c r="D7" s="19"/>
    </row>
    <row r="8" spans="1:22">
      <c r="A8" s="32"/>
      <c r="D8" s="19"/>
    </row>
    <row r="10" spans="1:22">
      <c r="A10" s="32"/>
    </row>
    <row r="11" spans="1:22">
      <c r="A11" s="32"/>
    </row>
    <row r="12" spans="1:22">
      <c r="A12" s="32"/>
    </row>
    <row r="13" spans="1:22">
      <c r="A13" s="32"/>
    </row>
    <row r="14" spans="1:22">
      <c r="A14" s="32"/>
    </row>
    <row r="15" spans="1:22">
      <c r="A15" s="32"/>
    </row>
    <row r="16" spans="1:22">
      <c r="A16" s="32"/>
    </row>
    <row r="17" spans="1:1">
      <c r="A17" s="32"/>
    </row>
    <row r="18" spans="1:1">
      <c r="A18" s="32"/>
    </row>
    <row r="19" spans="1:1">
      <c r="A19" s="32"/>
    </row>
    <row r="20" spans="1:1">
      <c r="A20" s="32"/>
    </row>
    <row r="21" spans="1:1">
      <c r="A21" s="32"/>
    </row>
    <row r="22" spans="1:1">
      <c r="A22" s="32"/>
    </row>
    <row r="23" spans="1:1">
      <c r="A23" s="32"/>
    </row>
    <row r="24" spans="1:1">
      <c r="A24" s="32"/>
    </row>
    <row r="25" spans="1:1">
      <c r="A25" s="32"/>
    </row>
    <row r="26" spans="1:1">
      <c r="A26" s="32"/>
    </row>
    <row r="27" spans="1:1">
      <c r="A27" s="32"/>
    </row>
    <row r="28" spans="1:1">
      <c r="A28" s="32"/>
    </row>
    <row r="29" spans="1:1">
      <c r="A29" s="32"/>
    </row>
    <row r="30" spans="1:1">
      <c r="A30" s="32"/>
    </row>
    <row r="31" spans="1:1">
      <c r="A31" s="32"/>
    </row>
    <row r="32" spans="1:1">
      <c r="A32" s="32"/>
    </row>
    <row r="33" spans="1:1">
      <c r="A33" s="32"/>
    </row>
    <row r="34" spans="1:1">
      <c r="A34" s="32"/>
    </row>
    <row r="35" spans="1:1">
      <c r="A35" s="32"/>
    </row>
    <row r="36" spans="1:1">
      <c r="A36" s="32"/>
    </row>
    <row r="37" spans="1:1">
      <c r="A37" s="32"/>
    </row>
    <row r="38" spans="1:1">
      <c r="A38" s="32"/>
    </row>
    <row r="39" spans="1:1">
      <c r="A39" s="32"/>
    </row>
    <row r="40" spans="1:1">
      <c r="A40" s="32"/>
    </row>
    <row r="41" spans="1:1">
      <c r="A41" s="32"/>
    </row>
    <row r="42" spans="1:1">
      <c r="A42" s="32"/>
    </row>
    <row r="43" spans="1:1">
      <c r="A43" s="32"/>
    </row>
    <row r="44" spans="1:1">
      <c r="A44" s="32"/>
    </row>
    <row r="45" spans="1:1">
      <c r="A45" s="32"/>
    </row>
    <row r="46" spans="1:1">
      <c r="A46" s="32"/>
    </row>
    <row r="47" spans="1:1">
      <c r="A47" s="32"/>
    </row>
    <row r="48" spans="1:1">
      <c r="A48" s="32"/>
    </row>
    <row r="49" spans="1:1">
      <c r="A49" s="32"/>
    </row>
    <row r="50" spans="1:1">
      <c r="A50" s="32"/>
    </row>
    <row r="51" spans="1:1">
      <c r="A51" s="32"/>
    </row>
    <row r="52" spans="1:1">
      <c r="A52" s="32"/>
    </row>
    <row r="53" spans="1:1">
      <c r="A53" s="32"/>
    </row>
    <row r="54" spans="1:1">
      <c r="A54" s="32"/>
    </row>
    <row r="55" spans="1:1">
      <c r="A55" s="32"/>
    </row>
    <row r="56" spans="1:1">
      <c r="A56" s="32"/>
    </row>
    <row r="57" spans="1:1">
      <c r="A57" s="32"/>
    </row>
    <row r="58" spans="1:1">
      <c r="A58" s="32"/>
    </row>
    <row r="59" spans="1:1">
      <c r="A59" s="32"/>
    </row>
    <row r="60" spans="1:1">
      <c r="A60" s="32"/>
    </row>
    <row r="61" spans="1:1">
      <c r="A61" s="32"/>
    </row>
    <row r="62" spans="1:1">
      <c r="A62" s="32"/>
    </row>
    <row r="63" spans="1:1">
      <c r="A63" s="32"/>
    </row>
    <row r="64" spans="1:1">
      <c r="A64" s="32"/>
    </row>
    <row r="65" spans="1:1">
      <c r="A65" s="32"/>
    </row>
    <row r="66" spans="1:1">
      <c r="A66" s="32"/>
    </row>
    <row r="67" spans="1:1">
      <c r="A67" s="32"/>
    </row>
    <row r="68" spans="1:1">
      <c r="A68" s="32"/>
    </row>
    <row r="69" spans="1:1">
      <c r="A69" s="32"/>
    </row>
    <row r="70" spans="1:1">
      <c r="A70" s="32"/>
    </row>
    <row r="71" spans="1:1">
      <c r="A71" s="32"/>
    </row>
    <row r="72" spans="1:1">
      <c r="A72" s="32"/>
    </row>
    <row r="73" spans="1:1">
      <c r="A73" s="32"/>
    </row>
    <row r="74" spans="1:1">
      <c r="A74" s="32"/>
    </row>
    <row r="75" spans="1:1">
      <c r="A75" s="32"/>
    </row>
    <row r="76" spans="1:1">
      <c r="A76" s="32"/>
    </row>
    <row r="77" spans="1:1">
      <c r="A77" s="32"/>
    </row>
    <row r="78" spans="1:1">
      <c r="A78" s="32"/>
    </row>
    <row r="79" spans="1:1">
      <c r="A79" s="32"/>
    </row>
    <row r="80" spans="1:1">
      <c r="A80" s="32"/>
    </row>
    <row r="81" spans="1:1">
      <c r="A81" s="32"/>
    </row>
    <row r="82" spans="1:1">
      <c r="A82" s="32"/>
    </row>
    <row r="83" spans="1:1">
      <c r="A83" s="32"/>
    </row>
    <row r="84" spans="1:1">
      <c r="A84" s="32"/>
    </row>
    <row r="85" spans="1:1">
      <c r="A85" s="32"/>
    </row>
    <row r="86" spans="1:1">
      <c r="A86" s="32"/>
    </row>
    <row r="87" spans="1:1">
      <c r="A87" s="32"/>
    </row>
    <row r="88" spans="1:1">
      <c r="A88" s="32"/>
    </row>
    <row r="89" spans="1:1">
      <c r="A89" s="32"/>
    </row>
    <row r="90" spans="1:1">
      <c r="A90" s="32"/>
    </row>
    <row r="91" spans="1:1">
      <c r="A91" s="32"/>
    </row>
    <row r="92" spans="1:1">
      <c r="A92" s="32"/>
    </row>
    <row r="93" spans="1:1">
      <c r="A93" s="32"/>
    </row>
    <row r="94" spans="1:1">
      <c r="A94" s="32"/>
    </row>
    <row r="95" spans="1:1">
      <c r="A95" s="32"/>
    </row>
    <row r="96" spans="1:1">
      <c r="A96" s="32"/>
    </row>
    <row r="97" spans="1:1">
      <c r="A97" s="32"/>
    </row>
    <row r="98" spans="1:1">
      <c r="A98" s="32"/>
    </row>
    <row r="99" spans="1:1">
      <c r="A99" s="32"/>
    </row>
    <row r="100" spans="1:1">
      <c r="A100" s="32"/>
    </row>
    <row r="101" spans="1:1">
      <c r="A101" s="32"/>
    </row>
    <row r="102" spans="1:1">
      <c r="A102" s="32"/>
    </row>
    <row r="103" spans="1:1">
      <c r="A103" s="32"/>
    </row>
    <row r="104" spans="1:1">
      <c r="A104" s="32"/>
    </row>
    <row r="105" spans="1:1">
      <c r="A105" s="32"/>
    </row>
    <row r="106" spans="1:1">
      <c r="A106" s="32"/>
    </row>
    <row r="107" spans="1:1">
      <c r="A107" s="32"/>
    </row>
    <row r="108" spans="1:1">
      <c r="A108" s="32"/>
    </row>
    <row r="109" spans="1:1">
      <c r="A109" s="32"/>
    </row>
    <row r="110" spans="1:1">
      <c r="A110" s="32"/>
    </row>
    <row r="111" spans="1:1">
      <c r="A111" s="32"/>
    </row>
    <row r="112" spans="1:1">
      <c r="A112" s="32"/>
    </row>
    <row r="113" spans="1:1">
      <c r="A113" s="32"/>
    </row>
    <row r="114" spans="1:1">
      <c r="A114" s="32"/>
    </row>
    <row r="115" spans="1:1">
      <c r="A115" s="32"/>
    </row>
    <row r="116" spans="1:1">
      <c r="A116" s="32"/>
    </row>
    <row r="117" spans="1:1">
      <c r="A117" s="32"/>
    </row>
    <row r="118" spans="1:1">
      <c r="A118" s="32"/>
    </row>
    <row r="119" spans="1:1">
      <c r="A119" s="32"/>
    </row>
    <row r="120" spans="1:1">
      <c r="A120" s="32"/>
    </row>
    <row r="121" spans="1:1">
      <c r="A121" s="32"/>
    </row>
    <row r="122" spans="1:1">
      <c r="A122" s="32"/>
    </row>
    <row r="123" spans="1:1">
      <c r="A123" s="32"/>
    </row>
    <row r="124" spans="1:1">
      <c r="A124" s="32"/>
    </row>
    <row r="125" spans="1:1">
      <c r="A125" s="32"/>
    </row>
    <row r="126" spans="1:1">
      <c r="A126" s="32"/>
    </row>
    <row r="127" spans="1:1">
      <c r="A127" s="32"/>
    </row>
    <row r="128" spans="1:1">
      <c r="A128" s="32"/>
    </row>
    <row r="129" spans="1:1">
      <c r="A129" s="32"/>
    </row>
    <row r="130" spans="1:1">
      <c r="A130" s="32"/>
    </row>
    <row r="131" spans="1:1">
      <c r="A131" s="32"/>
    </row>
    <row r="132" spans="1:1">
      <c r="A132" s="32"/>
    </row>
    <row r="133" spans="1:1">
      <c r="A133" s="32"/>
    </row>
    <row r="134" spans="1:1">
      <c r="A134" s="32"/>
    </row>
    <row r="135" spans="1:1">
      <c r="A135" s="32"/>
    </row>
    <row r="136" spans="1:1">
      <c r="A136" s="32"/>
    </row>
    <row r="137" spans="1:1">
      <c r="A137" s="32"/>
    </row>
    <row r="138" spans="1:1">
      <c r="A138" s="32"/>
    </row>
    <row r="139" spans="1:1">
      <c r="A139" s="32"/>
    </row>
    <row r="140" spans="1:1">
      <c r="A140" s="32"/>
    </row>
    <row r="141" spans="1:1">
      <c r="A141" s="32"/>
    </row>
    <row r="142" spans="1:1">
      <c r="A142" s="32"/>
    </row>
    <row r="143" spans="1:1">
      <c r="A143" s="32"/>
    </row>
    <row r="144" spans="1:1">
      <c r="A144" s="32"/>
    </row>
    <row r="145" spans="1:1">
      <c r="A145" s="32"/>
    </row>
    <row r="146" spans="1:1">
      <c r="A146" s="32"/>
    </row>
    <row r="147" spans="1:1">
      <c r="A147" s="32"/>
    </row>
    <row r="148" spans="1:1">
      <c r="A148" s="32"/>
    </row>
    <row r="149" spans="1:1">
      <c r="A149" s="32"/>
    </row>
    <row r="150" spans="1:1">
      <c r="A150" s="32"/>
    </row>
    <row r="151" spans="1:1">
      <c r="A151" s="32"/>
    </row>
    <row r="152" spans="1:1">
      <c r="A152" s="32"/>
    </row>
    <row r="153" spans="1:1">
      <c r="A153" s="32"/>
    </row>
    <row r="154" spans="1:1">
      <c r="A154" s="32"/>
    </row>
    <row r="155" spans="1:1">
      <c r="A155" s="32"/>
    </row>
    <row r="156" spans="1:1">
      <c r="A156" s="32"/>
    </row>
    <row r="157" spans="1:1">
      <c r="A157" s="32"/>
    </row>
    <row r="158" spans="1:1">
      <c r="A158" s="32"/>
    </row>
    <row r="159" spans="1:1">
      <c r="A159" s="32"/>
    </row>
    <row r="160" spans="1:1">
      <c r="A160" s="32"/>
    </row>
    <row r="161" spans="1:1">
      <c r="A161" s="32"/>
    </row>
    <row r="162" spans="1:1">
      <c r="A162" s="32"/>
    </row>
    <row r="163" spans="1:1">
      <c r="A163" s="32"/>
    </row>
    <row r="164" spans="1:1">
      <c r="A164" s="32"/>
    </row>
    <row r="165" spans="1:1">
      <c r="A165" s="32"/>
    </row>
    <row r="166" spans="1:1">
      <c r="A166" s="32"/>
    </row>
    <row r="167" spans="1:1">
      <c r="A167" s="32"/>
    </row>
    <row r="168" spans="1:1">
      <c r="A168" s="32"/>
    </row>
    <row r="169" spans="1:1">
      <c r="A169" s="32"/>
    </row>
    <row r="170" spans="1:1">
      <c r="A170" s="32"/>
    </row>
    <row r="171" spans="1:1">
      <c r="A171" s="32"/>
    </row>
    <row r="172" spans="1:1">
      <c r="A172" s="32"/>
    </row>
    <row r="173" spans="1:1">
      <c r="A173" s="32"/>
    </row>
    <row r="174" spans="1:1">
      <c r="A174" s="32"/>
    </row>
    <row r="175" spans="1:1">
      <c r="A175" s="32"/>
    </row>
    <row r="176" spans="1:1">
      <c r="A176" s="32"/>
    </row>
    <row r="177" spans="1:1">
      <c r="A177" s="32"/>
    </row>
    <row r="178" spans="1:1">
      <c r="A178" s="32"/>
    </row>
    <row r="179" spans="1:1">
      <c r="A179" s="32"/>
    </row>
    <row r="180" spans="1:1">
      <c r="A180" s="32"/>
    </row>
    <row r="181" spans="1:1">
      <c r="A181" s="32"/>
    </row>
    <row r="182" spans="1:1">
      <c r="A182" s="32"/>
    </row>
    <row r="183" spans="1:1">
      <c r="A183" s="32"/>
    </row>
    <row r="184" spans="1:1">
      <c r="A184" s="32"/>
    </row>
    <row r="185" spans="1:1">
      <c r="A185" s="32"/>
    </row>
    <row r="186" spans="1:1">
      <c r="A186" s="32"/>
    </row>
    <row r="187" spans="1:1">
      <c r="A187" s="32"/>
    </row>
    <row r="188" spans="1:1">
      <c r="A188" s="32"/>
    </row>
    <row r="189" spans="1:1">
      <c r="A189" s="32"/>
    </row>
    <row r="190" spans="1:1">
      <c r="A190" s="32"/>
    </row>
    <row r="191" spans="1:1">
      <c r="A191" s="32"/>
    </row>
    <row r="192" spans="1:1">
      <c r="A192" s="32"/>
    </row>
    <row r="193" spans="1:1">
      <c r="A193" s="32"/>
    </row>
    <row r="194" spans="1:1">
      <c r="A194" s="32"/>
    </row>
    <row r="195" spans="1:1">
      <c r="A195" s="32"/>
    </row>
    <row r="196" spans="1:1">
      <c r="A196" s="32"/>
    </row>
    <row r="197" spans="1:1">
      <c r="A197" s="32"/>
    </row>
    <row r="198" spans="1:1">
      <c r="A198" s="32"/>
    </row>
    <row r="199" spans="1:1">
      <c r="A199" s="32"/>
    </row>
    <row r="200" spans="1:1">
      <c r="A200" s="32"/>
    </row>
    <row r="201" spans="1:1">
      <c r="A201" s="32"/>
    </row>
    <row r="202" spans="1:1">
      <c r="A202" s="32"/>
    </row>
    <row r="203" spans="1:1">
      <c r="A203" s="32"/>
    </row>
    <row r="204" spans="1:1">
      <c r="A204" s="32"/>
    </row>
    <row r="205" spans="1:1">
      <c r="A205" s="32"/>
    </row>
    <row r="206" spans="1:1">
      <c r="A206" s="32"/>
    </row>
    <row r="207" spans="1:1">
      <c r="A207" s="32"/>
    </row>
    <row r="208" spans="1:1">
      <c r="A208" s="32"/>
    </row>
    <row r="209" spans="1:1">
      <c r="A209" s="32"/>
    </row>
    <row r="210" spans="1:1">
      <c r="A210" s="32"/>
    </row>
    <row r="211" spans="1:1">
      <c r="A211" s="32"/>
    </row>
    <row r="212" spans="1:1">
      <c r="A212" s="32"/>
    </row>
    <row r="213" spans="1:1">
      <c r="A213" s="32"/>
    </row>
    <row r="214" spans="1:1">
      <c r="A214" s="32"/>
    </row>
    <row r="215" spans="1:1">
      <c r="A215" s="32"/>
    </row>
    <row r="216" spans="1:1">
      <c r="A216" s="32"/>
    </row>
    <row r="217" spans="1:1">
      <c r="A217" s="32"/>
    </row>
    <row r="218" spans="1:1">
      <c r="A218" s="32"/>
    </row>
    <row r="219" spans="1:1">
      <c r="A219" s="32"/>
    </row>
    <row r="220" spans="1:1">
      <c r="A220" s="32"/>
    </row>
    <row r="221" spans="1:1">
      <c r="A221" s="32"/>
    </row>
    <row r="222" spans="1:1">
      <c r="A222" s="32"/>
    </row>
    <row r="223" spans="1:1">
      <c r="A223" s="32"/>
    </row>
    <row r="224" spans="1:1">
      <c r="A224" s="32"/>
    </row>
    <row r="225" spans="1:1">
      <c r="A225" s="32"/>
    </row>
    <row r="226" spans="1:1">
      <c r="A226" s="32"/>
    </row>
    <row r="227" spans="1:1">
      <c r="A227" s="32"/>
    </row>
    <row r="228" spans="1:1">
      <c r="A228" s="32"/>
    </row>
    <row r="229" spans="1:1">
      <c r="A229" s="32"/>
    </row>
    <row r="230" spans="1:1">
      <c r="A230" s="32"/>
    </row>
    <row r="231" spans="1:1">
      <c r="A231" s="32"/>
    </row>
    <row r="232" spans="1:1">
      <c r="A232" s="32"/>
    </row>
    <row r="233" spans="1:1">
      <c r="A233" s="32"/>
    </row>
    <row r="234" spans="1:1">
      <c r="A234" s="32"/>
    </row>
    <row r="235" spans="1:1">
      <c r="A235" s="32"/>
    </row>
    <row r="236" spans="1:1">
      <c r="A236" s="32"/>
    </row>
    <row r="237" spans="1:1">
      <c r="A237" s="32"/>
    </row>
    <row r="238" spans="1:1">
      <c r="A238" s="32"/>
    </row>
    <row r="239" spans="1:1">
      <c r="A239" s="32"/>
    </row>
    <row r="240" spans="1:1">
      <c r="A240" s="32"/>
    </row>
    <row r="241" spans="1:1">
      <c r="A241" s="32"/>
    </row>
    <row r="242" spans="1:1">
      <c r="A242" s="32"/>
    </row>
    <row r="243" spans="1:1">
      <c r="A243" s="32"/>
    </row>
    <row r="244" spans="1:1">
      <c r="A244" s="32"/>
    </row>
    <row r="245" spans="1:1">
      <c r="A245" s="32"/>
    </row>
    <row r="246" spans="1:1">
      <c r="A246" s="32"/>
    </row>
    <row r="247" spans="1:1">
      <c r="A247" s="32"/>
    </row>
    <row r="248" spans="1:1">
      <c r="A248" s="32"/>
    </row>
    <row r="249" spans="1:1">
      <c r="A249" s="32"/>
    </row>
    <row r="250" spans="1:1">
      <c r="A250" s="32"/>
    </row>
    <row r="251" spans="1:1">
      <c r="A251" s="32"/>
    </row>
    <row r="252" spans="1:1">
      <c r="A252" s="32"/>
    </row>
    <row r="253" spans="1:1">
      <c r="A253" s="32"/>
    </row>
    <row r="254" spans="1:1">
      <c r="A254" s="32"/>
    </row>
    <row r="255" spans="1:1">
      <c r="A255" s="32"/>
    </row>
    <row r="256" spans="1:1">
      <c r="A256" s="32"/>
    </row>
    <row r="257" spans="1:1">
      <c r="A257" s="32"/>
    </row>
    <row r="258" spans="1:1">
      <c r="A258" s="32"/>
    </row>
    <row r="259" spans="1:1">
      <c r="A259" s="32"/>
    </row>
    <row r="260" spans="1:1">
      <c r="A260" s="32"/>
    </row>
    <row r="261" spans="1:1">
      <c r="A261" s="32"/>
    </row>
    <row r="262" spans="1:1">
      <c r="A262" s="32"/>
    </row>
    <row r="263" spans="1:1">
      <c r="A263" s="32"/>
    </row>
    <row r="264" spans="1:1">
      <c r="A264" s="32"/>
    </row>
    <row r="265" spans="1:1">
      <c r="A265" s="32"/>
    </row>
    <row r="266" spans="1:1">
      <c r="A266" s="32"/>
    </row>
    <row r="267" spans="1:1">
      <c r="A267" s="32"/>
    </row>
    <row r="268" spans="1:1">
      <c r="A268" s="32"/>
    </row>
    <row r="269" spans="1:1">
      <c r="A269" s="32"/>
    </row>
    <row r="270" spans="1:1">
      <c r="A270" s="32"/>
    </row>
    <row r="271" spans="1:1">
      <c r="A271" s="32"/>
    </row>
    <row r="272" spans="1:1">
      <c r="A272" s="32"/>
    </row>
    <row r="273" spans="1:1">
      <c r="A273" s="32"/>
    </row>
    <row r="274" spans="1:1">
      <c r="A274" s="32"/>
    </row>
    <row r="275" spans="1:1">
      <c r="A275" s="32"/>
    </row>
    <row r="276" spans="1:1">
      <c r="A276" s="32"/>
    </row>
    <row r="277" spans="1:1">
      <c r="A277" s="32"/>
    </row>
    <row r="278" spans="1:1">
      <c r="A278" s="32"/>
    </row>
    <row r="279" spans="1:1">
      <c r="A279" s="32"/>
    </row>
    <row r="280" spans="1:1">
      <c r="A280" s="32"/>
    </row>
    <row r="281" spans="1:1">
      <c r="A281" s="32"/>
    </row>
    <row r="282" spans="1:1">
      <c r="A282" s="32"/>
    </row>
    <row r="283" spans="1:1">
      <c r="A283" s="32"/>
    </row>
    <row r="284" spans="1:1">
      <c r="A284" s="32"/>
    </row>
    <row r="285" spans="1:1">
      <c r="A285" s="32"/>
    </row>
    <row r="286" spans="1:1">
      <c r="A286" s="32"/>
    </row>
    <row r="287" spans="1:1">
      <c r="A287" s="32"/>
    </row>
    <row r="288" spans="1:1">
      <c r="A288" s="32"/>
    </row>
    <row r="289" spans="1:1">
      <c r="A289" s="32"/>
    </row>
    <row r="290" spans="1:1">
      <c r="A290" s="32"/>
    </row>
    <row r="291" spans="1:1">
      <c r="A291" s="32"/>
    </row>
    <row r="292" spans="1:1">
      <c r="A292" s="32"/>
    </row>
    <row r="293" spans="1:1">
      <c r="A293" s="32"/>
    </row>
    <row r="294" spans="1:1">
      <c r="A294" s="32"/>
    </row>
    <row r="295" spans="1:1">
      <c r="A295" s="32"/>
    </row>
    <row r="296" spans="1:1">
      <c r="A296" s="32"/>
    </row>
    <row r="297" spans="1:1">
      <c r="A297" s="32"/>
    </row>
    <row r="298" spans="1:1">
      <c r="A298" s="32"/>
    </row>
    <row r="299" spans="1:1">
      <c r="A299" s="32"/>
    </row>
    <row r="300" spans="1:1">
      <c r="A300" s="32"/>
    </row>
    <row r="301" spans="1:1">
      <c r="A301" s="32"/>
    </row>
    <row r="302" spans="1:1">
      <c r="A302" s="32"/>
    </row>
    <row r="303" spans="1:1">
      <c r="A303" s="32"/>
    </row>
    <row r="304" spans="1:1">
      <c r="A304" s="32"/>
    </row>
    <row r="305" spans="1:1">
      <c r="A305" s="32"/>
    </row>
    <row r="306" spans="1:1">
      <c r="A306" s="32"/>
    </row>
    <row r="307" spans="1:1">
      <c r="A307" s="32"/>
    </row>
    <row r="308" spans="1:1">
      <c r="A308" s="32"/>
    </row>
    <row r="309" spans="1:1">
      <c r="A309" s="32"/>
    </row>
    <row r="310" spans="1:1">
      <c r="A310" s="32"/>
    </row>
    <row r="311" spans="1:1">
      <c r="A311" s="32"/>
    </row>
    <row r="312" spans="1:1">
      <c r="A312" s="32"/>
    </row>
    <row r="313" spans="1:1">
      <c r="A313" s="32"/>
    </row>
    <row r="314" spans="1:1">
      <c r="A314" s="32"/>
    </row>
    <row r="315" spans="1:1">
      <c r="A315" s="32"/>
    </row>
    <row r="316" spans="1:1">
      <c r="A316" s="32"/>
    </row>
    <row r="317" spans="1:1">
      <c r="A317" s="32"/>
    </row>
    <row r="318" spans="1:1">
      <c r="A318" s="32"/>
    </row>
    <row r="319" spans="1:1">
      <c r="A319" s="32"/>
    </row>
    <row r="320" spans="1:1">
      <c r="A320" s="32"/>
    </row>
    <row r="321" spans="1:1">
      <c r="A321" s="32"/>
    </row>
    <row r="322" spans="1:1">
      <c r="A322" s="32"/>
    </row>
    <row r="323" spans="1:1">
      <c r="A323" s="32"/>
    </row>
    <row r="324" spans="1:1">
      <c r="A324" s="32"/>
    </row>
    <row r="325" spans="1:1">
      <c r="A325" s="32"/>
    </row>
    <row r="326" spans="1:1">
      <c r="A326" s="32"/>
    </row>
    <row r="327" spans="1:1">
      <c r="A327" s="32"/>
    </row>
    <row r="328" spans="1:1">
      <c r="A328" s="32"/>
    </row>
    <row r="329" spans="1:1">
      <c r="A329" s="32"/>
    </row>
    <row r="330" spans="1:1">
      <c r="A330" s="32"/>
    </row>
    <row r="331" spans="1:1">
      <c r="A331" s="32"/>
    </row>
    <row r="332" spans="1:1">
      <c r="A332" s="32"/>
    </row>
    <row r="333" spans="1:1">
      <c r="A333" s="32"/>
    </row>
    <row r="334" spans="1:1">
      <c r="A334" s="32"/>
    </row>
    <row r="335" spans="1:1">
      <c r="A335" s="32"/>
    </row>
    <row r="336" spans="1:1">
      <c r="A336" s="32"/>
    </row>
    <row r="337" spans="1:1">
      <c r="A337" s="32"/>
    </row>
    <row r="338" spans="1:1">
      <c r="A338" s="32"/>
    </row>
    <row r="339" spans="1:1">
      <c r="A339" s="32"/>
    </row>
    <row r="340" spans="1:1">
      <c r="A340" s="32"/>
    </row>
    <row r="341" spans="1:1">
      <c r="A341" s="32"/>
    </row>
    <row r="342" spans="1:1">
      <c r="A342" s="32"/>
    </row>
    <row r="343" spans="1:1">
      <c r="A343" s="32"/>
    </row>
    <row r="344" spans="1:1">
      <c r="A344" s="32"/>
    </row>
    <row r="345" spans="1:1">
      <c r="A345" s="32"/>
    </row>
    <row r="346" spans="1:1">
      <c r="A346" s="32"/>
    </row>
    <row r="347" spans="1:1">
      <c r="A347" s="32"/>
    </row>
    <row r="348" spans="1:1">
      <c r="A348" s="32"/>
    </row>
    <row r="349" spans="1:1">
      <c r="A349" s="32"/>
    </row>
    <row r="350" spans="1:1">
      <c r="A350" s="32"/>
    </row>
    <row r="351" spans="1:1">
      <c r="A351" s="32"/>
    </row>
    <row r="352" spans="1:1">
      <c r="A352" s="32"/>
    </row>
    <row r="353" spans="1:1">
      <c r="A353" s="32"/>
    </row>
    <row r="354" spans="1:1">
      <c r="A354" s="32"/>
    </row>
    <row r="355" spans="1:1">
      <c r="A355" s="32"/>
    </row>
    <row r="356" spans="1:1">
      <c r="A356" s="32"/>
    </row>
    <row r="357" spans="1:1">
      <c r="A357" s="32"/>
    </row>
    <row r="358" spans="1:1">
      <c r="A358" s="32"/>
    </row>
    <row r="359" spans="1:1">
      <c r="A359" s="32"/>
    </row>
    <row r="360" spans="1:1">
      <c r="A360" s="32"/>
    </row>
    <row r="361" spans="1:1">
      <c r="A361" s="32"/>
    </row>
    <row r="362" spans="1:1">
      <c r="A362" s="32"/>
    </row>
    <row r="363" spans="1:1">
      <c r="A363" s="32"/>
    </row>
    <row r="364" spans="1:1">
      <c r="A364" s="32"/>
    </row>
    <row r="365" spans="1:1">
      <c r="A365" s="32"/>
    </row>
    <row r="366" spans="1:1">
      <c r="A366" s="32"/>
    </row>
    <row r="367" spans="1:1">
      <c r="A367" s="32"/>
    </row>
    <row r="368" spans="1:1">
      <c r="A368" s="32"/>
    </row>
    <row r="369" spans="1:1">
      <c r="A369" s="32"/>
    </row>
    <row r="370" spans="1:1">
      <c r="A370" s="32"/>
    </row>
    <row r="371" spans="1:1">
      <c r="A371" s="32"/>
    </row>
    <row r="372" spans="1:1">
      <c r="A372" s="32"/>
    </row>
    <row r="373" spans="1:1">
      <c r="A373" s="32"/>
    </row>
    <row r="374" spans="1:1">
      <c r="A374" s="32"/>
    </row>
    <row r="375" spans="1:1">
      <c r="A375" s="32"/>
    </row>
    <row r="376" spans="1:1">
      <c r="A376" s="32"/>
    </row>
    <row r="377" spans="1:1">
      <c r="A377" s="32"/>
    </row>
    <row r="378" spans="1:1">
      <c r="A378" s="32"/>
    </row>
    <row r="379" spans="1:1">
      <c r="A379" s="32"/>
    </row>
    <row r="380" spans="1:1">
      <c r="A380" s="32"/>
    </row>
    <row r="381" spans="1:1">
      <c r="A381" s="32"/>
    </row>
    <row r="382" spans="1:1">
      <c r="A382" s="32"/>
    </row>
    <row r="383" spans="1:1">
      <c r="A383" s="32"/>
    </row>
    <row r="384" spans="1:1">
      <c r="A384" s="32"/>
    </row>
    <row r="385" spans="1:1">
      <c r="A385" s="32"/>
    </row>
    <row r="386" spans="1:1">
      <c r="A386" s="32"/>
    </row>
    <row r="387" spans="1:1">
      <c r="A387" s="32"/>
    </row>
    <row r="388" spans="1:1">
      <c r="A388" s="32"/>
    </row>
    <row r="389" spans="1:1">
      <c r="A389" s="32"/>
    </row>
    <row r="390" spans="1:1">
      <c r="A390" s="32"/>
    </row>
    <row r="391" spans="1:1">
      <c r="A391" s="32"/>
    </row>
    <row r="392" spans="1:1">
      <c r="A392" s="32"/>
    </row>
    <row r="393" spans="1:1">
      <c r="A393" s="32"/>
    </row>
    <row r="394" spans="1:1">
      <c r="A394" s="32"/>
    </row>
    <row r="395" spans="1:1">
      <c r="A395" s="32"/>
    </row>
    <row r="396" spans="1:1">
      <c r="A396" s="32"/>
    </row>
    <row r="397" spans="1:1">
      <c r="A397" s="32"/>
    </row>
    <row r="398" spans="1:1">
      <c r="A398" s="32"/>
    </row>
    <row r="399" spans="1:1">
      <c r="A399" s="32"/>
    </row>
    <row r="400" spans="1:1">
      <c r="A400" s="32"/>
    </row>
    <row r="401" spans="1:1">
      <c r="A401" s="32"/>
    </row>
    <row r="402" spans="1:1">
      <c r="A402" s="32"/>
    </row>
    <row r="403" spans="1:1">
      <c r="A403" s="32"/>
    </row>
    <row r="404" spans="1:1">
      <c r="A404" s="32"/>
    </row>
    <row r="405" spans="1:1">
      <c r="A405" s="32"/>
    </row>
    <row r="406" spans="1:1">
      <c r="A406" s="32"/>
    </row>
    <row r="407" spans="1:1">
      <c r="A407" s="32"/>
    </row>
    <row r="408" spans="1:1">
      <c r="A408" s="32"/>
    </row>
    <row r="409" spans="1:1">
      <c r="A409" s="32"/>
    </row>
    <row r="410" spans="1:1">
      <c r="A410" s="32"/>
    </row>
    <row r="411" spans="1:1">
      <c r="A411" s="32"/>
    </row>
    <row r="412" spans="1:1">
      <c r="A412" s="32"/>
    </row>
    <row r="413" spans="1:1">
      <c r="A413" s="32"/>
    </row>
    <row r="414" spans="1:1">
      <c r="A414" s="32"/>
    </row>
    <row r="415" spans="1:1">
      <c r="A415" s="32"/>
    </row>
    <row r="416" spans="1:1">
      <c r="A416" s="32"/>
    </row>
    <row r="417" spans="1:1">
      <c r="A417" s="32"/>
    </row>
    <row r="418" spans="1:1">
      <c r="A418" s="32"/>
    </row>
    <row r="419" spans="1:1">
      <c r="A419" s="32"/>
    </row>
    <row r="420" spans="1:1">
      <c r="A420" s="32"/>
    </row>
    <row r="421" spans="1:1">
      <c r="A421" s="32"/>
    </row>
    <row r="422" spans="1:1">
      <c r="A422" s="32"/>
    </row>
    <row r="423" spans="1:1">
      <c r="A423" s="32"/>
    </row>
    <row r="424" spans="1:1">
      <c r="A424" s="32"/>
    </row>
    <row r="425" spans="1:1">
      <c r="A425" s="32"/>
    </row>
    <row r="426" spans="1:1">
      <c r="A426" s="32"/>
    </row>
    <row r="427" spans="1:1">
      <c r="A427" s="32"/>
    </row>
    <row r="428" spans="1:1">
      <c r="A428" s="32"/>
    </row>
    <row r="429" spans="1:1">
      <c r="A429" s="32"/>
    </row>
    <row r="430" spans="1:1">
      <c r="A430" s="32"/>
    </row>
    <row r="431" spans="1:1">
      <c r="A431" s="32"/>
    </row>
    <row r="432" spans="1:1">
      <c r="A432" s="32"/>
    </row>
    <row r="433" spans="1:1">
      <c r="A433" s="32"/>
    </row>
    <row r="434" spans="1:1">
      <c r="A434" s="32"/>
    </row>
    <row r="435" spans="1:1">
      <c r="A435" s="32"/>
    </row>
    <row r="436" spans="1:1">
      <c r="A436" s="32"/>
    </row>
    <row r="437" spans="1:1">
      <c r="A437" s="32"/>
    </row>
    <row r="438" spans="1:1">
      <c r="A438" s="32"/>
    </row>
    <row r="439" spans="1:1">
      <c r="A439" s="32"/>
    </row>
    <row r="440" spans="1:1">
      <c r="A440" s="32"/>
    </row>
    <row r="441" spans="1:1">
      <c r="A441" s="32"/>
    </row>
    <row r="442" spans="1:1">
      <c r="A442" s="32"/>
    </row>
    <row r="443" spans="1:1">
      <c r="A443" s="32"/>
    </row>
    <row r="444" spans="1:1">
      <c r="A444" s="32"/>
    </row>
    <row r="445" spans="1:1">
      <c r="A445" s="32"/>
    </row>
    <row r="446" spans="1:1">
      <c r="A446" s="32"/>
    </row>
    <row r="447" spans="1:1">
      <c r="A447" s="32"/>
    </row>
    <row r="448" spans="1:1">
      <c r="A448" s="32"/>
    </row>
    <row r="449" spans="1:1">
      <c r="A449" s="32"/>
    </row>
    <row r="450" spans="1:1">
      <c r="A450" s="32"/>
    </row>
    <row r="451" spans="1:1">
      <c r="A451" s="32"/>
    </row>
    <row r="452" spans="1:1">
      <c r="A452" s="32"/>
    </row>
    <row r="453" spans="1:1">
      <c r="A453" s="32"/>
    </row>
    <row r="454" spans="1:1">
      <c r="A454" s="32"/>
    </row>
    <row r="455" spans="1:1">
      <c r="A455" s="32"/>
    </row>
    <row r="456" spans="1:1">
      <c r="A456" s="32"/>
    </row>
    <row r="457" spans="1:1">
      <c r="A457" s="32"/>
    </row>
    <row r="458" spans="1:1">
      <c r="A458" s="32"/>
    </row>
    <row r="459" spans="1:1">
      <c r="A459" s="32"/>
    </row>
    <row r="460" spans="1:1">
      <c r="A460" s="32"/>
    </row>
    <row r="461" spans="1:1">
      <c r="A461" s="32"/>
    </row>
    <row r="462" spans="1:1">
      <c r="A462" s="32"/>
    </row>
    <row r="463" spans="1:1">
      <c r="A463" s="32"/>
    </row>
    <row r="464" spans="1:1">
      <c r="A464" s="32"/>
    </row>
    <row r="465" spans="1:1">
      <c r="A465" s="32"/>
    </row>
    <row r="466" spans="1:1">
      <c r="A466" s="32"/>
    </row>
    <row r="467" spans="1:1">
      <c r="A467" s="32"/>
    </row>
    <row r="468" spans="1:1">
      <c r="A468" s="32"/>
    </row>
    <row r="469" spans="1:1">
      <c r="A469" s="32"/>
    </row>
    <row r="470" spans="1:1">
      <c r="A470" s="32"/>
    </row>
    <row r="471" spans="1:1">
      <c r="A471" s="32"/>
    </row>
    <row r="472" spans="1:1">
      <c r="A472" s="32"/>
    </row>
    <row r="473" spans="1:1">
      <c r="A473" s="32"/>
    </row>
    <row r="474" spans="1:1">
      <c r="A474" s="32"/>
    </row>
    <row r="475" spans="1:1">
      <c r="A475" s="32"/>
    </row>
    <row r="476" spans="1:1">
      <c r="A476" s="32"/>
    </row>
    <row r="477" spans="1:1">
      <c r="A477" s="32"/>
    </row>
    <row r="478" spans="1:1">
      <c r="A478" s="32"/>
    </row>
    <row r="479" spans="1:1">
      <c r="A479" s="32"/>
    </row>
    <row r="480" spans="1:1">
      <c r="A480" s="32"/>
    </row>
    <row r="481" spans="1:1">
      <c r="A481" s="32"/>
    </row>
    <row r="482" spans="1:1">
      <c r="A482" s="32"/>
    </row>
    <row r="483" spans="1:1">
      <c r="A483" s="32"/>
    </row>
    <row r="484" spans="1:1">
      <c r="A484" s="32"/>
    </row>
    <row r="485" spans="1:1">
      <c r="A485" s="32"/>
    </row>
    <row r="486" spans="1:1">
      <c r="A486" s="32"/>
    </row>
    <row r="487" spans="1:1">
      <c r="A487" s="32"/>
    </row>
    <row r="488" spans="1:1">
      <c r="A488" s="32"/>
    </row>
    <row r="489" spans="1:1">
      <c r="A489" s="32"/>
    </row>
    <row r="490" spans="1:1">
      <c r="A490" s="32"/>
    </row>
    <row r="491" spans="1:1">
      <c r="A491" s="32"/>
    </row>
    <row r="492" spans="1:1">
      <c r="A492" s="32"/>
    </row>
    <row r="493" spans="1:1">
      <c r="A493" s="32"/>
    </row>
    <row r="494" spans="1:1">
      <c r="A494" s="32"/>
    </row>
    <row r="495" spans="1:1">
      <c r="A495" s="32"/>
    </row>
    <row r="496" spans="1:1">
      <c r="A496" s="32"/>
    </row>
    <row r="497" spans="1:1">
      <c r="A497" s="32"/>
    </row>
    <row r="498" spans="1:1">
      <c r="A498" s="32"/>
    </row>
    <row r="499" spans="1:1">
      <c r="A499" s="32"/>
    </row>
    <row r="500" spans="1:1">
      <c r="A500" s="32"/>
    </row>
    <row r="501" spans="1:1">
      <c r="A501" s="32"/>
    </row>
    <row r="502" spans="1:1">
      <c r="A502" s="32"/>
    </row>
    <row r="503" spans="1:1">
      <c r="A503" s="32"/>
    </row>
    <row r="504" spans="1:1">
      <c r="A504" s="32"/>
    </row>
    <row r="505" spans="1:1">
      <c r="A505" s="32"/>
    </row>
    <row r="506" spans="1:1">
      <c r="A506" s="32"/>
    </row>
    <row r="507" spans="1:1">
      <c r="A507" s="32"/>
    </row>
    <row r="508" spans="1:1">
      <c r="A508" s="32"/>
    </row>
    <row r="509" spans="1:1">
      <c r="A509" s="32"/>
    </row>
    <row r="510" spans="1:1">
      <c r="A510" s="32"/>
    </row>
    <row r="511" spans="1:1">
      <c r="A511" s="32"/>
    </row>
    <row r="512" spans="1:1">
      <c r="A512" s="32"/>
    </row>
    <row r="513" spans="1:1">
      <c r="A513" s="32"/>
    </row>
    <row r="514" spans="1:1">
      <c r="A514" s="32"/>
    </row>
    <row r="515" spans="1:1">
      <c r="A515" s="32"/>
    </row>
    <row r="516" spans="1:1">
      <c r="A516" s="32"/>
    </row>
    <row r="517" spans="1:1">
      <c r="A517" s="32"/>
    </row>
    <row r="518" spans="1:1">
      <c r="A518" s="32"/>
    </row>
    <row r="519" spans="1:1">
      <c r="A519" s="32"/>
    </row>
    <row r="520" spans="1:1">
      <c r="A520" s="32"/>
    </row>
    <row r="521" spans="1:1">
      <c r="A521" s="32"/>
    </row>
    <row r="522" spans="1:1">
      <c r="A522" s="32"/>
    </row>
    <row r="523" spans="1:1">
      <c r="A523" s="32"/>
    </row>
    <row r="524" spans="1:1">
      <c r="A524" s="32"/>
    </row>
    <row r="525" spans="1:1">
      <c r="A525" s="32"/>
    </row>
    <row r="526" spans="1:1">
      <c r="A526" s="32"/>
    </row>
    <row r="527" spans="1:1">
      <c r="A527" s="32"/>
    </row>
    <row r="528" spans="1:1">
      <c r="A528" s="32"/>
    </row>
    <row r="529" spans="1:1">
      <c r="A529" s="32"/>
    </row>
    <row r="530" spans="1:1">
      <c r="A530" s="32"/>
    </row>
    <row r="531" spans="1:1">
      <c r="A531" s="32"/>
    </row>
    <row r="532" spans="1:1">
      <c r="A532" s="32"/>
    </row>
    <row r="533" spans="1:1">
      <c r="A533" s="32"/>
    </row>
    <row r="534" spans="1:1">
      <c r="A534" s="32"/>
    </row>
    <row r="535" spans="1:1">
      <c r="A535" s="32"/>
    </row>
    <row r="536" spans="1:1">
      <c r="A536" s="32"/>
    </row>
    <row r="537" spans="1:1">
      <c r="A537" s="32"/>
    </row>
    <row r="538" spans="1:1">
      <c r="A538" s="32"/>
    </row>
    <row r="539" spans="1:1">
      <c r="A539" s="32"/>
    </row>
    <row r="540" spans="1:1">
      <c r="A540" s="32"/>
    </row>
    <row r="541" spans="1:1">
      <c r="A541" s="32"/>
    </row>
    <row r="542" spans="1:1">
      <c r="A542" s="32"/>
    </row>
    <row r="543" spans="1:1">
      <c r="A543" s="32"/>
    </row>
    <row r="544" spans="1:1">
      <c r="A544" s="32"/>
    </row>
    <row r="545" spans="1:1">
      <c r="A545" s="32"/>
    </row>
    <row r="546" spans="1:1">
      <c r="A546" s="32"/>
    </row>
    <row r="547" spans="1:1">
      <c r="A547" s="32"/>
    </row>
    <row r="548" spans="1:1">
      <c r="A548" s="32"/>
    </row>
    <row r="549" spans="1:1">
      <c r="A549" s="32"/>
    </row>
    <row r="550" spans="1:1">
      <c r="A550" s="32"/>
    </row>
    <row r="551" spans="1:1">
      <c r="A551" s="32"/>
    </row>
    <row r="552" spans="1:1">
      <c r="A552" s="32"/>
    </row>
    <row r="553" spans="1:1">
      <c r="A553" s="32"/>
    </row>
    <row r="554" spans="1:1">
      <c r="A554" s="32"/>
    </row>
    <row r="555" spans="1:1">
      <c r="A555" s="32"/>
    </row>
    <row r="556" spans="1:1">
      <c r="A556" s="32"/>
    </row>
    <row r="557" spans="1:1">
      <c r="A557" s="32"/>
    </row>
    <row r="558" spans="1:1">
      <c r="A558" s="32"/>
    </row>
    <row r="559" spans="1:1">
      <c r="A559" s="32"/>
    </row>
    <row r="560" spans="1:1">
      <c r="A560" s="32"/>
    </row>
    <row r="561" spans="1:1">
      <c r="A561" s="32"/>
    </row>
    <row r="562" spans="1:1">
      <c r="A562" s="32"/>
    </row>
    <row r="563" spans="1:1">
      <c r="A563" s="32"/>
    </row>
    <row r="564" spans="1:1">
      <c r="A564" s="32"/>
    </row>
    <row r="565" spans="1:1">
      <c r="A565" s="32"/>
    </row>
    <row r="566" spans="1:1">
      <c r="A566" s="32"/>
    </row>
    <row r="567" spans="1:1">
      <c r="A567" s="32"/>
    </row>
    <row r="568" spans="1:1">
      <c r="A568" s="32"/>
    </row>
    <row r="569" spans="1:1">
      <c r="A569" s="32"/>
    </row>
    <row r="570" spans="1:1">
      <c r="A570" s="32"/>
    </row>
    <row r="571" spans="1:1">
      <c r="A571" s="32"/>
    </row>
    <row r="572" spans="1:1">
      <c r="A572" s="32"/>
    </row>
    <row r="573" spans="1:1">
      <c r="A573" s="32"/>
    </row>
    <row r="574" spans="1:1">
      <c r="A574" s="32"/>
    </row>
    <row r="575" spans="1:1">
      <c r="A575" s="32"/>
    </row>
    <row r="576" spans="1:1">
      <c r="A576" s="32"/>
    </row>
    <row r="577" spans="1:1">
      <c r="A577" s="32"/>
    </row>
    <row r="578" spans="1:1">
      <c r="A578" s="32"/>
    </row>
    <row r="579" spans="1:1">
      <c r="A579" s="32"/>
    </row>
    <row r="580" spans="1:1">
      <c r="A580" s="32"/>
    </row>
    <row r="581" spans="1:1">
      <c r="A581" s="32"/>
    </row>
    <row r="582" spans="1:1">
      <c r="A582" s="32"/>
    </row>
    <row r="583" spans="1:1">
      <c r="A583" s="32"/>
    </row>
    <row r="584" spans="1:1">
      <c r="A584" s="32"/>
    </row>
    <row r="585" spans="1:1">
      <c r="A585" s="32"/>
    </row>
    <row r="586" spans="1:1">
      <c r="A586" s="32"/>
    </row>
    <row r="587" spans="1:1">
      <c r="A587" s="32"/>
    </row>
    <row r="588" spans="1:1">
      <c r="A588" s="32"/>
    </row>
    <row r="589" spans="1:1">
      <c r="A589" s="32"/>
    </row>
    <row r="590" spans="1:1">
      <c r="A590" s="32"/>
    </row>
    <row r="591" spans="1:1">
      <c r="A591" s="32"/>
    </row>
    <row r="592" spans="1:1">
      <c r="A592" s="32"/>
    </row>
    <row r="593" spans="1:1">
      <c r="A593" s="32"/>
    </row>
    <row r="594" spans="1:1">
      <c r="A594" s="32"/>
    </row>
    <row r="595" spans="1:1">
      <c r="A595" s="32"/>
    </row>
    <row r="596" spans="1:1">
      <c r="A596" s="32"/>
    </row>
    <row r="597" spans="1:1">
      <c r="A597" s="32"/>
    </row>
    <row r="598" spans="1:1">
      <c r="A598" s="32"/>
    </row>
    <row r="599" spans="1:1">
      <c r="A599" s="32"/>
    </row>
    <row r="600" spans="1:1">
      <c r="A600" s="32"/>
    </row>
    <row r="601" spans="1:1">
      <c r="A601" s="32"/>
    </row>
    <row r="602" spans="1:1">
      <c r="A602" s="32"/>
    </row>
    <row r="603" spans="1:1">
      <c r="A603" s="32"/>
    </row>
    <row r="604" spans="1:1">
      <c r="A604" s="32"/>
    </row>
    <row r="605" spans="1:1">
      <c r="A605" s="32"/>
    </row>
    <row r="606" spans="1:1">
      <c r="A606" s="32"/>
    </row>
    <row r="607" spans="1:1">
      <c r="A607" s="32"/>
    </row>
    <row r="608" spans="1:1">
      <c r="A608" s="32"/>
    </row>
    <row r="609" spans="1:1">
      <c r="A609" s="32"/>
    </row>
    <row r="610" spans="1:1">
      <c r="A610" s="32"/>
    </row>
    <row r="611" spans="1:1">
      <c r="A611" s="32"/>
    </row>
    <row r="612" spans="1:1">
      <c r="A612" s="32"/>
    </row>
    <row r="613" spans="1:1">
      <c r="A613" s="32"/>
    </row>
    <row r="614" spans="1:1">
      <c r="A614" s="32"/>
    </row>
    <row r="615" spans="1:1">
      <c r="A615" s="32"/>
    </row>
    <row r="616" spans="1:1">
      <c r="A616" s="32"/>
    </row>
    <row r="617" spans="1:1">
      <c r="A617" s="32"/>
    </row>
    <row r="618" spans="1:1">
      <c r="A618" s="32"/>
    </row>
    <row r="619" spans="1:1">
      <c r="A619" s="32"/>
    </row>
    <row r="620" spans="1:1">
      <c r="A620" s="32"/>
    </row>
    <row r="621" spans="1:1">
      <c r="A621" s="32"/>
    </row>
    <row r="622" spans="1:1">
      <c r="A622" s="32"/>
    </row>
    <row r="623" spans="1:1">
      <c r="A623" s="32"/>
    </row>
    <row r="624" spans="1:1">
      <c r="A624" s="32"/>
    </row>
    <row r="625" spans="1:1">
      <c r="A625" s="32"/>
    </row>
    <row r="626" spans="1:1">
      <c r="A626" s="32"/>
    </row>
    <row r="627" spans="1:1">
      <c r="A627" s="32"/>
    </row>
    <row r="628" spans="1:1">
      <c r="A628" s="32"/>
    </row>
    <row r="629" spans="1:1">
      <c r="A629" s="32"/>
    </row>
    <row r="630" spans="1:1">
      <c r="A630" s="32"/>
    </row>
    <row r="631" spans="1:1">
      <c r="A631" s="32"/>
    </row>
    <row r="632" spans="1:1">
      <c r="A632" s="32"/>
    </row>
    <row r="633" spans="1:1">
      <c r="A633" s="32"/>
    </row>
    <row r="634" spans="1:1">
      <c r="A634" s="32"/>
    </row>
    <row r="635" spans="1:1">
      <c r="A635" s="32"/>
    </row>
    <row r="636" spans="1:1">
      <c r="A636" s="32"/>
    </row>
    <row r="637" spans="1:1">
      <c r="A637" s="32"/>
    </row>
    <row r="638" spans="1:1">
      <c r="A638" s="32"/>
    </row>
    <row r="639" spans="1:1">
      <c r="A639" s="32"/>
    </row>
    <row r="640" spans="1:1">
      <c r="A640" s="32"/>
    </row>
    <row r="641" spans="1:1">
      <c r="A641" s="32"/>
    </row>
    <row r="642" spans="1:1">
      <c r="A642" s="32"/>
    </row>
    <row r="643" spans="1:1">
      <c r="A643" s="32"/>
    </row>
    <row r="644" spans="1:1">
      <c r="A644" s="32"/>
    </row>
    <row r="645" spans="1:1">
      <c r="A645" s="32"/>
    </row>
    <row r="646" spans="1:1">
      <c r="A646" s="32"/>
    </row>
    <row r="647" spans="1:1">
      <c r="A647" s="32"/>
    </row>
    <row r="648" spans="1:1">
      <c r="A648" s="32"/>
    </row>
    <row r="649" spans="1:1">
      <c r="A649" s="32"/>
    </row>
    <row r="650" spans="1:1">
      <c r="A650" s="32"/>
    </row>
    <row r="651" spans="1:1">
      <c r="A651" s="32"/>
    </row>
    <row r="652" spans="1:1">
      <c r="A652" s="32"/>
    </row>
    <row r="653" spans="1:1">
      <c r="A653" s="32"/>
    </row>
    <row r="654" spans="1:1">
      <c r="A654" s="32"/>
    </row>
    <row r="655" spans="1:1">
      <c r="A655" s="32"/>
    </row>
    <row r="656" spans="1:1">
      <c r="A656" s="32"/>
    </row>
    <row r="657" spans="1:1">
      <c r="A657" s="32"/>
    </row>
    <row r="658" spans="1:1">
      <c r="A658" s="32"/>
    </row>
    <row r="659" spans="1:1">
      <c r="A659" s="32"/>
    </row>
    <row r="660" spans="1:1">
      <c r="A660" s="32"/>
    </row>
    <row r="661" spans="1:1">
      <c r="A661" s="32"/>
    </row>
    <row r="662" spans="1:1">
      <c r="A662" s="32"/>
    </row>
    <row r="663" spans="1:1">
      <c r="A663" s="32"/>
    </row>
    <row r="664" spans="1:1">
      <c r="A664" s="32"/>
    </row>
    <row r="665" spans="1:1">
      <c r="A665" s="32"/>
    </row>
    <row r="666" spans="1:1">
      <c r="A666" s="32"/>
    </row>
    <row r="667" spans="1:1">
      <c r="A667" s="32"/>
    </row>
    <row r="668" spans="1:1">
      <c r="A668" s="32"/>
    </row>
    <row r="669" spans="1:1">
      <c r="A669" s="32"/>
    </row>
    <row r="670" spans="1:1">
      <c r="A670" s="32"/>
    </row>
    <row r="671" spans="1:1">
      <c r="A671" s="32"/>
    </row>
    <row r="672" spans="1:1">
      <c r="A672" s="32"/>
    </row>
    <row r="673" spans="1:1">
      <c r="A673" s="32"/>
    </row>
    <row r="674" spans="1:1">
      <c r="A674" s="32"/>
    </row>
    <row r="675" spans="1:1">
      <c r="A675" s="32"/>
    </row>
    <row r="676" spans="1:1">
      <c r="A676" s="32"/>
    </row>
    <row r="677" spans="1:1">
      <c r="A677" s="32"/>
    </row>
    <row r="678" spans="1:1">
      <c r="A678" s="32"/>
    </row>
    <row r="679" spans="1:1">
      <c r="A679" s="32"/>
    </row>
    <row r="680" spans="1:1">
      <c r="A680" s="32"/>
    </row>
    <row r="681" spans="1:1">
      <c r="A681" s="32"/>
    </row>
    <row r="682" spans="1:1">
      <c r="A682" s="32"/>
    </row>
    <row r="683" spans="1:1">
      <c r="A683" s="32"/>
    </row>
    <row r="684" spans="1:1">
      <c r="A684" s="32"/>
    </row>
    <row r="685" spans="1:1">
      <c r="A685" s="32"/>
    </row>
    <row r="686" spans="1:1">
      <c r="A686" s="32"/>
    </row>
    <row r="687" spans="1:1">
      <c r="A687" s="32"/>
    </row>
    <row r="688" spans="1:1">
      <c r="A688" s="32"/>
    </row>
    <row r="689" spans="1:1">
      <c r="A689" s="32"/>
    </row>
    <row r="690" spans="1:1">
      <c r="A690" s="32"/>
    </row>
    <row r="691" spans="1:1">
      <c r="A691" s="32"/>
    </row>
    <row r="692" spans="1:1">
      <c r="A692" s="32"/>
    </row>
    <row r="693" spans="1:1">
      <c r="A693" s="32"/>
    </row>
    <row r="694" spans="1:1">
      <c r="A694" s="32"/>
    </row>
    <row r="695" spans="1:1">
      <c r="A695" s="32"/>
    </row>
    <row r="696" spans="1:1">
      <c r="A696" s="32"/>
    </row>
    <row r="697" spans="1:1">
      <c r="A697" s="32"/>
    </row>
    <row r="698" spans="1:1">
      <c r="A698" s="32"/>
    </row>
    <row r="699" spans="1:1">
      <c r="A699" s="32"/>
    </row>
    <row r="700" spans="1:1">
      <c r="A700" s="32"/>
    </row>
    <row r="701" spans="1:1">
      <c r="A701" s="32"/>
    </row>
    <row r="702" spans="1:1">
      <c r="A702" s="32"/>
    </row>
    <row r="703" spans="1:1">
      <c r="A703" s="32"/>
    </row>
    <row r="704" spans="1:1">
      <c r="A704" s="32"/>
    </row>
    <row r="705" spans="1:1">
      <c r="A705" s="32"/>
    </row>
    <row r="706" spans="1:1">
      <c r="A706" s="32"/>
    </row>
    <row r="707" spans="1:1">
      <c r="A707" s="32"/>
    </row>
    <row r="708" spans="1:1">
      <c r="A708" s="32"/>
    </row>
    <row r="709" spans="1:1">
      <c r="A709" s="32"/>
    </row>
    <row r="710" spans="1:1">
      <c r="A710" s="32"/>
    </row>
    <row r="711" spans="1:1">
      <c r="A711" s="32"/>
    </row>
    <row r="712" spans="1:1">
      <c r="A712" s="32"/>
    </row>
    <row r="713" spans="1:1">
      <c r="A713" s="32"/>
    </row>
    <row r="714" spans="1:1">
      <c r="A714" s="32"/>
    </row>
    <row r="715" spans="1:1">
      <c r="A715" s="32"/>
    </row>
    <row r="716" spans="1:1">
      <c r="A716" s="32"/>
    </row>
    <row r="717" spans="1:1">
      <c r="A717" s="32"/>
    </row>
    <row r="718" spans="1:1">
      <c r="A718" s="32"/>
    </row>
    <row r="719" spans="1:1">
      <c r="A719" s="32"/>
    </row>
    <row r="720" spans="1:1">
      <c r="A720" s="32"/>
    </row>
    <row r="721" spans="1:1">
      <c r="A721" s="32"/>
    </row>
    <row r="722" spans="1:1">
      <c r="A722" s="32"/>
    </row>
    <row r="723" spans="1:1">
      <c r="A723" s="32"/>
    </row>
    <row r="724" spans="1:1">
      <c r="A724" s="32"/>
    </row>
    <row r="725" spans="1:1">
      <c r="A725" s="32"/>
    </row>
    <row r="726" spans="1:1">
      <c r="A726" s="32"/>
    </row>
    <row r="727" spans="1:1">
      <c r="A727" s="32"/>
    </row>
    <row r="728" spans="1:1">
      <c r="A728" s="32"/>
    </row>
    <row r="729" spans="1:1">
      <c r="A729" s="32"/>
    </row>
    <row r="730" spans="1:1">
      <c r="A730" s="32"/>
    </row>
    <row r="731" spans="1:1">
      <c r="A731" s="32"/>
    </row>
    <row r="732" spans="1:1">
      <c r="A732" s="32"/>
    </row>
    <row r="733" spans="1:1">
      <c r="A733" s="32"/>
    </row>
    <row r="734" spans="1:1">
      <c r="A734" s="32"/>
    </row>
    <row r="735" spans="1:1">
      <c r="A735" s="32"/>
    </row>
    <row r="736" spans="1:1">
      <c r="A736" s="32"/>
    </row>
    <row r="737" spans="1:1">
      <c r="A737" s="32"/>
    </row>
    <row r="738" spans="1:1">
      <c r="A738" s="32"/>
    </row>
    <row r="739" spans="1:1">
      <c r="A739" s="32"/>
    </row>
    <row r="740" spans="1:1">
      <c r="A740" s="32"/>
    </row>
    <row r="741" spans="1:1">
      <c r="A741" s="32"/>
    </row>
    <row r="742" spans="1:1">
      <c r="A742" s="32"/>
    </row>
    <row r="743" spans="1:1">
      <c r="A743" s="32"/>
    </row>
    <row r="744" spans="1:1">
      <c r="A744" s="32"/>
    </row>
    <row r="745" spans="1:1">
      <c r="A745" s="32"/>
    </row>
    <row r="746" spans="1:1">
      <c r="A746" s="32"/>
    </row>
    <row r="747" spans="1:1">
      <c r="A747" s="32"/>
    </row>
    <row r="748" spans="1:1">
      <c r="A748" s="32"/>
    </row>
    <row r="749" spans="1:1">
      <c r="A749" s="32"/>
    </row>
    <row r="750" spans="1:1">
      <c r="A750" s="32"/>
    </row>
    <row r="751" spans="1:1">
      <c r="A751" s="32"/>
    </row>
    <row r="752" spans="1:1">
      <c r="A752" s="32"/>
    </row>
    <row r="753" spans="1:1">
      <c r="A753" s="32"/>
    </row>
    <row r="754" spans="1:1">
      <c r="A754" s="32"/>
    </row>
    <row r="755" spans="1:1">
      <c r="A755" s="32"/>
    </row>
    <row r="756" spans="1:1">
      <c r="A756" s="32"/>
    </row>
    <row r="757" spans="1:1">
      <c r="A757" s="32"/>
    </row>
    <row r="758" spans="1:1">
      <c r="A758" s="32"/>
    </row>
    <row r="759" spans="1:1">
      <c r="A759" s="32"/>
    </row>
    <row r="760" spans="1:1">
      <c r="A760" s="32"/>
    </row>
    <row r="761" spans="1:1">
      <c r="A761" s="32"/>
    </row>
    <row r="762" spans="1:1">
      <c r="A762" s="32"/>
    </row>
    <row r="763" spans="1:1">
      <c r="A763" s="32"/>
    </row>
    <row r="764" spans="1:1">
      <c r="A764" s="32"/>
    </row>
    <row r="765" spans="1:1">
      <c r="A765" s="32"/>
    </row>
    <row r="766" spans="1:1">
      <c r="A766" s="32"/>
    </row>
    <row r="767" spans="1:1">
      <c r="A767" s="32"/>
    </row>
    <row r="768" spans="1:1">
      <c r="A768" s="32"/>
    </row>
    <row r="769" spans="1:1">
      <c r="A769" s="32"/>
    </row>
    <row r="770" spans="1:1">
      <c r="A770" s="32"/>
    </row>
    <row r="771" spans="1:1">
      <c r="A771" s="32"/>
    </row>
    <row r="772" spans="1:1">
      <c r="A772" s="32"/>
    </row>
    <row r="773" spans="1:1">
      <c r="A773" s="32"/>
    </row>
    <row r="774" spans="1:1">
      <c r="A774" s="32"/>
    </row>
    <row r="775" spans="1:1">
      <c r="A775" s="32"/>
    </row>
    <row r="776" spans="1:1">
      <c r="A776" s="32"/>
    </row>
    <row r="777" spans="1:1">
      <c r="A777" s="32"/>
    </row>
    <row r="778" spans="1:1">
      <c r="A778" s="32"/>
    </row>
    <row r="779" spans="1:1">
      <c r="A779" s="32"/>
    </row>
    <row r="780" spans="1:1">
      <c r="A780" s="32"/>
    </row>
    <row r="781" spans="1:1">
      <c r="A781" s="32"/>
    </row>
    <row r="782" spans="1:1">
      <c r="A782" s="32"/>
    </row>
    <row r="783" spans="1:1">
      <c r="A783" s="32"/>
    </row>
    <row r="784" spans="1:1">
      <c r="A784" s="32"/>
    </row>
    <row r="785" spans="1:1">
      <c r="A785" s="32"/>
    </row>
    <row r="786" spans="1:1">
      <c r="A786" s="32"/>
    </row>
    <row r="787" spans="1:1">
      <c r="A787" s="32"/>
    </row>
    <row r="788" spans="1:1">
      <c r="A788" s="32"/>
    </row>
    <row r="789" spans="1:1">
      <c r="A789" s="32"/>
    </row>
    <row r="790" spans="1:1">
      <c r="A790" s="32"/>
    </row>
    <row r="791" spans="1:1">
      <c r="A791" s="32"/>
    </row>
    <row r="792" spans="1:1">
      <c r="A792" s="32"/>
    </row>
    <row r="793" spans="1:1">
      <c r="A793" s="32"/>
    </row>
    <row r="794" spans="1:1">
      <c r="A794" s="32"/>
    </row>
    <row r="795" spans="1:1">
      <c r="A795" s="32"/>
    </row>
    <row r="796" spans="1:1">
      <c r="A796" s="32"/>
    </row>
    <row r="797" spans="1:1">
      <c r="A797" s="32"/>
    </row>
    <row r="798" spans="1:1">
      <c r="A798" s="32"/>
    </row>
    <row r="799" spans="1:1">
      <c r="A799" s="32"/>
    </row>
    <row r="800" spans="1:1">
      <c r="A800" s="32"/>
    </row>
    <row r="801" spans="1:1">
      <c r="A801" s="32"/>
    </row>
    <row r="802" spans="1:1">
      <c r="A802" s="32"/>
    </row>
    <row r="803" spans="1:1">
      <c r="A803" s="32"/>
    </row>
    <row r="804" spans="1:1">
      <c r="A804" s="32"/>
    </row>
    <row r="805" spans="1:1">
      <c r="A805" s="32"/>
    </row>
    <row r="806" spans="1:1">
      <c r="A806" s="32"/>
    </row>
    <row r="807" spans="1:1">
      <c r="A807" s="32"/>
    </row>
    <row r="808" spans="1:1">
      <c r="A808" s="32"/>
    </row>
    <row r="809" spans="1:1">
      <c r="A809" s="32"/>
    </row>
    <row r="810" spans="1:1">
      <c r="A810" s="32"/>
    </row>
    <row r="811" spans="1:1">
      <c r="A811" s="32"/>
    </row>
    <row r="812" spans="1:1">
      <c r="A812" s="32"/>
    </row>
    <row r="813" spans="1:1">
      <c r="A813" s="32"/>
    </row>
    <row r="814" spans="1:1">
      <c r="A814" s="32"/>
    </row>
    <row r="815" spans="1:1">
      <c r="A815" s="32"/>
    </row>
    <row r="816" spans="1:1">
      <c r="A816" s="32"/>
    </row>
    <row r="817" spans="1:1">
      <c r="A817" s="32"/>
    </row>
    <row r="818" spans="1:1">
      <c r="A818" s="32"/>
    </row>
    <row r="819" spans="1:1">
      <c r="A819" s="32"/>
    </row>
    <row r="820" spans="1:1">
      <c r="A820" s="32"/>
    </row>
    <row r="821" spans="1:1">
      <c r="A821" s="32"/>
    </row>
    <row r="822" spans="1:1">
      <c r="A822" s="32"/>
    </row>
    <row r="823" spans="1:1">
      <c r="A823" s="32"/>
    </row>
    <row r="824" spans="1:1">
      <c r="A824" s="32"/>
    </row>
    <row r="825" spans="1:1">
      <c r="A825" s="32"/>
    </row>
    <row r="826" spans="1:1">
      <c r="A826" s="32"/>
    </row>
    <row r="827" spans="1:1">
      <c r="A827" s="32"/>
    </row>
    <row r="828" spans="1:1">
      <c r="A828" s="32"/>
    </row>
    <row r="829" spans="1:1">
      <c r="A829" s="32"/>
    </row>
    <row r="830" spans="1:1">
      <c r="A830" s="32"/>
    </row>
    <row r="831" spans="1:1">
      <c r="A831" s="32"/>
    </row>
    <row r="832" spans="1:1">
      <c r="A832" s="32"/>
    </row>
    <row r="833" spans="1:1">
      <c r="A833" s="32"/>
    </row>
    <row r="834" spans="1:1">
      <c r="A834" s="32"/>
    </row>
    <row r="835" spans="1:1">
      <c r="A835" s="32"/>
    </row>
    <row r="836" spans="1:1">
      <c r="A836" s="32"/>
    </row>
    <row r="837" spans="1:1">
      <c r="A837" s="32"/>
    </row>
    <row r="838" spans="1:1">
      <c r="A838" s="32"/>
    </row>
    <row r="839" spans="1:1">
      <c r="A839" s="32"/>
    </row>
    <row r="840" spans="1:1">
      <c r="A840" s="32"/>
    </row>
    <row r="841" spans="1:1">
      <c r="A841" s="32"/>
    </row>
    <row r="842" spans="1:1">
      <c r="A842" s="32"/>
    </row>
    <row r="843" spans="1:1">
      <c r="A843" s="32"/>
    </row>
    <row r="844" spans="1:1">
      <c r="A844" s="32"/>
    </row>
    <row r="845" spans="1:1">
      <c r="A845" s="32"/>
    </row>
    <row r="846" spans="1:1">
      <c r="A846" s="32"/>
    </row>
    <row r="847" spans="1:1">
      <c r="A847" s="32"/>
    </row>
    <row r="848" spans="1:1">
      <c r="A848" s="32"/>
    </row>
    <row r="849" spans="1:1">
      <c r="A849" s="32"/>
    </row>
    <row r="850" spans="1:1">
      <c r="A850" s="32"/>
    </row>
    <row r="851" spans="1:1">
      <c r="A851" s="32"/>
    </row>
    <row r="852" spans="1:1">
      <c r="A852" s="32"/>
    </row>
    <row r="853" spans="1:1">
      <c r="A853" s="32"/>
    </row>
    <row r="854" spans="1:1">
      <c r="A854" s="32"/>
    </row>
    <row r="855" spans="1:1">
      <c r="A855" s="32"/>
    </row>
    <row r="856" spans="1:1">
      <c r="A856" s="32"/>
    </row>
    <row r="857" spans="1:1">
      <c r="A857" s="32"/>
    </row>
    <row r="858" spans="1:1">
      <c r="A858" s="32"/>
    </row>
    <row r="859" spans="1:1">
      <c r="A859" s="32"/>
    </row>
    <row r="860" spans="1:1">
      <c r="A860" s="32"/>
    </row>
    <row r="861" spans="1:1">
      <c r="A861" s="32"/>
    </row>
    <row r="862" spans="1:1">
      <c r="A862" s="32"/>
    </row>
    <row r="863" spans="1:1">
      <c r="A863" s="32"/>
    </row>
    <row r="864" spans="1:1">
      <c r="A864" s="32"/>
    </row>
    <row r="865" spans="1:1">
      <c r="A865" s="32"/>
    </row>
    <row r="866" spans="1:1">
      <c r="A866" s="32"/>
    </row>
    <row r="867" spans="1:1">
      <c r="A867" s="32"/>
    </row>
    <row r="868" spans="1:1">
      <c r="A868" s="32"/>
    </row>
    <row r="869" spans="1:1">
      <c r="A869" s="32"/>
    </row>
    <row r="870" spans="1:1">
      <c r="A870" s="32"/>
    </row>
    <row r="871" spans="1:1">
      <c r="A871" s="32"/>
    </row>
    <row r="872" spans="1:1">
      <c r="A872" s="32"/>
    </row>
    <row r="873" spans="1:1">
      <c r="A873" s="32"/>
    </row>
    <row r="874" spans="1:1">
      <c r="A874" s="32"/>
    </row>
    <row r="875" spans="1:1">
      <c r="A875" s="32"/>
    </row>
    <row r="876" spans="1:1">
      <c r="A876" s="32"/>
    </row>
    <row r="877" spans="1:1">
      <c r="A877" s="32"/>
    </row>
    <row r="878" spans="1:1">
      <c r="A878" s="32"/>
    </row>
    <row r="879" spans="1:1">
      <c r="A879" s="32"/>
    </row>
    <row r="880" spans="1:1">
      <c r="A880" s="32"/>
    </row>
    <row r="881" spans="1:1">
      <c r="A881" s="32"/>
    </row>
    <row r="882" spans="1:1">
      <c r="A882" s="32"/>
    </row>
    <row r="883" spans="1:1">
      <c r="A883" s="32"/>
    </row>
    <row r="884" spans="1:1">
      <c r="A884" s="32"/>
    </row>
    <row r="885" spans="1:1">
      <c r="A885" s="32"/>
    </row>
    <row r="886" spans="1:1">
      <c r="A886" s="32"/>
    </row>
    <row r="887" spans="1:1">
      <c r="A887" s="32"/>
    </row>
    <row r="888" spans="1:1">
      <c r="A888" s="32"/>
    </row>
    <row r="889" spans="1:1">
      <c r="A889" s="32"/>
    </row>
    <row r="890" spans="1:1">
      <c r="A890" s="32"/>
    </row>
    <row r="891" spans="1:1">
      <c r="A891" s="32"/>
    </row>
    <row r="892" spans="1:1">
      <c r="A892" s="32"/>
    </row>
    <row r="893" spans="1:1">
      <c r="A893" s="32"/>
    </row>
    <row r="894" spans="1:1">
      <c r="A894" s="32"/>
    </row>
    <row r="895" spans="1:1">
      <c r="A895" s="32"/>
    </row>
    <row r="896" spans="1:1">
      <c r="A896" s="32"/>
    </row>
    <row r="897" spans="1:1">
      <c r="A897" s="32"/>
    </row>
    <row r="898" spans="1:1">
      <c r="A898" s="32"/>
    </row>
    <row r="899" spans="1:1">
      <c r="A899" s="32"/>
    </row>
    <row r="900" spans="1:1">
      <c r="A900" s="32"/>
    </row>
    <row r="901" spans="1:1">
      <c r="A901" s="32"/>
    </row>
    <row r="902" spans="1:1">
      <c r="A902" s="32"/>
    </row>
    <row r="903" spans="1:1">
      <c r="A903" s="32"/>
    </row>
    <row r="904" spans="1:1">
      <c r="A904" s="32"/>
    </row>
    <row r="905" spans="1:1">
      <c r="A905" s="32"/>
    </row>
    <row r="906" spans="1:1">
      <c r="A906" s="32"/>
    </row>
    <row r="907" spans="1:1">
      <c r="A907" s="32"/>
    </row>
    <row r="908" spans="1:1">
      <c r="A908" s="32"/>
    </row>
    <row r="909" spans="1:1">
      <c r="A909" s="32"/>
    </row>
    <row r="910" spans="1:1">
      <c r="A910" s="32"/>
    </row>
    <row r="911" spans="1:1">
      <c r="A911" s="32"/>
    </row>
    <row r="912" spans="1:1">
      <c r="A912" s="32"/>
    </row>
    <row r="913" spans="1:1">
      <c r="A913" s="32"/>
    </row>
    <row r="914" spans="1:1">
      <c r="A914" s="32"/>
    </row>
    <row r="915" spans="1:1">
      <c r="A915" s="32"/>
    </row>
    <row r="916" spans="1:1">
      <c r="A916" s="32"/>
    </row>
    <row r="917" spans="1:1">
      <c r="A917" s="32"/>
    </row>
    <row r="918" spans="1:1">
      <c r="A918" s="32"/>
    </row>
    <row r="919" spans="1:1">
      <c r="A919" s="32"/>
    </row>
    <row r="920" spans="1:1">
      <c r="A920" s="32"/>
    </row>
    <row r="921" spans="1:1">
      <c r="A921" s="32"/>
    </row>
    <row r="922" spans="1:1">
      <c r="A922" s="32"/>
    </row>
    <row r="923" spans="1:1">
      <c r="A923" s="32"/>
    </row>
    <row r="924" spans="1:1">
      <c r="A924" s="32"/>
    </row>
    <row r="925" spans="1:1">
      <c r="A925" s="32"/>
    </row>
    <row r="926" spans="1:1">
      <c r="A926" s="32"/>
    </row>
    <row r="927" spans="1:1">
      <c r="A927" s="32"/>
    </row>
    <row r="928" spans="1:1">
      <c r="A928" s="32"/>
    </row>
    <row r="929" spans="1:1">
      <c r="A929" s="32"/>
    </row>
    <row r="930" spans="1:1">
      <c r="A930" s="32"/>
    </row>
    <row r="931" spans="1:1">
      <c r="A931" s="32"/>
    </row>
    <row r="932" spans="1:1">
      <c r="A932" s="32"/>
    </row>
    <row r="933" spans="1:1">
      <c r="A933" s="32"/>
    </row>
    <row r="934" spans="1:1">
      <c r="A934" s="32"/>
    </row>
    <row r="935" spans="1:1">
      <c r="A935" s="32"/>
    </row>
    <row r="936" spans="1:1">
      <c r="A936" s="32"/>
    </row>
    <row r="937" spans="1:1">
      <c r="A937" s="32"/>
    </row>
    <row r="938" spans="1:1">
      <c r="A938" s="32"/>
    </row>
    <row r="939" spans="1:1">
      <c r="A939" s="32"/>
    </row>
    <row r="940" spans="1:1">
      <c r="A940" s="32"/>
    </row>
    <row r="941" spans="1:1">
      <c r="A941" s="32"/>
    </row>
    <row r="942" spans="1:1">
      <c r="A942" s="32"/>
    </row>
    <row r="943" spans="1:1">
      <c r="A943" s="32"/>
    </row>
    <row r="944" spans="1:1">
      <c r="A944" s="32"/>
    </row>
    <row r="945" spans="1:1">
      <c r="A945" s="32"/>
    </row>
    <row r="946" spans="1:1">
      <c r="A946" s="32"/>
    </row>
    <row r="947" spans="1:1">
      <c r="A947" s="32"/>
    </row>
    <row r="948" spans="1:1">
      <c r="A948" s="32"/>
    </row>
    <row r="949" spans="1:1">
      <c r="A949" s="32"/>
    </row>
    <row r="950" spans="1:1">
      <c r="A950" s="32"/>
    </row>
    <row r="951" spans="1:1">
      <c r="A951" s="32"/>
    </row>
    <row r="952" spans="1:1">
      <c r="A952" s="32"/>
    </row>
    <row r="953" spans="1:1">
      <c r="A953" s="32"/>
    </row>
    <row r="954" spans="1:1">
      <c r="A954" s="32"/>
    </row>
    <row r="955" spans="1:1">
      <c r="A955" s="32"/>
    </row>
    <row r="956" spans="1:1">
      <c r="A956" s="32"/>
    </row>
    <row r="957" spans="1:1">
      <c r="A957" s="32"/>
    </row>
    <row r="958" spans="1:1">
      <c r="A958" s="32"/>
    </row>
    <row r="959" spans="1:1">
      <c r="A959" s="32"/>
    </row>
    <row r="960" spans="1:1">
      <c r="A960" s="32"/>
    </row>
    <row r="961" spans="1:1">
      <c r="A961" s="32"/>
    </row>
    <row r="962" spans="1:1">
      <c r="A962" s="32"/>
    </row>
    <row r="963" spans="1:1">
      <c r="A963" s="32"/>
    </row>
    <row r="964" spans="1:1">
      <c r="A964" s="32"/>
    </row>
    <row r="965" spans="1:1">
      <c r="A965" s="32"/>
    </row>
    <row r="966" spans="1:1">
      <c r="A966" s="32"/>
    </row>
    <row r="967" spans="1:1">
      <c r="A967" s="32"/>
    </row>
    <row r="968" spans="1:1">
      <c r="A968" s="32"/>
    </row>
    <row r="969" spans="1:1">
      <c r="A969" s="32"/>
    </row>
    <row r="970" spans="1:1">
      <c r="A970" s="32"/>
    </row>
    <row r="971" spans="1:1">
      <c r="A971" s="32"/>
    </row>
    <row r="972" spans="1:1">
      <c r="A972" s="32"/>
    </row>
    <row r="973" spans="1:1">
      <c r="A973" s="32"/>
    </row>
    <row r="974" spans="1:1">
      <c r="A974" s="32"/>
    </row>
    <row r="975" spans="1:1">
      <c r="A975" s="32"/>
    </row>
    <row r="976" spans="1:1">
      <c r="A976" s="32"/>
    </row>
    <row r="977" spans="1:1">
      <c r="A977" s="32"/>
    </row>
    <row r="978" spans="1:1">
      <c r="A978" s="32"/>
    </row>
    <row r="979" spans="1:1">
      <c r="A979" s="32"/>
    </row>
    <row r="980" spans="1:1">
      <c r="A980" s="32"/>
    </row>
    <row r="981" spans="1:1">
      <c r="A981" s="32"/>
    </row>
    <row r="982" spans="1:1">
      <c r="A982" s="32"/>
    </row>
    <row r="983" spans="1:1">
      <c r="A983" s="32"/>
    </row>
    <row r="984" spans="1:1">
      <c r="A984" s="32"/>
    </row>
    <row r="985" spans="1:1">
      <c r="A985" s="32"/>
    </row>
    <row r="986" spans="1:1">
      <c r="A986" s="32"/>
    </row>
    <row r="987" spans="1:1">
      <c r="A987" s="32"/>
    </row>
    <row r="988" spans="1:1">
      <c r="A988" s="32"/>
    </row>
    <row r="989" spans="1:1">
      <c r="A989" s="32"/>
    </row>
    <row r="990" spans="1:1">
      <c r="A990" s="32"/>
    </row>
    <row r="991" spans="1:1">
      <c r="A991" s="32"/>
    </row>
    <row r="992" spans="1:1">
      <c r="A992" s="32"/>
    </row>
    <row r="993" spans="1:1">
      <c r="A993" s="32"/>
    </row>
    <row r="994" spans="1:1">
      <c r="A994" s="32"/>
    </row>
    <row r="995" spans="1:1">
      <c r="A995" s="32"/>
    </row>
    <row r="996" spans="1:1">
      <c r="A996" s="32"/>
    </row>
    <row r="997" spans="1:1">
      <c r="A997" s="32"/>
    </row>
    <row r="998" spans="1:1">
      <c r="A998" s="32"/>
    </row>
    <row r="999" spans="1:1">
      <c r="A999" s="32"/>
    </row>
    <row r="1000" spans="1:1">
      <c r="A1000" s="32"/>
    </row>
    <row r="1001" spans="1:1">
      <c r="A1001" s="32"/>
    </row>
    <row r="1002" spans="1:1">
      <c r="A1002" s="32"/>
    </row>
    <row r="1003" spans="1:1">
      <c r="A1003" s="32"/>
    </row>
    <row r="1004" spans="1:1">
      <c r="A1004" s="32"/>
    </row>
    <row r="1005" spans="1:1">
      <c r="A1005" s="32"/>
    </row>
    <row r="1006" spans="1:1">
      <c r="A1006" s="32"/>
    </row>
    <row r="1007" spans="1:1">
      <c r="A1007" s="32"/>
    </row>
    <row r="1008" spans="1:1">
      <c r="A1008" s="32"/>
    </row>
    <row r="1009" spans="1:1">
      <c r="A1009" s="32"/>
    </row>
    <row r="1010" spans="1:1">
      <c r="A1010" s="32"/>
    </row>
    <row r="1011" spans="1:1">
      <c r="A1011" s="32"/>
    </row>
    <row r="1012" spans="1:1">
      <c r="A1012" s="32"/>
    </row>
    <row r="1013" spans="1:1">
      <c r="A1013" s="32"/>
    </row>
    <row r="1014" spans="1:1">
      <c r="A1014" s="32"/>
    </row>
    <row r="1015" spans="1:1">
      <c r="A1015" s="32"/>
    </row>
    <row r="1016" spans="1:1">
      <c r="A1016" s="32"/>
    </row>
    <row r="1017" spans="1:1">
      <c r="A1017" s="32"/>
    </row>
    <row r="1018" spans="1:1">
      <c r="A1018" s="32"/>
    </row>
    <row r="1019" spans="1:1">
      <c r="A1019" s="32"/>
    </row>
    <row r="1020" spans="1:1">
      <c r="A1020" s="32"/>
    </row>
    <row r="1021" spans="1:1">
      <c r="A1021" s="32"/>
    </row>
    <row r="1022" spans="1:1">
      <c r="A1022" s="32"/>
    </row>
    <row r="1023" spans="1:1">
      <c r="A1023" s="32"/>
    </row>
    <row r="1024" spans="1:1">
      <c r="A1024" s="32"/>
    </row>
    <row r="1025" spans="1:1">
      <c r="A1025" s="32"/>
    </row>
    <row r="1026" spans="1:1">
      <c r="A1026" s="32"/>
    </row>
    <row r="1027" spans="1:1">
      <c r="A1027" s="32"/>
    </row>
    <row r="1028" spans="1:1">
      <c r="A1028" s="32"/>
    </row>
    <row r="1029" spans="1:1">
      <c r="A1029" s="32"/>
    </row>
    <row r="1030" spans="1:1">
      <c r="A1030" s="32"/>
    </row>
    <row r="1031" spans="1:1">
      <c r="A1031" s="32"/>
    </row>
    <row r="1032" spans="1:1">
      <c r="A1032" s="32"/>
    </row>
    <row r="1033" spans="1:1">
      <c r="A1033" s="32"/>
    </row>
    <row r="1034" spans="1:1">
      <c r="A1034" s="32"/>
    </row>
    <row r="1035" spans="1:1">
      <c r="A1035" s="32"/>
    </row>
    <row r="1036" spans="1:1">
      <c r="A1036" s="32"/>
    </row>
    <row r="1037" spans="1:1">
      <c r="A1037" s="32"/>
    </row>
    <row r="1038" spans="1:1">
      <c r="A1038" s="32"/>
    </row>
    <row r="1039" spans="1:1">
      <c r="A1039" s="32"/>
    </row>
    <row r="1040" spans="1:1">
      <c r="A1040" s="32"/>
    </row>
    <row r="1041" spans="1:1">
      <c r="A1041" s="32"/>
    </row>
    <row r="1042" spans="1:1">
      <c r="A1042" s="32"/>
    </row>
    <row r="1043" spans="1:1">
      <c r="A1043" s="32"/>
    </row>
    <row r="1044" spans="1:1">
      <c r="A1044" s="32"/>
    </row>
    <row r="1045" spans="1:1">
      <c r="A1045" s="32"/>
    </row>
    <row r="1046" spans="1:1">
      <c r="A1046" s="32"/>
    </row>
    <row r="1047" spans="1:1">
      <c r="A1047" s="32"/>
    </row>
    <row r="1048" spans="1:1">
      <c r="A1048" s="32"/>
    </row>
    <row r="1049" spans="1:1">
      <c r="A1049" s="32"/>
    </row>
    <row r="1050" spans="1:1">
      <c r="A1050" s="32"/>
    </row>
    <row r="1051" spans="1:1">
      <c r="A1051" s="32"/>
    </row>
    <row r="1052" spans="1:1">
      <c r="A1052" s="32"/>
    </row>
    <row r="1053" spans="1:1">
      <c r="A1053" s="32"/>
    </row>
    <row r="1054" spans="1:1">
      <c r="A1054" s="32"/>
    </row>
    <row r="1055" spans="1:1">
      <c r="A1055" s="32"/>
    </row>
    <row r="1056" spans="1:1">
      <c r="A1056" s="32"/>
    </row>
    <row r="1057" spans="1:1">
      <c r="A1057" s="32"/>
    </row>
    <row r="1058" spans="1:1">
      <c r="A1058" s="32"/>
    </row>
    <row r="1059" spans="1:1">
      <c r="A1059" s="32"/>
    </row>
    <row r="1060" spans="1:1">
      <c r="A1060" s="32"/>
    </row>
    <row r="1061" spans="1:1">
      <c r="A1061" s="32"/>
    </row>
    <row r="1062" spans="1:1">
      <c r="A1062" s="32"/>
    </row>
    <row r="1063" spans="1:1">
      <c r="A1063" s="32"/>
    </row>
    <row r="1064" spans="1:1">
      <c r="A1064" s="32"/>
    </row>
    <row r="1065" spans="1:1">
      <c r="A1065" s="32"/>
    </row>
    <row r="1066" spans="1:1">
      <c r="A1066" s="32"/>
    </row>
    <row r="1067" spans="1:1">
      <c r="A1067" s="32"/>
    </row>
    <row r="1068" spans="1:1">
      <c r="A1068" s="32"/>
    </row>
    <row r="1069" spans="1:1">
      <c r="A1069" s="32"/>
    </row>
    <row r="1070" spans="1:1">
      <c r="A1070" s="32"/>
    </row>
    <row r="1071" spans="1:1">
      <c r="A1071" s="32"/>
    </row>
    <row r="1072" spans="1:1">
      <c r="A1072" s="32"/>
    </row>
    <row r="1073" spans="1:1">
      <c r="A1073" s="32"/>
    </row>
    <row r="1074" spans="1:1">
      <c r="A1074" s="32"/>
    </row>
    <row r="1075" spans="1:1">
      <c r="A1075" s="32"/>
    </row>
    <row r="1076" spans="1:1">
      <c r="A1076" s="32"/>
    </row>
    <row r="1077" spans="1:1">
      <c r="A1077" s="32"/>
    </row>
    <row r="1078" spans="1:1">
      <c r="A1078" s="32"/>
    </row>
    <row r="1079" spans="1:1">
      <c r="A1079" s="32"/>
    </row>
    <row r="1080" spans="1:1">
      <c r="A1080" s="32"/>
    </row>
    <row r="1081" spans="1:1">
      <c r="A1081" s="32"/>
    </row>
    <row r="1082" spans="1:1">
      <c r="A1082" s="32"/>
    </row>
    <row r="1083" spans="1:1">
      <c r="A1083" s="32"/>
    </row>
    <row r="1084" spans="1:1">
      <c r="A1084" s="32"/>
    </row>
    <row r="1085" spans="1:1">
      <c r="A1085" s="32"/>
    </row>
    <row r="1086" spans="1:1">
      <c r="A1086" s="32"/>
    </row>
    <row r="1087" spans="1:1">
      <c r="A1087" s="32"/>
    </row>
    <row r="1088" spans="1:1">
      <c r="A1088" s="32"/>
    </row>
    <row r="1089" spans="1:1">
      <c r="A1089" s="32"/>
    </row>
    <row r="1090" spans="1:1">
      <c r="A1090" s="32"/>
    </row>
    <row r="1091" spans="1:1">
      <c r="A1091" s="32"/>
    </row>
    <row r="1092" spans="1:1">
      <c r="A1092" s="32"/>
    </row>
    <row r="1093" spans="1:1">
      <c r="A1093" s="32"/>
    </row>
    <row r="1094" spans="1:1">
      <c r="A1094" s="32"/>
    </row>
    <row r="1095" spans="1:1">
      <c r="A1095" s="32"/>
    </row>
    <row r="1096" spans="1:1">
      <c r="A1096" s="32"/>
    </row>
    <row r="1097" spans="1:1">
      <c r="A1097" s="32"/>
    </row>
    <row r="1098" spans="1:1">
      <c r="A1098" s="32"/>
    </row>
    <row r="1099" spans="1:1">
      <c r="A1099" s="32"/>
    </row>
    <row r="1100" spans="1:1">
      <c r="A1100" s="32"/>
    </row>
    <row r="1101" spans="1:1">
      <c r="A1101" s="32"/>
    </row>
    <row r="1102" spans="1:1">
      <c r="A1102" s="32"/>
    </row>
    <row r="1103" spans="1:1">
      <c r="A1103" s="32"/>
    </row>
    <row r="1104" spans="1:1">
      <c r="A1104" s="32"/>
    </row>
    <row r="1105" spans="1:1">
      <c r="A1105" s="32"/>
    </row>
    <row r="1106" spans="1:1">
      <c r="A1106" s="32"/>
    </row>
    <row r="1107" spans="1:1">
      <c r="A1107" s="32"/>
    </row>
    <row r="1108" spans="1:1">
      <c r="A1108" s="32"/>
    </row>
    <row r="1109" spans="1:1">
      <c r="A1109" s="32"/>
    </row>
    <row r="1110" spans="1:1">
      <c r="A1110" s="32"/>
    </row>
    <row r="1111" spans="1:1">
      <c r="A1111" s="32"/>
    </row>
    <row r="1112" spans="1:1">
      <c r="A1112" s="32"/>
    </row>
    <row r="1113" spans="1:1">
      <c r="A1113" s="32"/>
    </row>
    <row r="1114" spans="1:1">
      <c r="A1114" s="32"/>
    </row>
    <row r="1115" spans="1:1">
      <c r="A1115" s="32"/>
    </row>
    <row r="1116" spans="1:1">
      <c r="A1116" s="32"/>
    </row>
    <row r="1117" spans="1:1">
      <c r="A1117" s="32"/>
    </row>
    <row r="1118" spans="1:1">
      <c r="A1118" s="32"/>
    </row>
    <row r="1119" spans="1:1">
      <c r="A1119" s="32"/>
    </row>
    <row r="1120" spans="1:1">
      <c r="A1120" s="32"/>
    </row>
    <row r="1121" spans="1:1">
      <c r="A1121" s="32"/>
    </row>
    <row r="1122" spans="1:1">
      <c r="A1122" s="32"/>
    </row>
    <row r="1123" spans="1:1">
      <c r="A1123" s="32"/>
    </row>
    <row r="1124" spans="1:1">
      <c r="A1124" s="32"/>
    </row>
    <row r="1125" spans="1:1">
      <c r="A1125" s="32"/>
    </row>
    <row r="1126" spans="1:1">
      <c r="A1126" s="32"/>
    </row>
    <row r="1127" spans="1:1">
      <c r="A1127" s="32"/>
    </row>
    <row r="1128" spans="1:1">
      <c r="A1128" s="32"/>
    </row>
    <row r="1129" spans="1:1">
      <c r="A1129" s="32"/>
    </row>
    <row r="1130" spans="1:1">
      <c r="A1130" s="32"/>
    </row>
    <row r="1131" spans="1:1">
      <c r="A1131" s="32"/>
    </row>
    <row r="1132" spans="1:1">
      <c r="A1132" s="32"/>
    </row>
    <row r="1133" spans="1:1">
      <c r="A1133" s="32"/>
    </row>
    <row r="1134" spans="1:1">
      <c r="A1134" s="32"/>
    </row>
    <row r="1135" spans="1:1">
      <c r="A1135" s="32"/>
    </row>
    <row r="1136" spans="1:1">
      <c r="A1136" s="32"/>
    </row>
    <row r="1137" spans="1:1">
      <c r="A1137" s="32"/>
    </row>
    <row r="1138" spans="1:1">
      <c r="A1138" s="32"/>
    </row>
    <row r="1139" spans="1:1">
      <c r="A1139" s="32"/>
    </row>
    <row r="1140" spans="1:1">
      <c r="A1140" s="32"/>
    </row>
    <row r="1141" spans="1:1">
      <c r="A1141" s="32"/>
    </row>
    <row r="1142" spans="1:1">
      <c r="A1142" s="32"/>
    </row>
    <row r="1143" spans="1:1">
      <c r="A1143" s="32"/>
    </row>
    <row r="1144" spans="1:1">
      <c r="A1144" s="32"/>
    </row>
    <row r="1145" spans="1:1">
      <c r="A1145" s="32"/>
    </row>
    <row r="1146" spans="1:1">
      <c r="A1146" s="32"/>
    </row>
    <row r="1147" spans="1:1">
      <c r="A1147" s="32"/>
    </row>
    <row r="1148" spans="1:1">
      <c r="A1148" s="32"/>
    </row>
    <row r="1149" spans="1:1">
      <c r="A1149" s="32"/>
    </row>
    <row r="1150" spans="1:1">
      <c r="A1150" s="32"/>
    </row>
    <row r="1151" spans="1:1">
      <c r="A1151" s="32"/>
    </row>
    <row r="1152" spans="1:1">
      <c r="A1152" s="32"/>
    </row>
    <row r="1153" spans="1:1">
      <c r="A1153" s="32"/>
    </row>
    <row r="1154" spans="1:1">
      <c r="A1154" s="32"/>
    </row>
    <row r="1155" spans="1:1">
      <c r="A1155" s="32"/>
    </row>
    <row r="1156" spans="1:1">
      <c r="A1156" s="32"/>
    </row>
    <row r="1157" spans="1:1">
      <c r="A1157" s="32"/>
    </row>
    <row r="1158" spans="1:1">
      <c r="A1158" s="32"/>
    </row>
    <row r="1159" spans="1:1">
      <c r="A1159" s="32"/>
    </row>
    <row r="1160" spans="1:1">
      <c r="A1160" s="32"/>
    </row>
    <row r="1161" spans="1:1">
      <c r="A1161" s="32"/>
    </row>
    <row r="1162" spans="1:1">
      <c r="A1162" s="32"/>
    </row>
    <row r="1163" spans="1:1">
      <c r="A1163" s="32"/>
    </row>
    <row r="1164" spans="1:1">
      <c r="A1164" s="32"/>
    </row>
    <row r="1165" spans="1:1">
      <c r="A1165" s="32"/>
    </row>
    <row r="1166" spans="1:1">
      <c r="A1166" s="32"/>
    </row>
    <row r="1167" spans="1:1">
      <c r="A1167" s="32"/>
    </row>
    <row r="1168" spans="1:1">
      <c r="A1168" s="32"/>
    </row>
    <row r="1169" spans="1:1">
      <c r="A1169" s="32"/>
    </row>
    <row r="1170" spans="1:1">
      <c r="A1170" s="32"/>
    </row>
    <row r="1171" spans="1:1">
      <c r="A1171" s="32"/>
    </row>
    <row r="1172" spans="1:1">
      <c r="A1172" s="32"/>
    </row>
    <row r="1173" spans="1:1">
      <c r="A1173" s="32"/>
    </row>
    <row r="1174" spans="1:1">
      <c r="A1174" s="32"/>
    </row>
    <row r="1175" spans="1:1">
      <c r="A1175" s="32"/>
    </row>
    <row r="1176" spans="1:1">
      <c r="A1176" s="32"/>
    </row>
    <row r="1177" spans="1:1">
      <c r="A1177" s="32"/>
    </row>
    <row r="1178" spans="1:1">
      <c r="A1178" s="32"/>
    </row>
    <row r="1179" spans="1:1">
      <c r="A1179" s="32"/>
    </row>
    <row r="1180" spans="1:1">
      <c r="A1180" s="32"/>
    </row>
    <row r="1181" spans="1:1">
      <c r="A1181" s="32"/>
    </row>
    <row r="1182" spans="1:1">
      <c r="A1182" s="32"/>
    </row>
    <row r="1183" spans="1:1">
      <c r="A1183" s="32"/>
    </row>
    <row r="1184" spans="1:1">
      <c r="A1184" s="32"/>
    </row>
    <row r="1185" spans="1:1">
      <c r="A1185" s="32"/>
    </row>
    <row r="1186" spans="1:1">
      <c r="A1186" s="32"/>
    </row>
    <row r="1187" spans="1:1">
      <c r="A1187" s="32"/>
    </row>
    <row r="1188" spans="1:1">
      <c r="A1188" s="32"/>
    </row>
    <row r="1189" spans="1:1">
      <c r="A1189" s="32"/>
    </row>
    <row r="1190" spans="1:1">
      <c r="A1190" s="32"/>
    </row>
    <row r="1191" spans="1:1">
      <c r="A1191" s="32"/>
    </row>
    <row r="1192" spans="1:1">
      <c r="A1192" s="32"/>
    </row>
    <row r="1193" spans="1:1">
      <c r="A1193" s="32"/>
    </row>
    <row r="1194" spans="1:1">
      <c r="A1194" s="32"/>
    </row>
    <row r="1195" spans="1:1">
      <c r="A1195" s="32"/>
    </row>
    <row r="1196" spans="1:1">
      <c r="A1196" s="32"/>
    </row>
    <row r="1197" spans="1:1">
      <c r="A1197" s="32"/>
    </row>
    <row r="1198" spans="1:1">
      <c r="A1198" s="32"/>
    </row>
    <row r="1199" spans="1:1">
      <c r="A1199" s="32"/>
    </row>
    <row r="1200" spans="1:1">
      <c r="A1200" s="32"/>
    </row>
    <row r="1201" spans="1:1">
      <c r="A1201" s="32"/>
    </row>
    <row r="1202" spans="1:1">
      <c r="A1202" s="32"/>
    </row>
    <row r="1203" spans="1:1">
      <c r="A1203" s="32"/>
    </row>
    <row r="1204" spans="1:1">
      <c r="A1204" s="32"/>
    </row>
    <row r="1205" spans="1:1">
      <c r="A1205" s="32"/>
    </row>
    <row r="1206" spans="1:1">
      <c r="A1206" s="32"/>
    </row>
    <row r="1207" spans="1:1">
      <c r="A1207" s="32"/>
    </row>
    <row r="1208" spans="1:1">
      <c r="A1208" s="32"/>
    </row>
    <row r="1209" spans="1:1">
      <c r="A1209" s="32"/>
    </row>
    <row r="1210" spans="1:1">
      <c r="A1210" s="32"/>
    </row>
    <row r="1211" spans="1:1">
      <c r="A1211" s="32"/>
    </row>
    <row r="1212" spans="1:1">
      <c r="A1212" s="32"/>
    </row>
    <row r="1213" spans="1:1">
      <c r="A1213" s="32"/>
    </row>
    <row r="1214" spans="1:1">
      <c r="A1214" s="32"/>
    </row>
    <row r="1215" spans="1:1">
      <c r="A1215" s="32"/>
    </row>
    <row r="1216" spans="1:1">
      <c r="A1216" s="32"/>
    </row>
    <row r="1217" spans="1:1">
      <c r="A1217" s="32"/>
    </row>
    <row r="1218" spans="1:1">
      <c r="A1218" s="32"/>
    </row>
    <row r="1219" spans="1:1">
      <c r="A1219" s="32"/>
    </row>
    <row r="1220" spans="1:1">
      <c r="A1220" s="32"/>
    </row>
    <row r="1221" spans="1:1">
      <c r="A1221" s="32"/>
    </row>
    <row r="1222" spans="1:1">
      <c r="A1222" s="32"/>
    </row>
    <row r="1223" spans="1:1">
      <c r="A1223" s="32"/>
    </row>
    <row r="1224" spans="1:1">
      <c r="A1224" s="32"/>
    </row>
    <row r="1225" spans="1:1">
      <c r="A1225" s="32"/>
    </row>
    <row r="1226" spans="1:1">
      <c r="A1226" s="32"/>
    </row>
    <row r="1227" spans="1:1">
      <c r="A1227" s="32"/>
    </row>
    <row r="1228" spans="1:1">
      <c r="A1228" s="32"/>
    </row>
    <row r="1229" spans="1:1">
      <c r="A1229" s="32"/>
    </row>
    <row r="1230" spans="1:1">
      <c r="A1230" s="32"/>
    </row>
    <row r="1231" spans="1:1">
      <c r="A1231" s="32"/>
    </row>
    <row r="1232" spans="1:1">
      <c r="A1232" s="32"/>
    </row>
    <row r="1233" spans="1:1">
      <c r="A1233" s="32"/>
    </row>
    <row r="1234" spans="1:1">
      <c r="A1234" s="32"/>
    </row>
    <row r="1235" spans="1:1">
      <c r="A1235" s="32"/>
    </row>
    <row r="1236" spans="1:1">
      <c r="A1236" s="32"/>
    </row>
    <row r="1237" spans="1:1">
      <c r="A1237" s="32"/>
    </row>
    <row r="1238" spans="1:1">
      <c r="A1238" s="32"/>
    </row>
    <row r="1239" spans="1:1">
      <c r="A1239" s="32"/>
    </row>
    <row r="1240" spans="1:1">
      <c r="A1240" s="32"/>
    </row>
    <row r="1241" spans="1:1">
      <c r="A1241" s="32"/>
    </row>
    <row r="1242" spans="1:1">
      <c r="A1242" s="32"/>
    </row>
    <row r="1243" spans="1:1">
      <c r="A1243" s="32"/>
    </row>
    <row r="1244" spans="1:1">
      <c r="A1244" s="32"/>
    </row>
    <row r="1245" spans="1:1">
      <c r="A1245" s="32"/>
    </row>
    <row r="1246" spans="1:1">
      <c r="A1246" s="32"/>
    </row>
    <row r="1247" spans="1:1">
      <c r="A1247" s="32"/>
    </row>
    <row r="1248" spans="1:1">
      <c r="A1248" s="32"/>
    </row>
    <row r="1249" spans="1:1">
      <c r="A1249" s="32"/>
    </row>
    <row r="1250" spans="1:1">
      <c r="A1250" s="32"/>
    </row>
    <row r="1251" spans="1:1">
      <c r="A1251" s="32"/>
    </row>
    <row r="1252" spans="1:1">
      <c r="A1252" s="32"/>
    </row>
    <row r="1253" spans="1:1">
      <c r="A1253" s="32"/>
    </row>
    <row r="1254" spans="1:1">
      <c r="A1254" s="32"/>
    </row>
    <row r="1255" spans="1:1">
      <c r="A1255" s="32"/>
    </row>
    <row r="1256" spans="1:1">
      <c r="A1256" s="32"/>
    </row>
    <row r="1257" spans="1:1">
      <c r="A1257" s="32"/>
    </row>
    <row r="1258" spans="1:1">
      <c r="A1258" s="32"/>
    </row>
    <row r="1259" spans="1:1">
      <c r="A1259" s="32"/>
    </row>
    <row r="1260" spans="1:1">
      <c r="A1260" s="32"/>
    </row>
    <row r="1261" spans="1:1">
      <c r="A1261" s="32"/>
    </row>
    <row r="1262" spans="1:1">
      <c r="A1262" s="32"/>
    </row>
    <row r="1263" spans="1:1">
      <c r="A1263" s="32"/>
    </row>
    <row r="1264" spans="1:1">
      <c r="A1264" s="32"/>
    </row>
    <row r="1265" spans="1:1">
      <c r="A1265" s="32"/>
    </row>
    <row r="1266" spans="1:1">
      <c r="A1266" s="32"/>
    </row>
    <row r="1267" spans="1:1">
      <c r="A1267" s="32"/>
    </row>
    <row r="1268" spans="1:1">
      <c r="A1268" s="32"/>
    </row>
    <row r="1269" spans="1:1">
      <c r="A1269" s="32"/>
    </row>
    <row r="1270" spans="1:1">
      <c r="A1270" s="32"/>
    </row>
    <row r="1271" spans="1:1">
      <c r="A1271" s="32"/>
    </row>
    <row r="1272" spans="1:1">
      <c r="A1272" s="32"/>
    </row>
    <row r="1273" spans="1:1">
      <c r="A1273" s="32"/>
    </row>
    <row r="1274" spans="1:1">
      <c r="A1274" s="32"/>
    </row>
    <row r="1275" spans="1:1">
      <c r="A1275" s="32"/>
    </row>
    <row r="1276" spans="1:1">
      <c r="A1276" s="32"/>
    </row>
    <row r="1277" spans="1:1">
      <c r="A1277" s="32"/>
    </row>
    <row r="1278" spans="1:1">
      <c r="A1278" s="32"/>
    </row>
    <row r="1279" spans="1:1">
      <c r="A1279" s="32"/>
    </row>
    <row r="1280" spans="1:1">
      <c r="A1280" s="32"/>
    </row>
    <row r="1281" spans="1:1">
      <c r="A1281" s="32"/>
    </row>
    <row r="1282" spans="1:1">
      <c r="A1282" s="32"/>
    </row>
    <row r="1283" spans="1:1">
      <c r="A1283" s="32"/>
    </row>
    <row r="1284" spans="1:1">
      <c r="A1284" s="32"/>
    </row>
    <row r="1285" spans="1:1">
      <c r="A1285" s="32"/>
    </row>
    <row r="1286" spans="1:1">
      <c r="A1286" s="32"/>
    </row>
    <row r="1287" spans="1:1">
      <c r="A1287" s="32"/>
    </row>
    <row r="1288" spans="1:1">
      <c r="A1288" s="32"/>
    </row>
    <row r="1289" spans="1:1">
      <c r="A1289" s="32"/>
    </row>
    <row r="1290" spans="1:1">
      <c r="A1290" s="32"/>
    </row>
    <row r="1291" spans="1:1">
      <c r="A1291" s="32"/>
    </row>
    <row r="1292" spans="1:1">
      <c r="A1292" s="32"/>
    </row>
    <row r="1293" spans="1:1">
      <c r="A1293" s="32"/>
    </row>
    <row r="1294" spans="1:1">
      <c r="A1294" s="32"/>
    </row>
    <row r="1295" spans="1:1">
      <c r="A1295" s="32"/>
    </row>
    <row r="1296" spans="1:1">
      <c r="A1296" s="32"/>
    </row>
    <row r="1297" spans="1:1">
      <c r="A1297" s="32"/>
    </row>
    <row r="1298" spans="1:1">
      <c r="A1298" s="32"/>
    </row>
    <row r="1299" spans="1:1">
      <c r="A1299" s="32"/>
    </row>
    <row r="1300" spans="1:1">
      <c r="A1300" s="32"/>
    </row>
    <row r="1301" spans="1:1">
      <c r="A1301" s="32"/>
    </row>
    <row r="1302" spans="1:1">
      <c r="A1302" s="32"/>
    </row>
    <row r="1303" spans="1:1">
      <c r="A1303" s="32"/>
    </row>
    <row r="1304" spans="1:1">
      <c r="A1304" s="32"/>
    </row>
    <row r="1305" spans="1:1">
      <c r="A1305" s="32"/>
    </row>
    <row r="1306" spans="1:1">
      <c r="A1306" s="32"/>
    </row>
    <row r="1307" spans="1:1">
      <c r="A1307" s="32"/>
    </row>
    <row r="1308" spans="1:1">
      <c r="A1308" s="32"/>
    </row>
    <row r="1309" spans="1:1">
      <c r="A1309" s="32"/>
    </row>
    <row r="1310" spans="1:1">
      <c r="A1310" s="32"/>
    </row>
    <row r="1311" spans="1:1">
      <c r="A1311" s="32"/>
    </row>
    <row r="1312" spans="1:1">
      <c r="A1312" s="32"/>
    </row>
    <row r="1313" spans="1:1">
      <c r="A1313" s="32"/>
    </row>
    <row r="1314" spans="1:1">
      <c r="A1314" s="32"/>
    </row>
    <row r="1315" spans="1:1">
      <c r="A1315" s="32"/>
    </row>
    <row r="1316" spans="1:1">
      <c r="A1316" s="32"/>
    </row>
    <row r="1317" spans="1:1">
      <c r="A1317" s="32"/>
    </row>
    <row r="1318" spans="1:1">
      <c r="A1318" s="32"/>
    </row>
    <row r="1319" spans="1:1">
      <c r="A1319" s="32"/>
    </row>
    <row r="1320" spans="1:1">
      <c r="A1320" s="32"/>
    </row>
    <row r="1321" spans="1:1">
      <c r="A1321" s="32"/>
    </row>
    <row r="1322" spans="1:1">
      <c r="A1322" s="32"/>
    </row>
    <row r="1323" spans="1:1">
      <c r="A1323" s="32"/>
    </row>
    <row r="1324" spans="1:1">
      <c r="A1324" s="32"/>
    </row>
    <row r="1325" spans="1:1">
      <c r="A1325" s="32"/>
    </row>
    <row r="1326" spans="1:1">
      <c r="A1326" s="32"/>
    </row>
    <row r="1327" spans="1:1">
      <c r="A1327" s="32"/>
    </row>
    <row r="1328" spans="1:1">
      <c r="A1328" s="32"/>
    </row>
    <row r="1329" spans="1:1">
      <c r="A1329" s="32"/>
    </row>
    <row r="1330" spans="1:1">
      <c r="A1330" s="32"/>
    </row>
    <row r="1331" spans="1:1">
      <c r="A1331" s="32"/>
    </row>
    <row r="1332" spans="1:1">
      <c r="A1332" s="32"/>
    </row>
    <row r="1333" spans="1:1">
      <c r="A1333" s="32"/>
    </row>
    <row r="1334" spans="1:1">
      <c r="A1334" s="32"/>
    </row>
    <row r="1335" spans="1:1">
      <c r="A1335" s="32"/>
    </row>
    <row r="1336" spans="1:1">
      <c r="A1336" s="32"/>
    </row>
    <row r="1337" spans="1:1">
      <c r="A1337" s="32"/>
    </row>
    <row r="1338" spans="1:1">
      <c r="A1338" s="32"/>
    </row>
    <row r="1339" spans="1:1">
      <c r="A1339" s="32"/>
    </row>
    <row r="1340" spans="1:1">
      <c r="A1340" s="32"/>
    </row>
    <row r="1341" spans="1:1">
      <c r="A1341" s="32"/>
    </row>
    <row r="1342" spans="1:1">
      <c r="A1342" s="32"/>
    </row>
    <row r="1343" spans="1:1">
      <c r="A1343" s="32"/>
    </row>
    <row r="1344" spans="1:1">
      <c r="A1344" s="32"/>
    </row>
    <row r="1345" spans="1:1">
      <c r="A1345" s="32"/>
    </row>
    <row r="1346" spans="1:1">
      <c r="A1346" s="32"/>
    </row>
    <row r="1347" spans="1:1">
      <c r="A1347" s="32"/>
    </row>
    <row r="1348" spans="1:1">
      <c r="A1348" s="32"/>
    </row>
    <row r="1349" spans="1:1">
      <c r="A1349" s="32"/>
    </row>
    <row r="1350" spans="1:1">
      <c r="A1350" s="32"/>
    </row>
    <row r="1351" spans="1:1">
      <c r="A1351" s="32"/>
    </row>
    <row r="1352" spans="1:1">
      <c r="A1352" s="32"/>
    </row>
    <row r="1353" spans="1:1">
      <c r="A1353" s="32"/>
    </row>
    <row r="1354" spans="1:1">
      <c r="A1354" s="32"/>
    </row>
    <row r="1355" spans="1:1">
      <c r="A1355" s="32"/>
    </row>
    <row r="1356" spans="1:1">
      <c r="A1356" s="32"/>
    </row>
    <row r="1357" spans="1:1">
      <c r="A1357" s="32"/>
    </row>
    <row r="1358" spans="1:1">
      <c r="A1358" s="32"/>
    </row>
    <row r="1359" spans="1:1">
      <c r="A1359" s="32"/>
    </row>
    <row r="1360" spans="1:1">
      <c r="A1360" s="32"/>
    </row>
    <row r="1361" spans="1:1">
      <c r="A1361" s="32"/>
    </row>
    <row r="1362" spans="1:1">
      <c r="A1362" s="32"/>
    </row>
    <row r="1363" spans="1:1">
      <c r="A1363" s="32"/>
    </row>
    <row r="1364" spans="1:1">
      <c r="A1364" s="32"/>
    </row>
    <row r="1365" spans="1:1">
      <c r="A1365" s="32"/>
    </row>
    <row r="1366" spans="1:1">
      <c r="A1366" s="32"/>
    </row>
    <row r="1367" spans="1:1">
      <c r="A1367" s="32"/>
    </row>
    <row r="1368" spans="1:1">
      <c r="A1368" s="32"/>
    </row>
    <row r="1369" spans="1:1">
      <c r="A1369" s="32"/>
    </row>
    <row r="1370" spans="1:1">
      <c r="A1370" s="32"/>
    </row>
    <row r="1371" spans="1:1">
      <c r="A1371" s="32"/>
    </row>
    <row r="1372" spans="1:1">
      <c r="A1372" s="32"/>
    </row>
    <row r="1373" spans="1:1">
      <c r="A1373" s="32"/>
    </row>
    <row r="1374" spans="1:1">
      <c r="A1374" s="32"/>
    </row>
    <row r="1375" spans="1:1">
      <c r="A1375" s="32"/>
    </row>
    <row r="1376" spans="1:1">
      <c r="A1376" s="32"/>
    </row>
    <row r="1377" spans="1:1">
      <c r="A1377" s="32"/>
    </row>
    <row r="1378" spans="1:1">
      <c r="A1378" s="32"/>
    </row>
    <row r="1379" spans="1:1">
      <c r="A1379" s="32"/>
    </row>
    <row r="1380" spans="1:1">
      <c r="A1380" s="32"/>
    </row>
    <row r="1381" spans="1:1">
      <c r="A1381" s="32"/>
    </row>
    <row r="1382" spans="1:1">
      <c r="A1382" s="32"/>
    </row>
    <row r="1383" spans="1:1">
      <c r="A1383" s="32"/>
    </row>
    <row r="1384" spans="1:1">
      <c r="A1384" s="32"/>
    </row>
    <row r="1385" spans="1:1">
      <c r="A1385" s="32"/>
    </row>
    <row r="1386" spans="1:1">
      <c r="A1386" s="32"/>
    </row>
    <row r="1387" spans="1:1">
      <c r="A1387" s="32"/>
    </row>
    <row r="1388" spans="1:1">
      <c r="A1388" s="32"/>
    </row>
    <row r="1389" spans="1:1">
      <c r="A1389" s="32"/>
    </row>
    <row r="1390" spans="1:1">
      <c r="A1390" s="32"/>
    </row>
    <row r="1391" spans="1:1">
      <c r="A1391" s="32"/>
    </row>
    <row r="1392" spans="1:1">
      <c r="A1392" s="32"/>
    </row>
    <row r="1393" spans="1:1">
      <c r="A1393" s="32"/>
    </row>
    <row r="1394" spans="1:1">
      <c r="A1394" s="32"/>
    </row>
    <row r="1395" spans="1:1">
      <c r="A1395" s="32"/>
    </row>
    <row r="1396" spans="1:1">
      <c r="A1396" s="32"/>
    </row>
    <row r="1397" spans="1:1">
      <c r="A1397" s="32"/>
    </row>
    <row r="1398" spans="1:1">
      <c r="A1398" s="32"/>
    </row>
    <row r="1399" spans="1:1">
      <c r="A1399" s="32"/>
    </row>
    <row r="1400" spans="1:1">
      <c r="A1400" s="32"/>
    </row>
    <row r="1401" spans="1:1">
      <c r="A1401" s="32"/>
    </row>
    <row r="1402" spans="1:1">
      <c r="A1402" s="32"/>
    </row>
    <row r="1403" spans="1:1">
      <c r="A1403" s="32"/>
    </row>
    <row r="1404" spans="1:1">
      <c r="A1404" s="32"/>
    </row>
    <row r="1405" spans="1:1">
      <c r="A1405" s="32"/>
    </row>
    <row r="1406" spans="1:1">
      <c r="A1406" s="32"/>
    </row>
    <row r="1407" spans="1:1">
      <c r="A1407" s="32"/>
    </row>
    <row r="1408" spans="1:1">
      <c r="A1408" s="32"/>
    </row>
    <row r="1409" spans="1:1">
      <c r="A1409" s="32"/>
    </row>
    <row r="1410" spans="1:1">
      <c r="A1410" s="32"/>
    </row>
    <row r="1411" spans="1:1">
      <c r="A1411" s="32"/>
    </row>
    <row r="1412" spans="1:1">
      <c r="A1412" s="32"/>
    </row>
    <row r="1413" spans="1:1">
      <c r="A1413" s="32"/>
    </row>
    <row r="1414" spans="1:1">
      <c r="A1414" s="32"/>
    </row>
    <row r="1415" spans="1:1">
      <c r="A1415" s="32"/>
    </row>
    <row r="1416" spans="1:1">
      <c r="A1416" s="32"/>
    </row>
    <row r="1417" spans="1:1">
      <c r="A1417" s="32"/>
    </row>
    <row r="1418" spans="1:1">
      <c r="A1418" s="32"/>
    </row>
    <row r="1419" spans="1:1">
      <c r="A1419" s="32"/>
    </row>
    <row r="1420" spans="1:1">
      <c r="A1420" s="32"/>
    </row>
    <row r="1421" spans="1:1">
      <c r="A1421" s="32"/>
    </row>
    <row r="1422" spans="1:1">
      <c r="A1422" s="32"/>
    </row>
    <row r="1423" spans="1:1">
      <c r="A1423" s="32"/>
    </row>
    <row r="1424" spans="1:1">
      <c r="A1424" s="32"/>
    </row>
    <row r="1425" spans="1:1">
      <c r="A1425" s="32"/>
    </row>
    <row r="1426" spans="1:1">
      <c r="A1426" s="32"/>
    </row>
    <row r="1427" spans="1:1">
      <c r="A1427" s="32"/>
    </row>
    <row r="1428" spans="1:1">
      <c r="A1428" s="32"/>
    </row>
    <row r="1429" spans="1:1">
      <c r="A1429" s="32"/>
    </row>
    <row r="1430" spans="1:1">
      <c r="A1430" s="32"/>
    </row>
    <row r="1431" spans="1:1">
      <c r="A1431" s="32"/>
    </row>
    <row r="1432" spans="1:1">
      <c r="A1432" s="32"/>
    </row>
    <row r="1433" spans="1:1">
      <c r="A1433" s="32"/>
    </row>
    <row r="1434" spans="1:1">
      <c r="A1434" s="32"/>
    </row>
    <row r="1435" spans="1:1">
      <c r="A1435" s="32"/>
    </row>
    <row r="1436" spans="1:1">
      <c r="A1436" s="32"/>
    </row>
    <row r="1437" spans="1:1">
      <c r="A1437" s="32"/>
    </row>
    <row r="1438" spans="1:1">
      <c r="A1438" s="32"/>
    </row>
    <row r="1439" spans="1:1">
      <c r="A1439" s="32"/>
    </row>
    <row r="1440" spans="1:1">
      <c r="A1440" s="32"/>
    </row>
    <row r="1441" spans="1:1">
      <c r="A1441" s="32"/>
    </row>
    <row r="1442" spans="1:1">
      <c r="A1442" s="32"/>
    </row>
    <row r="1443" spans="1:1">
      <c r="A1443" s="32"/>
    </row>
    <row r="1444" spans="1:1">
      <c r="A1444" s="32"/>
    </row>
    <row r="1445" spans="1:1">
      <c r="A1445" s="32"/>
    </row>
    <row r="1446" spans="1:1">
      <c r="A1446" s="32"/>
    </row>
    <row r="1447" spans="1:1">
      <c r="A1447" s="32"/>
    </row>
    <row r="1448" spans="1:1">
      <c r="A1448" s="32"/>
    </row>
    <row r="1449" spans="1:1">
      <c r="A1449" s="32"/>
    </row>
    <row r="1450" spans="1:1">
      <c r="A1450" s="32"/>
    </row>
    <row r="1451" spans="1:1">
      <c r="A1451" s="32"/>
    </row>
    <row r="1452" spans="1:1">
      <c r="A1452" s="32"/>
    </row>
    <row r="1453" spans="1:1">
      <c r="A1453" s="32"/>
    </row>
    <row r="1454" spans="1:1">
      <c r="A1454" s="32"/>
    </row>
    <row r="1455" spans="1:1">
      <c r="A1455" s="32"/>
    </row>
    <row r="1456" spans="1:1">
      <c r="A1456" s="32"/>
    </row>
    <row r="1457" spans="1:1">
      <c r="A1457" s="32"/>
    </row>
    <row r="1458" spans="1:1">
      <c r="A1458" s="32"/>
    </row>
    <row r="1459" spans="1:1">
      <c r="A1459" s="32"/>
    </row>
    <row r="1460" spans="1:1">
      <c r="A1460" s="32"/>
    </row>
    <row r="1461" spans="1:1">
      <c r="A1461" s="32"/>
    </row>
    <row r="1462" spans="1:1">
      <c r="A1462" s="32"/>
    </row>
    <row r="1463" spans="1:1">
      <c r="A1463" s="32"/>
    </row>
    <row r="1464" spans="1:1">
      <c r="A1464" s="32"/>
    </row>
    <row r="1465" spans="1:1">
      <c r="A1465" s="32"/>
    </row>
    <row r="1466" spans="1:1">
      <c r="A1466" s="32"/>
    </row>
    <row r="1467" spans="1:1">
      <c r="A1467" s="32"/>
    </row>
    <row r="1468" spans="1:1">
      <c r="A1468" s="32"/>
    </row>
    <row r="1469" spans="1:1">
      <c r="A1469" s="32"/>
    </row>
    <row r="1470" spans="1:1">
      <c r="A1470" s="32"/>
    </row>
    <row r="1471" spans="1:1">
      <c r="A1471" s="32"/>
    </row>
    <row r="1472" spans="1:1">
      <c r="A1472" s="32"/>
    </row>
    <row r="1473" spans="1:1">
      <c r="A1473" s="32"/>
    </row>
    <row r="1474" spans="1:1">
      <c r="A1474" s="32"/>
    </row>
    <row r="1475" spans="1:1">
      <c r="A1475" s="32"/>
    </row>
    <row r="1476" spans="1:1">
      <c r="A1476" s="32"/>
    </row>
    <row r="1477" spans="1:1">
      <c r="A1477" s="32"/>
    </row>
    <row r="1478" spans="1:1">
      <c r="A1478" s="32"/>
    </row>
    <row r="1479" spans="1:1">
      <c r="A1479" s="32"/>
    </row>
    <row r="1480" spans="1:1">
      <c r="A1480" s="32"/>
    </row>
    <row r="1481" spans="1:1">
      <c r="A1481" s="32"/>
    </row>
    <row r="1482" spans="1:1">
      <c r="A1482" s="32"/>
    </row>
    <row r="1483" spans="1:1">
      <c r="A1483" s="32"/>
    </row>
    <row r="1484" spans="1:1">
      <c r="A1484" s="32"/>
    </row>
    <row r="1485" spans="1:1">
      <c r="A1485" s="32"/>
    </row>
    <row r="1486" spans="1:1">
      <c r="A1486" s="32"/>
    </row>
    <row r="1487" spans="1:1">
      <c r="A1487" s="32"/>
    </row>
    <row r="1488" spans="1:1">
      <c r="A1488" s="32"/>
    </row>
    <row r="1489" spans="1:1">
      <c r="A1489" s="32"/>
    </row>
    <row r="1490" spans="1:1">
      <c r="A1490" s="32"/>
    </row>
    <row r="1491" spans="1:1">
      <c r="A1491" s="32"/>
    </row>
    <row r="1492" spans="1:1">
      <c r="A1492" s="32"/>
    </row>
    <row r="1493" spans="1:1">
      <c r="A1493" s="32"/>
    </row>
    <row r="1494" spans="1:1">
      <c r="A1494" s="32"/>
    </row>
    <row r="1495" spans="1:1">
      <c r="A1495" s="32"/>
    </row>
    <row r="1496" spans="1:1">
      <c r="A1496" s="32"/>
    </row>
    <row r="1497" spans="1:1">
      <c r="A1497" s="32"/>
    </row>
    <row r="1498" spans="1:1">
      <c r="A1498" s="32"/>
    </row>
    <row r="1499" spans="1:1">
      <c r="A1499" s="32"/>
    </row>
    <row r="1500" spans="1:1">
      <c r="A1500" s="32"/>
    </row>
    <row r="1501" spans="1:1">
      <c r="A1501" s="32"/>
    </row>
    <row r="1502" spans="1:1">
      <c r="A1502" s="32"/>
    </row>
    <row r="1503" spans="1:1">
      <c r="A1503" s="32"/>
    </row>
    <row r="1504" spans="1:1">
      <c r="A1504" s="32"/>
    </row>
    <row r="1505" spans="1:1">
      <c r="A1505" s="32"/>
    </row>
    <row r="1506" spans="1:1">
      <c r="A1506" s="32"/>
    </row>
    <row r="1507" spans="1:1">
      <c r="A1507" s="32"/>
    </row>
    <row r="1508" spans="1:1">
      <c r="A1508" s="32"/>
    </row>
    <row r="1509" spans="1:1">
      <c r="A1509" s="32"/>
    </row>
    <row r="1510" spans="1:1">
      <c r="A1510" s="32"/>
    </row>
    <row r="1511" spans="1:1">
      <c r="A1511" s="32"/>
    </row>
    <row r="1512" spans="1:1">
      <c r="A1512" s="32"/>
    </row>
    <row r="1513" spans="1:1">
      <c r="A1513" s="32"/>
    </row>
    <row r="1514" spans="1:1">
      <c r="A1514" s="32"/>
    </row>
    <row r="1515" spans="1:1">
      <c r="A1515" s="32"/>
    </row>
    <row r="1516" spans="1:1">
      <c r="A1516" s="32"/>
    </row>
    <row r="1517" spans="1:1">
      <c r="A1517" s="32"/>
    </row>
    <row r="1518" spans="1:1">
      <c r="A1518" s="32"/>
    </row>
    <row r="1519" spans="1:1">
      <c r="A1519" s="32"/>
    </row>
    <row r="1520" spans="1:1">
      <c r="A1520" s="32"/>
    </row>
    <row r="1521" spans="1:1">
      <c r="A1521" s="32"/>
    </row>
    <row r="1522" spans="1:1">
      <c r="A1522" s="32"/>
    </row>
    <row r="1523" spans="1:1">
      <c r="A1523" s="32"/>
    </row>
    <row r="1524" spans="1:1">
      <c r="A1524" s="32"/>
    </row>
    <row r="1525" spans="1:1">
      <c r="A1525" s="32"/>
    </row>
    <row r="1526" spans="1:1">
      <c r="A1526" s="32"/>
    </row>
    <row r="1527" spans="1:1">
      <c r="A1527" s="32"/>
    </row>
    <row r="1528" spans="1:1">
      <c r="A1528" s="32"/>
    </row>
    <row r="1529" spans="1:1">
      <c r="A1529" s="32"/>
    </row>
    <row r="1530" spans="1:1">
      <c r="A1530" s="32"/>
    </row>
    <row r="1531" spans="1:1">
      <c r="A1531" s="32"/>
    </row>
    <row r="1532" spans="1:1">
      <c r="A1532" s="32"/>
    </row>
    <row r="1533" spans="1:1">
      <c r="A1533" s="32"/>
    </row>
    <row r="1534" spans="1:1">
      <c r="A1534" s="32"/>
    </row>
    <row r="1535" spans="1:1">
      <c r="A1535" s="32"/>
    </row>
    <row r="1536" spans="1:1">
      <c r="A1536" s="32"/>
    </row>
    <row r="1537" spans="1:1">
      <c r="A1537" s="32"/>
    </row>
    <row r="1538" spans="1:1">
      <c r="A1538" s="32"/>
    </row>
    <row r="1539" spans="1:1">
      <c r="A1539" s="32"/>
    </row>
    <row r="1540" spans="1:1">
      <c r="A1540" s="32"/>
    </row>
    <row r="1541" spans="1:1">
      <c r="A1541" s="32"/>
    </row>
    <row r="1542" spans="1:1">
      <c r="A1542" s="32"/>
    </row>
    <row r="1543" spans="1:1">
      <c r="A1543" s="32"/>
    </row>
    <row r="1544" spans="1:1">
      <c r="A1544" s="32"/>
    </row>
    <row r="1545" spans="1:1">
      <c r="A1545" s="32"/>
    </row>
    <row r="1546" spans="1:1">
      <c r="A1546" s="32"/>
    </row>
    <row r="1547" spans="1:1">
      <c r="A1547" s="32"/>
    </row>
    <row r="1548" spans="1:1">
      <c r="A1548" s="32"/>
    </row>
    <row r="1549" spans="1:1">
      <c r="A1549" s="32"/>
    </row>
    <row r="1550" spans="1:1">
      <c r="A1550" s="32"/>
    </row>
    <row r="1551" spans="1:1">
      <c r="A1551" s="32"/>
    </row>
    <row r="1552" spans="1:1">
      <c r="A1552" s="32"/>
    </row>
    <row r="1553" spans="1:1">
      <c r="A1553" s="32"/>
    </row>
    <row r="1554" spans="1:1">
      <c r="A1554" s="32"/>
    </row>
    <row r="1555" spans="1:1">
      <c r="A1555" s="32"/>
    </row>
    <row r="1556" spans="1:1">
      <c r="A1556" s="32"/>
    </row>
    <row r="1557" spans="1:1">
      <c r="A1557" s="32"/>
    </row>
    <row r="1558" spans="1:1">
      <c r="A1558" s="32"/>
    </row>
    <row r="1559" spans="1:1">
      <c r="A1559" s="32"/>
    </row>
    <row r="1560" spans="1:1">
      <c r="A1560" s="32"/>
    </row>
    <row r="1561" spans="1:1">
      <c r="A1561" s="32"/>
    </row>
    <row r="1562" spans="1:1">
      <c r="A1562" s="32"/>
    </row>
    <row r="1563" spans="1:1">
      <c r="A1563" s="32"/>
    </row>
    <row r="1564" spans="1:1">
      <c r="A1564" s="32"/>
    </row>
    <row r="1565" spans="1:1">
      <c r="A1565" s="32"/>
    </row>
    <row r="1566" spans="1:1">
      <c r="A1566" s="32"/>
    </row>
    <row r="1567" spans="1:1">
      <c r="A1567" s="32"/>
    </row>
    <row r="1568" spans="1:1">
      <c r="A1568" s="32"/>
    </row>
    <row r="1569" spans="1:1">
      <c r="A1569" s="32"/>
    </row>
    <row r="1570" spans="1:1">
      <c r="A1570" s="32"/>
    </row>
    <row r="1571" spans="1:1">
      <c r="A1571" s="32"/>
    </row>
    <row r="1572" spans="1:1">
      <c r="A1572" s="32"/>
    </row>
    <row r="1573" spans="1:1">
      <c r="A1573" s="32"/>
    </row>
    <row r="1574" spans="1:1">
      <c r="A1574" s="32"/>
    </row>
    <row r="1575" spans="1:1">
      <c r="A1575" s="32"/>
    </row>
    <row r="1576" spans="1:1">
      <c r="A1576" s="32"/>
    </row>
    <row r="1577" spans="1:1">
      <c r="A1577" s="32"/>
    </row>
    <row r="1578" spans="1:1">
      <c r="A1578" s="32"/>
    </row>
    <row r="1579" spans="1:1">
      <c r="A1579" s="32"/>
    </row>
    <row r="1580" spans="1:1">
      <c r="A1580" s="32"/>
    </row>
    <row r="1581" spans="1:1">
      <c r="A1581" s="32"/>
    </row>
    <row r="1582" spans="1:1">
      <c r="A1582" s="32"/>
    </row>
    <row r="1583" spans="1:1">
      <c r="A1583" s="32"/>
    </row>
    <row r="1584" spans="1:1">
      <c r="A1584" s="32"/>
    </row>
    <row r="1585" spans="1:1">
      <c r="A1585" s="32"/>
    </row>
    <row r="1586" spans="1:1">
      <c r="A1586" s="32"/>
    </row>
    <row r="1587" spans="1:1">
      <c r="A1587" s="32"/>
    </row>
    <row r="1588" spans="1:1">
      <c r="A1588" s="32"/>
    </row>
    <row r="1589" spans="1:1">
      <c r="A1589" s="32"/>
    </row>
    <row r="1590" spans="1:1">
      <c r="A1590" s="32"/>
    </row>
    <row r="1591" spans="1:1">
      <c r="A1591" s="32"/>
    </row>
    <row r="1592" spans="1:1">
      <c r="A1592" s="32"/>
    </row>
    <row r="1593" spans="1:1">
      <c r="A1593" s="32"/>
    </row>
    <row r="1594" spans="1:1">
      <c r="A1594" s="32"/>
    </row>
    <row r="1595" spans="1:1">
      <c r="A1595" s="32"/>
    </row>
    <row r="1596" spans="1:1">
      <c r="A1596" s="32"/>
    </row>
    <row r="1597" spans="1:1">
      <c r="A1597" s="32"/>
    </row>
    <row r="1598" spans="1:1">
      <c r="A1598" s="32"/>
    </row>
    <row r="1599" spans="1:1">
      <c r="A1599" s="32"/>
    </row>
    <row r="1600" spans="1:1">
      <c r="A1600" s="32"/>
    </row>
    <row r="1601" spans="1:1">
      <c r="A1601" s="32"/>
    </row>
    <row r="1602" spans="1:1">
      <c r="A1602" s="32"/>
    </row>
    <row r="1603" spans="1:1">
      <c r="A1603" s="32"/>
    </row>
    <row r="1604" spans="1:1">
      <c r="A1604" s="32"/>
    </row>
    <row r="1605" spans="1:1">
      <c r="A1605" s="32"/>
    </row>
    <row r="1606" spans="1:1">
      <c r="A1606" s="32"/>
    </row>
    <row r="1607" spans="1:1">
      <c r="A1607" s="32"/>
    </row>
    <row r="1608" spans="1:1">
      <c r="A1608" s="32"/>
    </row>
    <row r="1609" spans="1:1">
      <c r="A1609" s="32"/>
    </row>
    <row r="1610" spans="1:1">
      <c r="A1610" s="32"/>
    </row>
    <row r="1611" spans="1:1">
      <c r="A1611" s="32"/>
    </row>
    <row r="1612" spans="1:1">
      <c r="A1612" s="32"/>
    </row>
    <row r="1613" spans="1:1">
      <c r="A1613" s="32"/>
    </row>
    <row r="1614" spans="1:1">
      <c r="A1614" s="32"/>
    </row>
    <row r="1615" spans="1:1">
      <c r="A1615" s="32"/>
    </row>
    <row r="1616" spans="1:1">
      <c r="A1616" s="32"/>
    </row>
    <row r="1617" spans="1:1">
      <c r="A1617" s="32"/>
    </row>
    <row r="1618" spans="1:1">
      <c r="A1618" s="32"/>
    </row>
    <row r="1619" spans="1:1">
      <c r="A1619" s="32"/>
    </row>
    <row r="1620" spans="1:1">
      <c r="A1620" s="32"/>
    </row>
    <row r="1621" spans="1:1">
      <c r="A1621" s="32"/>
    </row>
    <row r="1622" spans="1:1">
      <c r="A1622" s="32"/>
    </row>
    <row r="1623" spans="1:1">
      <c r="A1623" s="32"/>
    </row>
    <row r="1624" spans="1:1">
      <c r="A1624" s="32"/>
    </row>
    <row r="1625" spans="1:1">
      <c r="A1625" s="32"/>
    </row>
    <row r="1626" spans="1:1">
      <c r="A1626" s="32"/>
    </row>
    <row r="1627" spans="1:1">
      <c r="A1627" s="32"/>
    </row>
    <row r="1628" spans="1:1">
      <c r="A1628" s="32"/>
    </row>
    <row r="1629" spans="1:1">
      <c r="A1629" s="32"/>
    </row>
    <row r="1630" spans="1:1">
      <c r="A1630" s="32"/>
    </row>
    <row r="1631" spans="1:1">
      <c r="A1631" s="32"/>
    </row>
    <row r="1632" spans="1:1">
      <c r="A1632" s="32"/>
    </row>
    <row r="1633" spans="1:1">
      <c r="A1633" s="32"/>
    </row>
    <row r="1634" spans="1:1">
      <c r="A1634" s="32"/>
    </row>
    <row r="1635" spans="1:1">
      <c r="A1635" s="32"/>
    </row>
    <row r="1636" spans="1:1">
      <c r="A1636" s="32"/>
    </row>
    <row r="1637" spans="1:1">
      <c r="A1637" s="32"/>
    </row>
    <row r="1638" spans="1:1">
      <c r="A1638" s="32"/>
    </row>
    <row r="1639" spans="1:1">
      <c r="A1639" s="32"/>
    </row>
    <row r="1640" spans="1:1">
      <c r="A1640" s="32"/>
    </row>
    <row r="1641" spans="1:1">
      <c r="A1641" s="32"/>
    </row>
    <row r="1642" spans="1:1">
      <c r="A1642" s="32"/>
    </row>
    <row r="1643" spans="1:1">
      <c r="A1643" s="32"/>
    </row>
    <row r="1644" spans="1:1">
      <c r="A1644" s="32"/>
    </row>
    <row r="1645" spans="1:1">
      <c r="A1645" s="32"/>
    </row>
    <row r="1646" spans="1:1">
      <c r="A1646" s="32"/>
    </row>
    <row r="1647" spans="1:1">
      <c r="A1647" s="32"/>
    </row>
    <row r="1648" spans="1:1">
      <c r="A1648" s="32"/>
    </row>
    <row r="1649" spans="1:1">
      <c r="A1649" s="32"/>
    </row>
    <row r="1650" spans="1:1">
      <c r="A1650" s="32"/>
    </row>
    <row r="1651" spans="1:1">
      <c r="A1651" s="32"/>
    </row>
    <row r="1652" spans="1:1">
      <c r="A1652" s="32"/>
    </row>
    <row r="1653" spans="1:1">
      <c r="A1653" s="32"/>
    </row>
    <row r="1654" spans="1:1">
      <c r="A1654" s="32"/>
    </row>
    <row r="1655" spans="1:1">
      <c r="A1655" s="32"/>
    </row>
    <row r="1656" spans="1:1">
      <c r="A1656" s="32"/>
    </row>
    <row r="1657" spans="1:1">
      <c r="A1657" s="32"/>
    </row>
    <row r="1658" spans="1:1">
      <c r="A1658" s="32"/>
    </row>
    <row r="1659" spans="1:1">
      <c r="A1659" s="32"/>
    </row>
    <row r="1660" spans="1:1">
      <c r="A1660" s="32"/>
    </row>
    <row r="1661" spans="1:1">
      <c r="A1661" s="32"/>
    </row>
    <row r="1662" spans="1:1">
      <c r="A1662" s="32"/>
    </row>
    <row r="1663" spans="1:1">
      <c r="A1663" s="32"/>
    </row>
    <row r="1664" spans="1:1">
      <c r="A1664" s="32"/>
    </row>
    <row r="1665" spans="1:1">
      <c r="A1665" s="32"/>
    </row>
    <row r="1666" spans="1:1">
      <c r="A1666" s="32"/>
    </row>
    <row r="1667" spans="1:1">
      <c r="A1667" s="32"/>
    </row>
    <row r="1668" spans="1:1">
      <c r="A1668" s="32"/>
    </row>
    <row r="1669" spans="1:1">
      <c r="A1669" s="32"/>
    </row>
    <row r="1670" spans="1:1">
      <c r="A1670" s="32"/>
    </row>
    <row r="1671" spans="1:1">
      <c r="A1671" s="32"/>
    </row>
    <row r="1672" spans="1:1">
      <c r="A1672" s="32"/>
    </row>
    <row r="1673" spans="1:1">
      <c r="A1673" s="32"/>
    </row>
    <row r="1674" spans="1:1">
      <c r="A1674" s="32"/>
    </row>
    <row r="1675" spans="1:1">
      <c r="A1675" s="32"/>
    </row>
    <row r="1676" spans="1:1">
      <c r="A1676" s="32"/>
    </row>
    <row r="1677" spans="1:1">
      <c r="A1677" s="32"/>
    </row>
    <row r="1678" spans="1:1">
      <c r="A1678" s="32"/>
    </row>
    <row r="1679" spans="1:1">
      <c r="A1679" s="32"/>
    </row>
    <row r="1680" spans="1:1">
      <c r="A1680" s="32"/>
    </row>
    <row r="1681" spans="1:1">
      <c r="A1681" s="32"/>
    </row>
    <row r="1682" spans="1:1">
      <c r="A1682" s="32"/>
    </row>
    <row r="1683" spans="1:1">
      <c r="A1683" s="32"/>
    </row>
    <row r="1684" spans="1:1">
      <c r="A1684" s="32"/>
    </row>
    <row r="1685" spans="1:1">
      <c r="A1685" s="32"/>
    </row>
    <row r="1686" spans="1:1">
      <c r="A1686" s="32"/>
    </row>
    <row r="1687" spans="1:1">
      <c r="A1687" s="32"/>
    </row>
    <row r="1688" spans="1:1">
      <c r="A1688" s="32"/>
    </row>
    <row r="1689" spans="1:1">
      <c r="A1689" s="32"/>
    </row>
    <row r="1690" spans="1:1">
      <c r="A1690" s="32"/>
    </row>
    <row r="1691" spans="1:1">
      <c r="A1691" s="32"/>
    </row>
    <row r="1692" spans="1:1">
      <c r="A1692" s="32"/>
    </row>
    <row r="1693" spans="1:1">
      <c r="A1693" s="32"/>
    </row>
    <row r="1694" spans="1:1">
      <c r="A1694" s="32"/>
    </row>
    <row r="1695" spans="1:1">
      <c r="A1695" s="32"/>
    </row>
    <row r="1696" spans="1:1">
      <c r="A1696" s="32"/>
    </row>
    <row r="1697" spans="1:1">
      <c r="A1697" s="32"/>
    </row>
    <row r="1698" spans="1:1">
      <c r="A1698" s="32"/>
    </row>
    <row r="1699" spans="1:1">
      <c r="A1699" s="32"/>
    </row>
    <row r="1700" spans="1:1">
      <c r="A1700" s="32"/>
    </row>
    <row r="1701" spans="1:1">
      <c r="A1701" s="32"/>
    </row>
    <row r="1702" spans="1:1">
      <c r="A1702" s="32"/>
    </row>
    <row r="1703" spans="1:1">
      <c r="A1703" s="32"/>
    </row>
    <row r="1704" spans="1:1">
      <c r="A1704" s="32"/>
    </row>
    <row r="1705" spans="1:1">
      <c r="A1705" s="32"/>
    </row>
    <row r="1706" spans="1:1">
      <c r="A1706" s="32"/>
    </row>
    <row r="1707" spans="1:1">
      <c r="A1707" s="32"/>
    </row>
    <row r="1708" spans="1:1">
      <c r="A1708" s="32"/>
    </row>
    <row r="1709" spans="1:1">
      <c r="A1709" s="32"/>
    </row>
    <row r="1710" spans="1:1">
      <c r="A1710" s="32"/>
    </row>
    <row r="1711" spans="1:1">
      <c r="A1711" s="32"/>
    </row>
    <row r="1712" spans="1:1">
      <c r="A1712" s="32"/>
    </row>
    <row r="1713" spans="1:1">
      <c r="A1713" s="32"/>
    </row>
    <row r="1714" spans="1:1">
      <c r="A1714" s="32"/>
    </row>
    <row r="1715" spans="1:1">
      <c r="A1715" s="32"/>
    </row>
    <row r="1716" spans="1:1">
      <c r="A1716" s="32"/>
    </row>
    <row r="1717" spans="1:1">
      <c r="A1717" s="32"/>
    </row>
    <row r="1718" spans="1:1">
      <c r="A1718" s="32"/>
    </row>
    <row r="1719" spans="1:1">
      <c r="A1719" s="32"/>
    </row>
    <row r="1720" spans="1:1">
      <c r="A1720" s="32"/>
    </row>
    <row r="1721" spans="1:1">
      <c r="A1721" s="32"/>
    </row>
    <row r="1722" spans="1:1">
      <c r="A1722" s="32"/>
    </row>
    <row r="1723" spans="1:1">
      <c r="A1723" s="32"/>
    </row>
    <row r="1724" spans="1:1">
      <c r="A1724" s="32"/>
    </row>
    <row r="1725" spans="1:1">
      <c r="A1725" s="32"/>
    </row>
    <row r="1726" spans="1:1">
      <c r="A1726" s="32"/>
    </row>
    <row r="1727" spans="1:1">
      <c r="A1727" s="32"/>
    </row>
    <row r="1728" spans="1:1">
      <c r="A1728" s="32"/>
    </row>
    <row r="1729" spans="1:1">
      <c r="A1729" s="32"/>
    </row>
    <row r="1730" spans="1:1">
      <c r="A1730" s="32"/>
    </row>
    <row r="1731" spans="1:1">
      <c r="A1731" s="32"/>
    </row>
    <row r="1732" spans="1:1">
      <c r="A1732" s="32"/>
    </row>
    <row r="1733" spans="1:1">
      <c r="A1733" s="32"/>
    </row>
    <row r="1734" spans="1:1">
      <c r="A1734" s="32"/>
    </row>
    <row r="1735" spans="1:1">
      <c r="A1735" s="32"/>
    </row>
    <row r="1736" spans="1:1">
      <c r="A1736" s="32"/>
    </row>
    <row r="1737" spans="1:1">
      <c r="A1737" s="32"/>
    </row>
    <row r="1738" spans="1:1">
      <c r="A1738" s="32"/>
    </row>
    <row r="1739" spans="1:1">
      <c r="A1739" s="32"/>
    </row>
    <row r="1740" spans="1:1">
      <c r="A1740" s="32"/>
    </row>
    <row r="1741" spans="1:1">
      <c r="A1741" s="32"/>
    </row>
    <row r="1742" spans="1:1">
      <c r="A1742" s="32"/>
    </row>
    <row r="1743" spans="1:1">
      <c r="A1743" s="32"/>
    </row>
    <row r="1744" spans="1:1">
      <c r="A1744" s="32"/>
    </row>
    <row r="1745" spans="1:1">
      <c r="A1745" s="32"/>
    </row>
    <row r="1746" spans="1:1">
      <c r="A1746" s="32"/>
    </row>
    <row r="1747" spans="1:1">
      <c r="A1747" s="32"/>
    </row>
    <row r="1748" spans="1:1">
      <c r="A1748" s="32"/>
    </row>
    <row r="1749" spans="1:1">
      <c r="A1749" s="32"/>
    </row>
    <row r="1750" spans="1:1">
      <c r="A1750" s="32"/>
    </row>
    <row r="1751" spans="1:1">
      <c r="A1751" s="32"/>
    </row>
    <row r="1752" spans="1:1">
      <c r="A1752" s="32"/>
    </row>
    <row r="1753" spans="1:1">
      <c r="A1753" s="32"/>
    </row>
    <row r="1754" spans="1:1">
      <c r="A1754" s="32"/>
    </row>
    <row r="1755" spans="1:1">
      <c r="A1755" s="32"/>
    </row>
    <row r="1756" spans="1:1">
      <c r="A1756" s="32"/>
    </row>
    <row r="1757" spans="1:1">
      <c r="A1757" s="32"/>
    </row>
    <row r="1758" spans="1:1">
      <c r="A1758" s="32"/>
    </row>
    <row r="1759" spans="1:1">
      <c r="A1759" s="32"/>
    </row>
    <row r="1760" spans="1:1">
      <c r="A1760" s="32"/>
    </row>
    <row r="1761" spans="1:1">
      <c r="A1761" s="32"/>
    </row>
    <row r="1762" spans="1:1">
      <c r="A1762" s="32"/>
    </row>
    <row r="1763" spans="1:1">
      <c r="A1763" s="32"/>
    </row>
    <row r="1764" spans="1:1">
      <c r="A1764" s="32"/>
    </row>
    <row r="1765" spans="1:1">
      <c r="A1765" s="32"/>
    </row>
    <row r="1766" spans="1:1">
      <c r="A1766" s="32"/>
    </row>
    <row r="1767" spans="1:1">
      <c r="A1767" s="32"/>
    </row>
    <row r="1768" spans="1:1">
      <c r="A1768" s="32"/>
    </row>
    <row r="1769" spans="1:1">
      <c r="A1769" s="32"/>
    </row>
    <row r="1770" spans="1:1">
      <c r="A1770" s="32"/>
    </row>
    <row r="1771" spans="1:1">
      <c r="A1771" s="32"/>
    </row>
    <row r="1772" spans="1:1">
      <c r="A1772" s="32"/>
    </row>
    <row r="1773" spans="1:1">
      <c r="A1773" s="32"/>
    </row>
    <row r="1774" spans="1:1">
      <c r="A1774" s="32"/>
    </row>
    <row r="1775" spans="1:1">
      <c r="A1775" s="32"/>
    </row>
    <row r="1776" spans="1:1">
      <c r="A1776" s="32"/>
    </row>
    <row r="1777" spans="1:1">
      <c r="A1777" s="32"/>
    </row>
    <row r="1778" spans="1:1">
      <c r="A1778" s="32"/>
    </row>
    <row r="1779" spans="1:1">
      <c r="A1779" s="32"/>
    </row>
    <row r="1780" spans="1:1">
      <c r="A1780" s="32"/>
    </row>
    <row r="1781" spans="1:1">
      <c r="A1781" s="32"/>
    </row>
    <row r="1782" spans="1:1">
      <c r="A1782" s="32"/>
    </row>
    <row r="1783" spans="1:1">
      <c r="A1783" s="32"/>
    </row>
    <row r="1784" spans="1:1">
      <c r="A1784" s="32"/>
    </row>
    <row r="1785" spans="1:1">
      <c r="A1785" s="32"/>
    </row>
    <row r="1786" spans="1:1">
      <c r="A1786" s="32"/>
    </row>
    <row r="1787" spans="1:1">
      <c r="A1787" s="32"/>
    </row>
    <row r="1788" spans="1:1">
      <c r="A1788" s="32"/>
    </row>
    <row r="1789" spans="1:1">
      <c r="A1789" s="32"/>
    </row>
    <row r="1790" spans="1:1">
      <c r="A1790" s="32"/>
    </row>
    <row r="1791" spans="1:1">
      <c r="A1791" s="32"/>
    </row>
    <row r="1792" spans="1:1">
      <c r="A1792" s="32"/>
    </row>
    <row r="1793" spans="1:1">
      <c r="A1793" s="32"/>
    </row>
    <row r="1794" spans="1:1">
      <c r="A1794" s="32"/>
    </row>
    <row r="1795" spans="1:1">
      <c r="A1795" s="32"/>
    </row>
    <row r="1796" spans="1:1">
      <c r="A1796" s="32"/>
    </row>
    <row r="1797" spans="1:1">
      <c r="A1797" s="32"/>
    </row>
    <row r="1798" spans="1:1">
      <c r="A1798" s="32"/>
    </row>
    <row r="1799" spans="1:1">
      <c r="A1799" s="32"/>
    </row>
    <row r="1800" spans="1:1">
      <c r="A1800" s="32"/>
    </row>
    <row r="1801" spans="1:1">
      <c r="A1801" s="32"/>
    </row>
    <row r="1802" spans="1:1">
      <c r="A1802" s="32"/>
    </row>
    <row r="1803" spans="1:1">
      <c r="A1803" s="32"/>
    </row>
    <row r="1804" spans="1:1">
      <c r="A1804" s="32"/>
    </row>
    <row r="1805" spans="1:1">
      <c r="A1805" s="32"/>
    </row>
    <row r="1806" spans="1:1">
      <c r="A1806" s="32"/>
    </row>
    <row r="1807" spans="1:1">
      <c r="A1807" s="32"/>
    </row>
    <row r="1808" spans="1:1">
      <c r="A1808" s="32"/>
    </row>
    <row r="1809" spans="1:1">
      <c r="A1809" s="32"/>
    </row>
    <row r="1810" spans="1:1">
      <c r="A1810" s="32"/>
    </row>
    <row r="1811" spans="1:1">
      <c r="A1811" s="32"/>
    </row>
    <row r="1812" spans="1:1">
      <c r="A1812" s="32"/>
    </row>
    <row r="1813" spans="1:1">
      <c r="A1813" s="32"/>
    </row>
    <row r="1814" spans="1:1">
      <c r="A1814" s="32"/>
    </row>
    <row r="1815" spans="1:1">
      <c r="A1815" s="32"/>
    </row>
    <row r="1816" spans="1:1">
      <c r="A1816" s="32"/>
    </row>
    <row r="1817" spans="1:1">
      <c r="A1817" s="32"/>
    </row>
    <row r="1818" spans="1:1">
      <c r="A1818" s="32"/>
    </row>
    <row r="1819" spans="1:1">
      <c r="A1819" s="32"/>
    </row>
    <row r="1820" spans="1:1">
      <c r="A1820" s="32"/>
    </row>
    <row r="1821" spans="1:1">
      <c r="A1821" s="32"/>
    </row>
    <row r="1822" spans="1:1">
      <c r="A1822" s="32"/>
    </row>
    <row r="1823" spans="1:1">
      <c r="A1823" s="32"/>
    </row>
    <row r="1824" spans="1:1">
      <c r="A1824" s="32"/>
    </row>
    <row r="1825" spans="1:1">
      <c r="A1825" s="32"/>
    </row>
    <row r="1826" spans="1:1">
      <c r="A1826" s="32"/>
    </row>
    <row r="1827" spans="1:1">
      <c r="A1827" s="32"/>
    </row>
    <row r="1828" spans="1:1">
      <c r="A1828" s="32"/>
    </row>
    <row r="1829" spans="1:1">
      <c r="A1829" s="32"/>
    </row>
    <row r="1830" spans="1:1">
      <c r="A1830" s="32"/>
    </row>
    <row r="1831" spans="1:1">
      <c r="A1831" s="32"/>
    </row>
    <row r="1832" spans="1:1">
      <c r="A1832" s="32"/>
    </row>
    <row r="1833" spans="1:1">
      <c r="A1833" s="32"/>
    </row>
    <row r="1834" spans="1:1">
      <c r="A1834" s="32"/>
    </row>
    <row r="1835" spans="1:1">
      <c r="A1835" s="32"/>
    </row>
    <row r="1836" spans="1:1">
      <c r="A1836" s="32"/>
    </row>
    <row r="1837" spans="1:1">
      <c r="A1837" s="32"/>
    </row>
    <row r="1838" spans="1:1">
      <c r="A1838" s="32"/>
    </row>
    <row r="1839" spans="1:1">
      <c r="A1839" s="32"/>
    </row>
    <row r="1840" spans="1:1">
      <c r="A1840" s="32"/>
    </row>
    <row r="1841" spans="1:1">
      <c r="A1841" s="32"/>
    </row>
    <row r="1842" spans="1:1">
      <c r="A1842" s="32"/>
    </row>
    <row r="1843" spans="1:1">
      <c r="A1843" s="32"/>
    </row>
    <row r="1844" spans="1:1">
      <c r="A1844" s="32"/>
    </row>
    <row r="1845" spans="1:1">
      <c r="A1845" s="32"/>
    </row>
    <row r="1846" spans="1:1">
      <c r="A1846" s="32"/>
    </row>
    <row r="1847" spans="1:1">
      <c r="A1847" s="32"/>
    </row>
    <row r="1848" spans="1:1">
      <c r="A1848" s="32"/>
    </row>
    <row r="1849" spans="1:1">
      <c r="A1849" s="32"/>
    </row>
    <row r="1850" spans="1:1">
      <c r="A1850" s="32"/>
    </row>
    <row r="1851" spans="1:1">
      <c r="A1851" s="32"/>
    </row>
    <row r="1852" spans="1:1">
      <c r="A1852" s="32"/>
    </row>
    <row r="1853" spans="1:1">
      <c r="A1853" s="32"/>
    </row>
    <row r="1854" spans="1:1">
      <c r="A1854" s="32"/>
    </row>
    <row r="1855" spans="1:1">
      <c r="A1855" s="32"/>
    </row>
    <row r="1856" spans="1:1">
      <c r="A1856" s="32"/>
    </row>
    <row r="1857" spans="1:1">
      <c r="A1857" s="32"/>
    </row>
    <row r="1858" spans="1:1">
      <c r="A1858" s="32"/>
    </row>
    <row r="1859" spans="1:1">
      <c r="A1859" s="32"/>
    </row>
    <row r="1860" spans="1:1">
      <c r="A1860" s="32"/>
    </row>
    <row r="1861" spans="1:1">
      <c r="A1861" s="32"/>
    </row>
    <row r="1862" spans="1:1">
      <c r="A1862" s="32"/>
    </row>
    <row r="1863" spans="1:1">
      <c r="A1863" s="32"/>
    </row>
    <row r="1864" spans="1:1">
      <c r="A1864" s="32"/>
    </row>
    <row r="1865" spans="1:1">
      <c r="A1865" s="32"/>
    </row>
    <row r="1866" spans="1:1">
      <c r="A1866" s="32"/>
    </row>
    <row r="1867" spans="1:1">
      <c r="A1867" s="32"/>
    </row>
    <row r="1868" spans="1:1">
      <c r="A1868" s="32"/>
    </row>
    <row r="1869" spans="1:1">
      <c r="A1869" s="32"/>
    </row>
    <row r="1870" spans="1:1">
      <c r="A1870" s="32"/>
    </row>
    <row r="1871" spans="1:1">
      <c r="A1871" s="32"/>
    </row>
    <row r="1872" spans="1:1">
      <c r="A1872" s="32"/>
    </row>
    <row r="1873" spans="1:1">
      <c r="A1873" s="32"/>
    </row>
    <row r="1874" spans="1:1">
      <c r="A1874" s="32"/>
    </row>
    <row r="1875" spans="1:1">
      <c r="A1875" s="32"/>
    </row>
    <row r="1876" spans="1:1">
      <c r="A1876" s="32"/>
    </row>
    <row r="1877" spans="1:1">
      <c r="A1877" s="32"/>
    </row>
    <row r="1878" spans="1:1">
      <c r="A1878" s="32"/>
    </row>
    <row r="1879" spans="1:1">
      <c r="A1879" s="32"/>
    </row>
    <row r="1880" spans="1:1">
      <c r="A1880" s="32"/>
    </row>
    <row r="1881" spans="1:1">
      <c r="A1881" s="32"/>
    </row>
    <row r="1882" spans="1:1">
      <c r="A1882" s="32"/>
    </row>
    <row r="1883" spans="1:1">
      <c r="A1883" s="32"/>
    </row>
    <row r="1884" spans="1:1">
      <c r="A1884" s="32"/>
    </row>
    <row r="1885" spans="1:1">
      <c r="A1885" s="32"/>
    </row>
    <row r="1886" spans="1:1">
      <c r="A1886" s="32"/>
    </row>
    <row r="1887" spans="1:1">
      <c r="A1887" s="32"/>
    </row>
    <row r="1888" spans="1:1">
      <c r="A1888" s="32"/>
    </row>
    <row r="1889" spans="1:1">
      <c r="A1889" s="32"/>
    </row>
    <row r="1890" spans="1:1">
      <c r="A1890" s="32"/>
    </row>
    <row r="1891" spans="1:1">
      <c r="A1891" s="32"/>
    </row>
    <row r="1892" spans="1:1">
      <c r="A1892" s="32"/>
    </row>
    <row r="1893" spans="1:1">
      <c r="A1893" s="32"/>
    </row>
    <row r="1894" spans="1:1">
      <c r="A1894" s="32"/>
    </row>
    <row r="1895" spans="1:1">
      <c r="A1895" s="32"/>
    </row>
    <row r="1896" spans="1:1">
      <c r="A1896" s="32"/>
    </row>
    <row r="1897" spans="1:1">
      <c r="A1897" s="32"/>
    </row>
    <row r="1898" spans="1:1">
      <c r="A1898" s="32"/>
    </row>
    <row r="1899" spans="1:1">
      <c r="A1899" s="32"/>
    </row>
    <row r="1900" spans="1:1">
      <c r="A1900" s="32"/>
    </row>
    <row r="1901" spans="1:1">
      <c r="A1901" s="32"/>
    </row>
    <row r="1902" spans="1:1">
      <c r="A1902" s="32"/>
    </row>
    <row r="1903" spans="1:1">
      <c r="A1903" s="32"/>
    </row>
    <row r="1904" spans="1:1">
      <c r="A1904" s="32"/>
    </row>
    <row r="1905" spans="1:1">
      <c r="A1905" s="32"/>
    </row>
    <row r="1906" spans="1:1">
      <c r="A1906" s="32"/>
    </row>
    <row r="1907" spans="1:1">
      <c r="A1907" s="32"/>
    </row>
    <row r="1908" spans="1:1">
      <c r="A1908" s="32"/>
    </row>
    <row r="1909" spans="1:1">
      <c r="A1909" s="32"/>
    </row>
    <row r="1910" spans="1:1">
      <c r="A1910" s="32"/>
    </row>
    <row r="1911" spans="1:1">
      <c r="A1911" s="32"/>
    </row>
    <row r="1912" spans="1:1">
      <c r="A1912" s="32"/>
    </row>
    <row r="1913" spans="1:1">
      <c r="A1913" s="32"/>
    </row>
    <row r="1914" spans="1:1">
      <c r="A1914" s="32"/>
    </row>
    <row r="1915" spans="1:1">
      <c r="A1915" s="32"/>
    </row>
    <row r="1916" spans="1:1">
      <c r="A1916" s="32"/>
    </row>
    <row r="1917" spans="1:1">
      <c r="A1917" s="32"/>
    </row>
    <row r="1918" spans="1:1">
      <c r="A1918" s="32"/>
    </row>
    <row r="1919" spans="1:1">
      <c r="A1919" s="32"/>
    </row>
    <row r="1920" spans="1:1">
      <c r="A1920" s="32"/>
    </row>
    <row r="1921" spans="1:1">
      <c r="A1921" s="32"/>
    </row>
    <row r="1922" spans="1:1">
      <c r="A1922" s="32"/>
    </row>
    <row r="1923" spans="1:1">
      <c r="A1923" s="32"/>
    </row>
    <row r="1924" spans="1:1">
      <c r="A1924" s="32"/>
    </row>
    <row r="1925" spans="1:1">
      <c r="A1925" s="32"/>
    </row>
    <row r="1926" spans="1:1">
      <c r="A1926" s="32"/>
    </row>
    <row r="1927" spans="1:1">
      <c r="A1927" s="32"/>
    </row>
    <row r="1928" spans="1:1">
      <c r="A1928" s="32"/>
    </row>
    <row r="1929" spans="1:1">
      <c r="A1929" s="32"/>
    </row>
    <row r="1930" spans="1:1">
      <c r="A1930" s="32"/>
    </row>
    <row r="1931" spans="1:1">
      <c r="A1931" s="32"/>
    </row>
    <row r="1932" spans="1:1">
      <c r="A1932" s="32"/>
    </row>
    <row r="1933" spans="1:1">
      <c r="A1933" s="32"/>
    </row>
    <row r="1934" spans="1:1">
      <c r="A1934" s="32"/>
    </row>
    <row r="1935" spans="1:1">
      <c r="A1935" s="32"/>
    </row>
    <row r="1936" spans="1:1">
      <c r="A1936" s="32"/>
    </row>
    <row r="1937" spans="1:1">
      <c r="A1937" s="32"/>
    </row>
    <row r="1938" spans="1:1">
      <c r="A1938" s="32"/>
    </row>
    <row r="1939" spans="1:1">
      <c r="A1939" s="32"/>
    </row>
    <row r="1940" spans="1:1">
      <c r="A1940" s="32"/>
    </row>
    <row r="1941" spans="1:1">
      <c r="A1941" s="32"/>
    </row>
    <row r="1942" spans="1:1">
      <c r="A1942" s="32"/>
    </row>
    <row r="1943" spans="1:1">
      <c r="A1943" s="32"/>
    </row>
    <row r="1944" spans="1:1">
      <c r="A1944" s="32"/>
    </row>
    <row r="1945" spans="1:1">
      <c r="A1945" s="32"/>
    </row>
    <row r="1946" spans="1:1">
      <c r="A1946" s="32"/>
    </row>
    <row r="1947" spans="1:1">
      <c r="A1947" s="32"/>
    </row>
    <row r="1948" spans="1:1">
      <c r="A1948" s="32"/>
    </row>
    <row r="1949" spans="1:1">
      <c r="A1949" s="32"/>
    </row>
    <row r="1950" spans="1:1">
      <c r="A1950" s="32"/>
    </row>
    <row r="1951" spans="1:1">
      <c r="A1951" s="32"/>
    </row>
    <row r="1952" spans="1:1">
      <c r="A1952" s="32"/>
    </row>
    <row r="1953" spans="1:1">
      <c r="A1953" s="32"/>
    </row>
    <row r="1954" spans="1:1">
      <c r="A1954" s="32"/>
    </row>
    <row r="1955" spans="1:1">
      <c r="A1955" s="32"/>
    </row>
    <row r="1956" spans="1:1">
      <c r="A1956" s="32"/>
    </row>
    <row r="1957" spans="1:1">
      <c r="A1957" s="32"/>
    </row>
    <row r="1958" spans="1:1">
      <c r="A1958" s="32"/>
    </row>
    <row r="1959" spans="1:1">
      <c r="A1959" s="32"/>
    </row>
    <row r="1960" spans="1:1">
      <c r="A1960" s="32"/>
    </row>
    <row r="1961" spans="1:1">
      <c r="A1961" s="32"/>
    </row>
    <row r="1962" spans="1:1">
      <c r="A1962" s="32"/>
    </row>
    <row r="1963" spans="1:1">
      <c r="A1963" s="32"/>
    </row>
    <row r="1964" spans="1:1">
      <c r="A1964" s="32"/>
    </row>
    <row r="1965" spans="1:1">
      <c r="A1965" s="32"/>
    </row>
    <row r="1966" spans="1:1">
      <c r="A1966" s="32"/>
    </row>
    <row r="1967" spans="1:1">
      <c r="A1967" s="32"/>
    </row>
    <row r="1968" spans="1:1">
      <c r="A1968" s="32"/>
    </row>
    <row r="1969" spans="1:1">
      <c r="A1969" s="32"/>
    </row>
    <row r="1970" spans="1:1">
      <c r="A1970" s="32"/>
    </row>
    <row r="1971" spans="1:1">
      <c r="A1971" s="32"/>
    </row>
    <row r="1972" spans="1:1">
      <c r="A1972" s="32"/>
    </row>
    <row r="1973" spans="1:1">
      <c r="A1973" s="32"/>
    </row>
    <row r="1974" spans="1:1">
      <c r="A1974" s="32"/>
    </row>
    <row r="1975" spans="1:1">
      <c r="A1975" s="32"/>
    </row>
    <row r="1976" spans="1:1">
      <c r="A1976" s="32"/>
    </row>
    <row r="1977" spans="1:1">
      <c r="A1977" s="32"/>
    </row>
    <row r="1978" spans="1:1">
      <c r="A1978" s="32"/>
    </row>
    <row r="1979" spans="1:1">
      <c r="A1979" s="32"/>
    </row>
    <row r="1980" spans="1:1">
      <c r="A1980" s="32"/>
    </row>
    <row r="1981" spans="1:1">
      <c r="A1981" s="32"/>
    </row>
    <row r="1982" spans="1:1">
      <c r="A1982" s="32"/>
    </row>
    <row r="1983" spans="1:1">
      <c r="A1983" s="32"/>
    </row>
    <row r="1984" spans="1:1">
      <c r="A1984" s="32"/>
    </row>
    <row r="1985" spans="1:1">
      <c r="A1985" s="32"/>
    </row>
    <row r="1986" spans="1:1">
      <c r="A1986" s="32"/>
    </row>
    <row r="1987" spans="1:1">
      <c r="A1987" s="32"/>
    </row>
    <row r="1988" spans="1:1">
      <c r="A1988" s="32"/>
    </row>
    <row r="1989" spans="1:1">
      <c r="A1989" s="32"/>
    </row>
    <row r="1990" spans="1:1">
      <c r="A1990" s="32"/>
    </row>
    <row r="1991" spans="1:1">
      <c r="A1991" s="32"/>
    </row>
    <row r="1992" spans="1:1">
      <c r="A1992" s="32"/>
    </row>
    <row r="1993" spans="1:1">
      <c r="A1993" s="32"/>
    </row>
    <row r="1994" spans="1:1">
      <c r="A1994" s="32"/>
    </row>
    <row r="1995" spans="1:1">
      <c r="A1995" s="32"/>
    </row>
    <row r="1996" spans="1:1">
      <c r="A1996" s="32"/>
    </row>
    <row r="1997" spans="1:1">
      <c r="A1997" s="32"/>
    </row>
    <row r="1998" spans="1:1">
      <c r="A1998" s="32"/>
    </row>
    <row r="1999" spans="1:1">
      <c r="A1999" s="32"/>
    </row>
    <row r="2000" spans="1:1">
      <c r="A2000" s="32"/>
    </row>
    <row r="2001" spans="1:1">
      <c r="A2001" s="32"/>
    </row>
    <row r="2002" spans="1:1">
      <c r="A2002" s="32"/>
    </row>
    <row r="2003" spans="1:1">
      <c r="A2003" s="32"/>
    </row>
    <row r="2004" spans="1:1">
      <c r="A2004" s="32"/>
    </row>
    <row r="2005" spans="1:1">
      <c r="A2005" s="32"/>
    </row>
    <row r="2006" spans="1:1">
      <c r="A2006" s="32"/>
    </row>
    <row r="2007" spans="1:1">
      <c r="A2007" s="32"/>
    </row>
    <row r="2008" spans="1:1">
      <c r="A2008" s="32"/>
    </row>
    <row r="2009" spans="1:1">
      <c r="A2009" s="32"/>
    </row>
    <row r="2010" spans="1:1">
      <c r="A2010" s="32"/>
    </row>
    <row r="2011" spans="1:1">
      <c r="A2011" s="32"/>
    </row>
    <row r="2012" spans="1:1">
      <c r="A2012" s="32"/>
    </row>
    <row r="2013" spans="1:1">
      <c r="A2013" s="32"/>
    </row>
    <row r="2014" spans="1:1">
      <c r="A2014" s="32"/>
    </row>
    <row r="2015" spans="1:1">
      <c r="A2015" s="32"/>
    </row>
    <row r="2016" spans="1:1">
      <c r="A2016" s="32"/>
    </row>
    <row r="2017" spans="1:1">
      <c r="A2017" s="32"/>
    </row>
    <row r="2018" spans="1:1">
      <c r="A2018" s="32"/>
    </row>
    <row r="2019" spans="1:1">
      <c r="A2019" s="32"/>
    </row>
    <row r="2020" spans="1:1">
      <c r="A2020" s="32"/>
    </row>
    <row r="2021" spans="1:1">
      <c r="A2021" s="32"/>
    </row>
    <row r="2022" spans="1:1">
      <c r="A2022" s="32"/>
    </row>
    <row r="2023" spans="1:1">
      <c r="A2023" s="32"/>
    </row>
    <row r="2024" spans="1:1">
      <c r="A2024" s="32"/>
    </row>
    <row r="2025" spans="1:1">
      <c r="A2025" s="32"/>
    </row>
    <row r="2026" spans="1:1">
      <c r="A2026" s="32"/>
    </row>
    <row r="2027" spans="1:1">
      <c r="A2027" s="32"/>
    </row>
    <row r="2028" spans="1:1">
      <c r="A2028" s="32"/>
    </row>
    <row r="2029" spans="1:1">
      <c r="A2029" s="32"/>
    </row>
    <row r="2030" spans="1:1">
      <c r="A2030" s="32"/>
    </row>
    <row r="2031" spans="1:1">
      <c r="A2031" s="32"/>
    </row>
    <row r="2032" spans="1:1">
      <c r="A2032" s="32"/>
    </row>
    <row r="2033" spans="1:1">
      <c r="A2033" s="32"/>
    </row>
    <row r="2034" spans="1:1">
      <c r="A2034" s="32"/>
    </row>
    <row r="2035" spans="1:1">
      <c r="A2035" s="32"/>
    </row>
    <row r="2036" spans="1:1">
      <c r="A2036" s="32"/>
    </row>
    <row r="2037" spans="1:1">
      <c r="A2037" s="32"/>
    </row>
    <row r="2038" spans="1:1">
      <c r="A2038" s="32"/>
    </row>
    <row r="2039" spans="1:1">
      <c r="A2039" s="32"/>
    </row>
    <row r="2040" spans="1:1">
      <c r="A2040" s="32"/>
    </row>
    <row r="2041" spans="1:1">
      <c r="A2041" s="32"/>
    </row>
    <row r="2042" spans="1:1">
      <c r="A2042" s="32"/>
    </row>
    <row r="2043" spans="1:1">
      <c r="A2043" s="32"/>
    </row>
    <row r="2044" spans="1:1">
      <c r="A2044" s="32"/>
    </row>
    <row r="2045" spans="1:1">
      <c r="A2045" s="32"/>
    </row>
    <row r="2046" spans="1:1">
      <c r="A2046" s="32"/>
    </row>
    <row r="2047" spans="1:1">
      <c r="A2047" s="32"/>
    </row>
    <row r="2048" spans="1:1">
      <c r="A2048" s="32"/>
    </row>
    <row r="2049" spans="1:1">
      <c r="A2049" s="32"/>
    </row>
    <row r="2050" spans="1:1">
      <c r="A2050" s="32"/>
    </row>
    <row r="2051" spans="1:1">
      <c r="A2051" s="32"/>
    </row>
    <row r="2052" spans="1:1">
      <c r="A2052" s="32"/>
    </row>
    <row r="2053" spans="1:1">
      <c r="A2053" s="32"/>
    </row>
    <row r="2054" spans="1:1">
      <c r="A2054" s="32"/>
    </row>
    <row r="2055" spans="1:1">
      <c r="A2055" s="32"/>
    </row>
    <row r="2056" spans="1:1">
      <c r="A2056" s="32"/>
    </row>
    <row r="2057" spans="1:1">
      <c r="A2057" s="32"/>
    </row>
    <row r="2058" spans="1:1">
      <c r="A2058" s="32"/>
    </row>
    <row r="2059" spans="1:1">
      <c r="A2059" s="32"/>
    </row>
    <row r="2060" spans="1:1">
      <c r="A2060" s="32"/>
    </row>
    <row r="2061" spans="1:1">
      <c r="A2061" s="32"/>
    </row>
    <row r="2062" spans="1:1">
      <c r="A2062" s="32"/>
    </row>
    <row r="2063" spans="1:1">
      <c r="A2063" s="32"/>
    </row>
    <row r="2064" spans="1:1">
      <c r="A2064" s="32"/>
    </row>
    <row r="2065" spans="1:1">
      <c r="A2065" s="32"/>
    </row>
    <row r="2066" spans="1:1">
      <c r="A2066" s="32"/>
    </row>
    <row r="2067" spans="1:1">
      <c r="A2067" s="32"/>
    </row>
    <row r="2068" spans="1:1">
      <c r="A2068" s="32"/>
    </row>
    <row r="2069" spans="1:1">
      <c r="A2069" s="32"/>
    </row>
    <row r="2070" spans="1:1">
      <c r="A2070" s="32"/>
    </row>
    <row r="2071" spans="1:1">
      <c r="A2071" s="32"/>
    </row>
    <row r="2072" spans="1:1">
      <c r="A2072" s="32"/>
    </row>
    <row r="2073" spans="1:1">
      <c r="A2073" s="32"/>
    </row>
    <row r="2074" spans="1:1">
      <c r="A2074" s="32"/>
    </row>
    <row r="2075" spans="1:1">
      <c r="A2075" s="32"/>
    </row>
    <row r="2076" spans="1:1">
      <c r="A2076" s="32"/>
    </row>
    <row r="2077" spans="1:1">
      <c r="A2077" s="32"/>
    </row>
    <row r="2078" spans="1:1">
      <c r="A2078" s="32"/>
    </row>
    <row r="2079" spans="1:1">
      <c r="A2079" s="32"/>
    </row>
    <row r="2080" spans="1:1">
      <c r="A2080" s="32"/>
    </row>
    <row r="2081" spans="1:1">
      <c r="A2081" s="32"/>
    </row>
    <row r="2082" spans="1:1">
      <c r="A2082" s="32"/>
    </row>
    <row r="2083" spans="1:1">
      <c r="A2083" s="32"/>
    </row>
    <row r="2084" spans="1:1">
      <c r="A2084" s="32"/>
    </row>
    <row r="2085" spans="1:1">
      <c r="A2085" s="32"/>
    </row>
    <row r="2086" spans="1:1">
      <c r="A2086" s="32"/>
    </row>
    <row r="2087" spans="1:1">
      <c r="A2087" s="32"/>
    </row>
    <row r="2088" spans="1:1">
      <c r="A2088" s="32"/>
    </row>
    <row r="2089" spans="1:1">
      <c r="A2089" s="32"/>
    </row>
    <row r="2090" spans="1:1">
      <c r="A2090" s="32"/>
    </row>
    <row r="2091" spans="1:1">
      <c r="A2091" s="32"/>
    </row>
    <row r="2092" spans="1:1">
      <c r="A2092" s="32"/>
    </row>
    <row r="2093" spans="1:1">
      <c r="A2093" s="32"/>
    </row>
    <row r="2094" spans="1:1">
      <c r="A2094" s="32"/>
    </row>
    <row r="2095" spans="1:1">
      <c r="A2095" s="32"/>
    </row>
    <row r="2096" spans="1:1">
      <c r="A2096" s="32"/>
    </row>
    <row r="2097" spans="1:1">
      <c r="A2097" s="32"/>
    </row>
    <row r="2098" spans="1:1">
      <c r="A2098" s="32"/>
    </row>
    <row r="2099" spans="1:1">
      <c r="A2099" s="32"/>
    </row>
    <row r="2100" spans="1:1">
      <c r="A2100" s="32"/>
    </row>
    <row r="2101" spans="1:1">
      <c r="A2101" s="32"/>
    </row>
    <row r="2102" spans="1:1">
      <c r="A2102" s="32"/>
    </row>
    <row r="2103" spans="1:1">
      <c r="A2103" s="32"/>
    </row>
    <row r="2104" spans="1:1">
      <c r="A2104" s="32"/>
    </row>
    <row r="2105" spans="1:1">
      <c r="A2105" s="32"/>
    </row>
    <row r="2106" spans="1:1">
      <c r="A2106" s="32"/>
    </row>
    <row r="2107" spans="1:1">
      <c r="A2107" s="32"/>
    </row>
    <row r="2108" spans="1:1">
      <c r="A2108" s="32"/>
    </row>
    <row r="2109" spans="1:1">
      <c r="A2109" s="32"/>
    </row>
    <row r="2110" spans="1:1">
      <c r="A2110" s="32"/>
    </row>
    <row r="2111" spans="1:1">
      <c r="A2111" s="32"/>
    </row>
    <row r="2112" spans="1:1">
      <c r="A2112" s="32"/>
    </row>
    <row r="2113" spans="1:1">
      <c r="A2113" s="32"/>
    </row>
    <row r="2114" spans="1:1">
      <c r="A2114" s="32"/>
    </row>
    <row r="2115" spans="1:1">
      <c r="A2115" s="32"/>
    </row>
    <row r="2116" spans="1:1">
      <c r="A2116" s="32"/>
    </row>
    <row r="2117" spans="1:1">
      <c r="A2117" s="32"/>
    </row>
    <row r="2118" spans="1:1">
      <c r="A2118" s="32"/>
    </row>
    <row r="2119" spans="1:1">
      <c r="A2119" s="32"/>
    </row>
    <row r="2120" spans="1:1">
      <c r="A2120" s="32"/>
    </row>
    <row r="2121" spans="1:1">
      <c r="A2121" s="32"/>
    </row>
    <row r="2122" spans="1:1">
      <c r="A2122" s="32"/>
    </row>
    <row r="2123" spans="1:1">
      <c r="A2123" s="32"/>
    </row>
    <row r="2124" spans="1:1">
      <c r="A2124" s="32"/>
    </row>
    <row r="2125" spans="1:1">
      <c r="A2125" s="32"/>
    </row>
    <row r="2126" spans="1:1">
      <c r="A2126" s="32"/>
    </row>
    <row r="2127" spans="1:1">
      <c r="A2127" s="32"/>
    </row>
    <row r="2128" spans="1:1">
      <c r="A2128" s="32"/>
    </row>
    <row r="2129" spans="1:1">
      <c r="A2129" s="32"/>
    </row>
    <row r="2130" spans="1:1">
      <c r="A2130" s="32"/>
    </row>
    <row r="2131" spans="1:1">
      <c r="A2131" s="32"/>
    </row>
    <row r="2132" spans="1:1">
      <c r="A2132" s="32"/>
    </row>
    <row r="2133" spans="1:1">
      <c r="A2133" s="32"/>
    </row>
    <row r="2134" spans="1:1">
      <c r="A2134" s="32"/>
    </row>
    <row r="2135" spans="1:1">
      <c r="A2135" s="32"/>
    </row>
    <row r="2136" spans="1:1">
      <c r="A2136" s="32"/>
    </row>
    <row r="2137" spans="1:1">
      <c r="A2137" s="32"/>
    </row>
    <row r="2138" spans="1:1">
      <c r="A2138" s="32"/>
    </row>
    <row r="2139" spans="1:1">
      <c r="A2139" s="32"/>
    </row>
    <row r="2140" spans="1:1">
      <c r="A2140" s="32"/>
    </row>
    <row r="2141" spans="1:1">
      <c r="A2141" s="32"/>
    </row>
    <row r="2142" spans="1:1">
      <c r="A2142" s="32"/>
    </row>
    <row r="2143" spans="1:1">
      <c r="A2143" s="32"/>
    </row>
    <row r="2144" spans="1:1">
      <c r="A2144" s="32"/>
    </row>
    <row r="2145" spans="1:1">
      <c r="A2145" s="32"/>
    </row>
    <row r="2146" spans="1:1">
      <c r="A2146" s="32"/>
    </row>
    <row r="2147" spans="1:1">
      <c r="A2147" s="32"/>
    </row>
    <row r="2148" spans="1:1">
      <c r="A2148" s="32"/>
    </row>
    <row r="2149" spans="1:1">
      <c r="A2149" s="32"/>
    </row>
    <row r="2150" spans="1:1">
      <c r="A2150" s="32"/>
    </row>
    <row r="2151" spans="1:1">
      <c r="A2151" s="32"/>
    </row>
    <row r="2152" spans="1:1">
      <c r="A2152" s="32"/>
    </row>
    <row r="2153" spans="1:1">
      <c r="A2153" s="32"/>
    </row>
    <row r="2154" spans="1:1">
      <c r="A2154" s="32"/>
    </row>
    <row r="2155" spans="1:1">
      <c r="A2155" s="32"/>
    </row>
    <row r="2156" spans="1:1">
      <c r="A2156" s="32"/>
    </row>
    <row r="2157" spans="1:1">
      <c r="A2157" s="32"/>
    </row>
    <row r="2158" spans="1:1">
      <c r="A2158" s="32"/>
    </row>
    <row r="2159" spans="1:1">
      <c r="A2159" s="32"/>
    </row>
    <row r="2160" spans="1:1">
      <c r="A2160" s="32"/>
    </row>
    <row r="2161" spans="1:1">
      <c r="A2161" s="32"/>
    </row>
    <row r="2162" spans="1:1">
      <c r="A2162" s="32"/>
    </row>
    <row r="2163" spans="1:1">
      <c r="A2163" s="32"/>
    </row>
    <row r="2164" spans="1:1">
      <c r="A2164" s="32"/>
    </row>
    <row r="2165" spans="1:1">
      <c r="A2165" s="32"/>
    </row>
    <row r="2166" spans="1:1">
      <c r="A2166" s="32"/>
    </row>
    <row r="2167" spans="1:1">
      <c r="A2167" s="32"/>
    </row>
    <row r="2168" spans="1:1">
      <c r="A2168" s="32"/>
    </row>
    <row r="2169" spans="1:1">
      <c r="A2169" s="32"/>
    </row>
    <row r="2170" spans="1:1">
      <c r="A2170" s="32"/>
    </row>
    <row r="2171" spans="1:1">
      <c r="A2171" s="32"/>
    </row>
    <row r="2172" spans="1:1">
      <c r="A2172" s="32"/>
    </row>
    <row r="2173" spans="1:1">
      <c r="A2173" s="32"/>
    </row>
    <row r="2174" spans="1:1">
      <c r="A2174" s="32"/>
    </row>
    <row r="2175" spans="1:1">
      <c r="A2175" s="32"/>
    </row>
    <row r="2176" spans="1:1">
      <c r="A2176" s="32"/>
    </row>
    <row r="2177" spans="1:1">
      <c r="A2177" s="32"/>
    </row>
    <row r="2178" spans="1:1">
      <c r="A2178" s="32"/>
    </row>
    <row r="2179" spans="1:1">
      <c r="A2179" s="32"/>
    </row>
    <row r="2180" spans="1:1">
      <c r="A2180" s="32"/>
    </row>
    <row r="2181" spans="1:1">
      <c r="A2181" s="32"/>
    </row>
    <row r="2182" spans="1:1">
      <c r="A2182" s="32"/>
    </row>
    <row r="2183" spans="1:1">
      <c r="A2183" s="32"/>
    </row>
    <row r="2184" spans="1:1">
      <c r="A2184" s="32"/>
    </row>
    <row r="2185" spans="1:1">
      <c r="A2185" s="32"/>
    </row>
    <row r="2186" spans="1:1">
      <c r="A2186" s="32"/>
    </row>
    <row r="2187" spans="1:1">
      <c r="A2187" s="32"/>
    </row>
    <row r="2188" spans="1:1">
      <c r="A2188" s="32"/>
    </row>
    <row r="2189" spans="1:1">
      <c r="A2189" s="32"/>
    </row>
    <row r="2190" spans="1:1">
      <c r="A2190" s="32"/>
    </row>
    <row r="2191" spans="1:1">
      <c r="A2191" s="32"/>
    </row>
    <row r="2192" spans="1:1">
      <c r="A2192" s="32"/>
    </row>
    <row r="2193" spans="1:1">
      <c r="A2193" s="32"/>
    </row>
    <row r="2194" spans="1:1">
      <c r="A2194" s="32"/>
    </row>
    <row r="2195" spans="1:1">
      <c r="A2195" s="32"/>
    </row>
    <row r="2196" spans="1:1">
      <c r="A2196" s="32"/>
    </row>
    <row r="2197" spans="1:1">
      <c r="A2197" s="32"/>
    </row>
    <row r="2198" spans="1:1">
      <c r="A2198" s="32"/>
    </row>
    <row r="2199" spans="1:1">
      <c r="A2199" s="32"/>
    </row>
    <row r="2200" spans="1:1">
      <c r="A2200" s="32"/>
    </row>
    <row r="2201" spans="1:1">
      <c r="A2201" s="32"/>
    </row>
    <row r="2202" spans="1:1">
      <c r="A2202" s="32"/>
    </row>
    <row r="2203" spans="1:1">
      <c r="A2203" s="32"/>
    </row>
    <row r="2204" spans="1:1">
      <c r="A2204" s="32"/>
    </row>
    <row r="2205" spans="1:1">
      <c r="A2205" s="32"/>
    </row>
    <row r="2206" spans="1:1">
      <c r="A2206" s="32"/>
    </row>
    <row r="2207" spans="1:1">
      <c r="A2207" s="32"/>
    </row>
    <row r="2208" spans="1:1">
      <c r="A2208" s="32"/>
    </row>
    <row r="2209" spans="1:1">
      <c r="A2209" s="32"/>
    </row>
    <row r="2210" spans="1:1">
      <c r="A2210" s="32"/>
    </row>
    <row r="2211" spans="1:1">
      <c r="A2211" s="32"/>
    </row>
    <row r="2212" spans="1:1">
      <c r="A2212" s="32"/>
    </row>
    <row r="2213" spans="1:1">
      <c r="A2213" s="32"/>
    </row>
    <row r="2214" spans="1:1">
      <c r="A2214" s="32"/>
    </row>
    <row r="2215" spans="1:1">
      <c r="A2215" s="32"/>
    </row>
    <row r="2216" spans="1:1">
      <c r="A2216" s="32"/>
    </row>
    <row r="2217" spans="1:1">
      <c r="A2217" s="32"/>
    </row>
    <row r="2218" spans="1:1">
      <c r="A2218" s="32"/>
    </row>
    <row r="2219" spans="1:1">
      <c r="A2219" s="32"/>
    </row>
    <row r="2220" spans="1:1">
      <c r="A2220" s="32"/>
    </row>
    <row r="2221" spans="1:1">
      <c r="A2221" s="32"/>
    </row>
    <row r="2222" spans="1:1">
      <c r="A2222" s="32"/>
    </row>
    <row r="2223" spans="1:1">
      <c r="A2223" s="32"/>
    </row>
    <row r="2224" spans="1:1">
      <c r="A2224" s="32"/>
    </row>
    <row r="2225" spans="1:1">
      <c r="A2225" s="32"/>
    </row>
    <row r="2226" spans="1:1">
      <c r="A2226" s="32"/>
    </row>
    <row r="2227" spans="1:1">
      <c r="A2227" s="32"/>
    </row>
    <row r="2228" spans="1:1">
      <c r="A2228" s="32"/>
    </row>
    <row r="2229" spans="1:1">
      <c r="A2229" s="32"/>
    </row>
    <row r="2230" spans="1:1">
      <c r="A2230" s="32"/>
    </row>
    <row r="2231" spans="1:1">
      <c r="A2231" s="32"/>
    </row>
    <row r="2232" spans="1:1">
      <c r="A2232" s="32"/>
    </row>
    <row r="2233" spans="1:1">
      <c r="A2233" s="32"/>
    </row>
    <row r="2234" spans="1:1">
      <c r="A2234" s="32"/>
    </row>
    <row r="2235" spans="1:1">
      <c r="A2235" s="32"/>
    </row>
    <row r="2236" spans="1:1">
      <c r="A2236" s="32"/>
    </row>
    <row r="2237" spans="1:1">
      <c r="A2237" s="32"/>
    </row>
    <row r="2238" spans="1:1">
      <c r="A2238" s="32"/>
    </row>
    <row r="2239" spans="1:1">
      <c r="A2239" s="32"/>
    </row>
    <row r="2240" spans="1:1">
      <c r="A2240" s="32"/>
    </row>
    <row r="2241" spans="1:1">
      <c r="A2241" s="32"/>
    </row>
    <row r="2242" spans="1:1">
      <c r="A2242" s="32"/>
    </row>
    <row r="2243" spans="1:1">
      <c r="A2243" s="32"/>
    </row>
    <row r="2244" spans="1:1">
      <c r="A2244" s="32"/>
    </row>
    <row r="2245" spans="1:1">
      <c r="A2245" s="32"/>
    </row>
    <row r="2246" spans="1:1">
      <c r="A2246" s="32"/>
    </row>
    <row r="2247" spans="1:1">
      <c r="A2247" s="32"/>
    </row>
    <row r="2248" spans="1:1">
      <c r="A2248" s="32"/>
    </row>
    <row r="2249" spans="1:1">
      <c r="A2249" s="32"/>
    </row>
    <row r="2250" spans="1:1">
      <c r="A2250" s="32"/>
    </row>
    <row r="2251" spans="1:1">
      <c r="A2251" s="32"/>
    </row>
    <row r="2252" spans="1:1">
      <c r="A2252" s="32"/>
    </row>
    <row r="2253" spans="1:1">
      <c r="A2253" s="32"/>
    </row>
    <row r="2254" spans="1:1">
      <c r="A2254" s="32"/>
    </row>
    <row r="2255" spans="1:1">
      <c r="A2255" s="32"/>
    </row>
    <row r="2256" spans="1:1">
      <c r="A2256" s="32"/>
    </row>
    <row r="2257" spans="1:1">
      <c r="A2257" s="32"/>
    </row>
    <row r="2258" spans="1:1">
      <c r="A2258" s="32"/>
    </row>
    <row r="2259" spans="1:1">
      <c r="A2259" s="32"/>
    </row>
    <row r="2260" spans="1:1">
      <c r="A2260" s="32"/>
    </row>
    <row r="2261" spans="1:1">
      <c r="A2261" s="32"/>
    </row>
    <row r="2262" spans="1:1">
      <c r="A2262" s="32"/>
    </row>
    <row r="2263" spans="1:1">
      <c r="A2263" s="32"/>
    </row>
    <row r="2264" spans="1:1">
      <c r="A2264" s="32"/>
    </row>
    <row r="2265" spans="1:1">
      <c r="A2265" s="32"/>
    </row>
    <row r="2266" spans="1:1">
      <c r="A2266" s="32"/>
    </row>
    <row r="2267" spans="1:1">
      <c r="A2267" s="32"/>
    </row>
    <row r="2268" spans="1:1">
      <c r="A2268" s="32"/>
    </row>
    <row r="2269" spans="1:1">
      <c r="A2269" s="32"/>
    </row>
    <row r="2270" spans="1:1">
      <c r="A2270" s="32"/>
    </row>
    <row r="2271" spans="1:1">
      <c r="A2271" s="32"/>
    </row>
    <row r="2272" spans="1:1">
      <c r="A2272" s="32"/>
    </row>
    <row r="2273" spans="1:1">
      <c r="A2273" s="32"/>
    </row>
    <row r="2274" spans="1:1">
      <c r="A2274" s="32"/>
    </row>
    <row r="2275" spans="1:1">
      <c r="A2275" s="32"/>
    </row>
    <row r="2276" spans="1:1">
      <c r="A2276" s="32"/>
    </row>
    <row r="2277" spans="1:1">
      <c r="A2277" s="32"/>
    </row>
    <row r="2278" spans="1:1">
      <c r="A2278" s="32"/>
    </row>
    <row r="2279" spans="1:1">
      <c r="A2279" s="32"/>
    </row>
    <row r="2280" spans="1:1">
      <c r="A2280" s="32"/>
    </row>
    <row r="2281" spans="1:1">
      <c r="A2281" s="32"/>
    </row>
    <row r="2282" spans="1:1">
      <c r="A2282" s="32"/>
    </row>
    <row r="2283" spans="1:1">
      <c r="A2283" s="32"/>
    </row>
    <row r="2284" spans="1:1">
      <c r="A2284" s="32"/>
    </row>
    <row r="2285" spans="1:1">
      <c r="A2285" s="32"/>
    </row>
    <row r="2286" spans="1:1">
      <c r="A2286" s="32"/>
    </row>
    <row r="2287" spans="1:1">
      <c r="A2287" s="32"/>
    </row>
    <row r="2288" spans="1:1">
      <c r="A2288" s="32"/>
    </row>
    <row r="2289" spans="1:1">
      <c r="A2289" s="32"/>
    </row>
    <row r="2290" spans="1:1">
      <c r="A2290" s="32"/>
    </row>
    <row r="2291" spans="1:1">
      <c r="A2291" s="32"/>
    </row>
    <row r="2292" spans="1:1">
      <c r="A2292" s="32"/>
    </row>
    <row r="2293" spans="1:1">
      <c r="A2293" s="32"/>
    </row>
    <row r="2294" spans="1:1">
      <c r="A2294" s="32"/>
    </row>
    <row r="2295" spans="1:1">
      <c r="A2295" s="32"/>
    </row>
    <row r="2296" spans="1:1">
      <c r="A2296" s="32"/>
    </row>
    <row r="2297" spans="1:1">
      <c r="A2297" s="32"/>
    </row>
    <row r="2298" spans="1:1">
      <c r="A2298" s="32"/>
    </row>
    <row r="2299" spans="1:1">
      <c r="A2299" s="32"/>
    </row>
    <row r="2300" spans="1:1">
      <c r="A2300" s="32"/>
    </row>
    <row r="2301" spans="1:1">
      <c r="A2301" s="32"/>
    </row>
    <row r="2302" spans="1:1">
      <c r="A2302" s="32"/>
    </row>
    <row r="2303" spans="1:1">
      <c r="A2303" s="32"/>
    </row>
    <row r="2304" spans="1:1">
      <c r="A2304" s="32"/>
    </row>
    <row r="2305" spans="1:1">
      <c r="A2305" s="32"/>
    </row>
    <row r="2306" spans="1:1">
      <c r="A2306" s="32"/>
    </row>
    <row r="2307" spans="1:1">
      <c r="A2307" s="32"/>
    </row>
    <row r="2308" spans="1:1">
      <c r="A2308" s="32"/>
    </row>
    <row r="2309" spans="1:1">
      <c r="A2309" s="32"/>
    </row>
    <row r="2310" spans="1:1">
      <c r="A2310" s="32"/>
    </row>
    <row r="2311" spans="1:1">
      <c r="A2311" s="32"/>
    </row>
    <row r="2312" spans="1:1">
      <c r="A2312" s="32"/>
    </row>
    <row r="2313" spans="1:1">
      <c r="A2313" s="32"/>
    </row>
    <row r="2314" spans="1:1">
      <c r="A2314" s="32"/>
    </row>
    <row r="2315" spans="1:1">
      <c r="A2315" s="32"/>
    </row>
    <row r="2316" spans="1:1">
      <c r="A2316" s="32"/>
    </row>
    <row r="2317" spans="1:1">
      <c r="A2317" s="32"/>
    </row>
    <row r="2318" spans="1:1">
      <c r="A2318" s="32"/>
    </row>
    <row r="2319" spans="1:1">
      <c r="A2319" s="32"/>
    </row>
    <row r="2320" spans="1:1">
      <c r="A2320" s="32"/>
    </row>
    <row r="2321" spans="1:1">
      <c r="A2321" s="32"/>
    </row>
    <row r="2322" spans="1:1">
      <c r="A2322" s="32"/>
    </row>
    <row r="2323" spans="1:1">
      <c r="A2323" s="32"/>
    </row>
    <row r="2324" spans="1:1">
      <c r="A2324" s="32"/>
    </row>
    <row r="2325" spans="1:1">
      <c r="A2325" s="32"/>
    </row>
    <row r="2326" spans="1:1">
      <c r="A2326" s="32"/>
    </row>
    <row r="2327" spans="1:1">
      <c r="A2327" s="32"/>
    </row>
    <row r="2328" spans="1:1">
      <c r="A2328" s="32"/>
    </row>
    <row r="2329" spans="1:1">
      <c r="A2329" s="32"/>
    </row>
    <row r="2330" spans="1:1">
      <c r="A2330" s="32"/>
    </row>
    <row r="2331" spans="1:1">
      <c r="A2331" s="32"/>
    </row>
    <row r="2332" spans="1:1">
      <c r="A2332" s="32"/>
    </row>
    <row r="2333" spans="1:1">
      <c r="A2333" s="32"/>
    </row>
    <row r="2334" spans="1:1">
      <c r="A2334" s="32"/>
    </row>
    <row r="2335" spans="1:1">
      <c r="A2335" s="32"/>
    </row>
    <row r="2336" spans="1:1">
      <c r="A2336" s="32"/>
    </row>
    <row r="2337" spans="1:1">
      <c r="A2337" s="32"/>
    </row>
    <row r="2338" spans="1:1">
      <c r="A2338" s="32"/>
    </row>
    <row r="2339" spans="1:1">
      <c r="A2339" s="32"/>
    </row>
    <row r="2340" spans="1:1">
      <c r="A2340" s="32"/>
    </row>
    <row r="2341" spans="1:1">
      <c r="A2341" s="32"/>
    </row>
    <row r="2342" spans="1:1">
      <c r="A2342" s="32"/>
    </row>
    <row r="2343" spans="1:1">
      <c r="A2343" s="32"/>
    </row>
    <row r="2344" spans="1:1">
      <c r="A2344" s="32"/>
    </row>
    <row r="2345" spans="1:1">
      <c r="A2345" s="32"/>
    </row>
    <row r="2346" spans="1:1">
      <c r="A2346" s="32"/>
    </row>
    <row r="2347" spans="1:1">
      <c r="A2347" s="32"/>
    </row>
    <row r="2348" spans="1:1">
      <c r="A2348" s="32"/>
    </row>
    <row r="2349" spans="1:1">
      <c r="A2349" s="32"/>
    </row>
    <row r="2350" spans="1:1">
      <c r="A2350" s="32"/>
    </row>
    <row r="2351" spans="1:1">
      <c r="A2351" s="32"/>
    </row>
    <row r="2352" spans="1:1">
      <c r="A2352" s="32"/>
    </row>
    <row r="2353" spans="1:1">
      <c r="A2353" s="32"/>
    </row>
    <row r="2354" spans="1:1">
      <c r="A2354" s="32"/>
    </row>
    <row r="2355" spans="1:1">
      <c r="A2355" s="32"/>
    </row>
    <row r="2356" spans="1:1">
      <c r="A2356" s="32"/>
    </row>
    <row r="2357" spans="1:1">
      <c r="A2357" s="32"/>
    </row>
    <row r="2358" spans="1:1">
      <c r="A2358" s="32"/>
    </row>
    <row r="2359" spans="1:1">
      <c r="A2359" s="32"/>
    </row>
    <row r="2360" spans="1:1">
      <c r="A2360" s="32"/>
    </row>
    <row r="2361" spans="1:1">
      <c r="A2361" s="32"/>
    </row>
    <row r="2362" spans="1:1">
      <c r="A2362" s="32"/>
    </row>
    <row r="2363" spans="1:1">
      <c r="A2363" s="32"/>
    </row>
    <row r="2364" spans="1:1">
      <c r="A2364" s="32"/>
    </row>
    <row r="2365" spans="1:1">
      <c r="A2365" s="32"/>
    </row>
    <row r="2366" spans="1:1">
      <c r="A2366" s="32"/>
    </row>
    <row r="2367" spans="1:1">
      <c r="A2367" s="32"/>
    </row>
    <row r="2368" spans="1:1">
      <c r="A2368" s="32"/>
    </row>
    <row r="2369" spans="1:1">
      <c r="A2369" s="32"/>
    </row>
    <row r="2370" spans="1:1">
      <c r="A2370" s="32"/>
    </row>
    <row r="2371" spans="1:1">
      <c r="A2371" s="32"/>
    </row>
    <row r="2372" spans="1:1">
      <c r="A2372" s="32"/>
    </row>
    <row r="2373" spans="1:1">
      <c r="A2373" s="32"/>
    </row>
    <row r="2374" spans="1:1">
      <c r="A2374" s="32"/>
    </row>
    <row r="2375" spans="1:1">
      <c r="A2375" s="32"/>
    </row>
    <row r="2376" spans="1:1">
      <c r="A2376" s="32"/>
    </row>
    <row r="2377" spans="1:1">
      <c r="A2377" s="32"/>
    </row>
    <row r="2378" spans="1:1">
      <c r="A2378" s="32"/>
    </row>
    <row r="2379" spans="1:1">
      <c r="A2379" s="32"/>
    </row>
    <row r="2380" spans="1:1">
      <c r="A2380" s="32"/>
    </row>
    <row r="2381" spans="1:1">
      <c r="A2381" s="32"/>
    </row>
    <row r="2382" spans="1:1">
      <c r="A2382" s="32"/>
    </row>
    <row r="2383" spans="1:1">
      <c r="A2383" s="32"/>
    </row>
    <row r="2384" spans="1:1">
      <c r="A2384" s="32"/>
    </row>
    <row r="2385" spans="1:1">
      <c r="A2385" s="32"/>
    </row>
    <row r="2386" spans="1:1">
      <c r="A2386" s="32"/>
    </row>
    <row r="2387" spans="1:1">
      <c r="A2387" s="32"/>
    </row>
    <row r="2388" spans="1:1">
      <c r="A2388" s="32"/>
    </row>
    <row r="2389" spans="1:1">
      <c r="A2389" s="32"/>
    </row>
    <row r="2390" spans="1:1">
      <c r="A2390" s="32"/>
    </row>
    <row r="2391" spans="1:1">
      <c r="A2391" s="32"/>
    </row>
    <row r="2392" spans="1:1">
      <c r="A2392" s="32"/>
    </row>
    <row r="2393" spans="1:1">
      <c r="A2393" s="32"/>
    </row>
    <row r="2394" spans="1:1">
      <c r="A2394" s="32"/>
    </row>
    <row r="2395" spans="1:1">
      <c r="A2395" s="32"/>
    </row>
    <row r="2396" spans="1:1">
      <c r="A2396" s="32"/>
    </row>
    <row r="2397" spans="1:1">
      <c r="A2397" s="32"/>
    </row>
    <row r="2398" spans="1:1">
      <c r="A2398" s="32"/>
    </row>
    <row r="2399" spans="1:1">
      <c r="A2399" s="32"/>
    </row>
    <row r="2400" spans="1:1">
      <c r="A2400" s="32"/>
    </row>
    <row r="2401" spans="1:1">
      <c r="A2401" s="32"/>
    </row>
    <row r="2402" spans="1:1">
      <c r="A2402" s="32"/>
    </row>
    <row r="2403" spans="1:1">
      <c r="A2403" s="32"/>
    </row>
    <row r="2404" spans="1:1">
      <c r="A2404" s="32"/>
    </row>
    <row r="2405" spans="1:1">
      <c r="A2405" s="32"/>
    </row>
    <row r="2406" spans="1:1">
      <c r="A2406" s="32"/>
    </row>
    <row r="2407" spans="1:1">
      <c r="A2407" s="32"/>
    </row>
    <row r="2408" spans="1:1">
      <c r="A2408" s="32"/>
    </row>
    <row r="2409" spans="1:1">
      <c r="A2409" s="32"/>
    </row>
    <row r="2410" spans="1:1">
      <c r="A2410" s="32"/>
    </row>
    <row r="2411" spans="1:1">
      <c r="A2411" s="32"/>
    </row>
    <row r="2412" spans="1:1">
      <c r="A2412" s="32"/>
    </row>
    <row r="2413" spans="1:1">
      <c r="A2413" s="32"/>
    </row>
    <row r="2414" spans="1:1">
      <c r="A2414" s="32"/>
    </row>
    <row r="2415" spans="1:1">
      <c r="A2415" s="32"/>
    </row>
    <row r="2416" spans="1:1">
      <c r="A2416" s="32"/>
    </row>
    <row r="2417" spans="1:1">
      <c r="A2417" s="32"/>
    </row>
    <row r="2418" spans="1:1">
      <c r="A2418" s="32"/>
    </row>
    <row r="2419" spans="1:1">
      <c r="A2419" s="32"/>
    </row>
    <row r="2420" spans="1:1">
      <c r="A2420" s="32"/>
    </row>
    <row r="2421" spans="1:1">
      <c r="A2421" s="32"/>
    </row>
    <row r="2422" spans="1:1">
      <c r="A2422" s="32"/>
    </row>
    <row r="2423" spans="1:1">
      <c r="A2423" s="32"/>
    </row>
    <row r="2424" spans="1:1">
      <c r="A2424" s="32"/>
    </row>
    <row r="2425" spans="1:1">
      <c r="A2425" s="32"/>
    </row>
    <row r="2426" spans="1:1">
      <c r="A2426" s="32"/>
    </row>
    <row r="2427" spans="1:1">
      <c r="A2427" s="32"/>
    </row>
    <row r="2428" spans="1:1">
      <c r="A2428" s="32"/>
    </row>
    <row r="2429" spans="1:1">
      <c r="A2429" s="32"/>
    </row>
    <row r="2430" spans="1:1">
      <c r="A2430" s="32"/>
    </row>
    <row r="2431" spans="1:1">
      <c r="A2431" s="32"/>
    </row>
    <row r="2432" spans="1:1">
      <c r="A2432" s="32"/>
    </row>
    <row r="2433" spans="1:1">
      <c r="A2433" s="32"/>
    </row>
    <row r="2434" spans="1:1">
      <c r="A2434" s="32"/>
    </row>
    <row r="2435" spans="1:1">
      <c r="A2435" s="32"/>
    </row>
    <row r="2436" spans="1:1">
      <c r="A2436" s="32"/>
    </row>
    <row r="2437" spans="1:1">
      <c r="A2437" s="32"/>
    </row>
    <row r="2438" spans="1:1">
      <c r="A2438" s="32"/>
    </row>
    <row r="2439" spans="1:1">
      <c r="A2439" s="32"/>
    </row>
    <row r="2440" spans="1:1">
      <c r="A2440" s="32"/>
    </row>
    <row r="2441" spans="1:1">
      <c r="A2441" s="32"/>
    </row>
    <row r="2442" spans="1:1">
      <c r="A2442" s="32"/>
    </row>
    <row r="2443" spans="1:1">
      <c r="A2443" s="32"/>
    </row>
    <row r="2444" spans="1:1">
      <c r="A2444" s="32"/>
    </row>
    <row r="2445" spans="1:1">
      <c r="A2445" s="32"/>
    </row>
    <row r="2446" spans="1:1">
      <c r="A2446" s="32"/>
    </row>
    <row r="2447" spans="1:1">
      <c r="A2447" s="32"/>
    </row>
    <row r="2448" spans="1:1">
      <c r="A2448" s="32"/>
    </row>
    <row r="2449" spans="1:1">
      <c r="A2449" s="32"/>
    </row>
    <row r="2450" spans="1:1">
      <c r="A2450" s="32"/>
    </row>
    <row r="2451" spans="1:1">
      <c r="A2451" s="32"/>
    </row>
    <row r="2452" spans="1:1">
      <c r="A2452" s="32"/>
    </row>
    <row r="2453" spans="1:1">
      <c r="A2453" s="32"/>
    </row>
    <row r="2454" spans="1:1">
      <c r="A2454" s="32"/>
    </row>
    <row r="2455" spans="1:1">
      <c r="A2455" s="32"/>
    </row>
    <row r="2456" spans="1:1">
      <c r="A2456" s="32"/>
    </row>
    <row r="2457" spans="1:1">
      <c r="A2457" s="32"/>
    </row>
    <row r="2458" spans="1:1">
      <c r="A2458" s="32"/>
    </row>
    <row r="2459" spans="1:1">
      <c r="A2459" s="32"/>
    </row>
    <row r="2460" spans="1:1">
      <c r="A2460" s="32"/>
    </row>
    <row r="2461" spans="1:1">
      <c r="A2461" s="32"/>
    </row>
    <row r="2462" spans="1:1">
      <c r="A2462" s="32"/>
    </row>
    <row r="2463" spans="1:1">
      <c r="A2463" s="32"/>
    </row>
    <row r="2464" spans="1:1">
      <c r="A2464" s="32"/>
    </row>
    <row r="2465" spans="1:1">
      <c r="A2465" s="32"/>
    </row>
    <row r="2466" spans="1:1">
      <c r="A2466" s="32"/>
    </row>
    <row r="2467" spans="1:1">
      <c r="A2467" s="32"/>
    </row>
    <row r="2468" spans="1:1">
      <c r="A2468" s="32"/>
    </row>
    <row r="2469" spans="1:1">
      <c r="A2469" s="32"/>
    </row>
    <row r="2470" spans="1:1">
      <c r="A2470" s="32"/>
    </row>
    <row r="2471" spans="1:1">
      <c r="A2471" s="32"/>
    </row>
    <row r="2472" spans="1:1">
      <c r="A2472" s="32"/>
    </row>
    <row r="2473" spans="1:1">
      <c r="A2473" s="32"/>
    </row>
    <row r="2474" spans="1:1">
      <c r="A2474" s="32"/>
    </row>
    <row r="2475" spans="1:1">
      <c r="A2475" s="32"/>
    </row>
    <row r="2476" spans="1:1">
      <c r="A2476" s="32"/>
    </row>
    <row r="2477" spans="1:1">
      <c r="A2477" s="32"/>
    </row>
    <row r="2478" spans="1:1">
      <c r="A2478" s="32"/>
    </row>
    <row r="2479" spans="1:1">
      <c r="A2479" s="32"/>
    </row>
    <row r="2480" spans="1:1">
      <c r="A2480" s="32"/>
    </row>
    <row r="2481" spans="1:1">
      <c r="A2481" s="32"/>
    </row>
    <row r="2482" spans="1:1">
      <c r="A2482" s="32"/>
    </row>
    <row r="2483" spans="1:1">
      <c r="A2483" s="32"/>
    </row>
    <row r="2484" spans="1:1">
      <c r="A2484" s="32"/>
    </row>
    <row r="2485" spans="1:1">
      <c r="A2485" s="32"/>
    </row>
    <row r="2486" spans="1:1">
      <c r="A2486" s="32"/>
    </row>
    <row r="2487" spans="1:1">
      <c r="A2487" s="32"/>
    </row>
    <row r="2488" spans="1:1">
      <c r="A2488" s="32"/>
    </row>
    <row r="2489" spans="1:1">
      <c r="A2489" s="32"/>
    </row>
    <row r="2490" spans="1:1">
      <c r="A2490" s="32"/>
    </row>
    <row r="2491" spans="1:1">
      <c r="A2491" s="32"/>
    </row>
    <row r="2492" spans="1:1">
      <c r="A2492" s="32"/>
    </row>
    <row r="2493" spans="1:1">
      <c r="A2493" s="32"/>
    </row>
    <row r="2494" spans="1:1">
      <c r="A2494" s="32"/>
    </row>
    <row r="2495" spans="1:1">
      <c r="A2495" s="32"/>
    </row>
    <row r="2496" spans="1:1">
      <c r="A2496" s="32"/>
    </row>
    <row r="2497" spans="1:1">
      <c r="A2497" s="32"/>
    </row>
    <row r="2498" spans="1:1">
      <c r="A2498" s="32"/>
    </row>
    <row r="2499" spans="1:1">
      <c r="A2499" s="32"/>
    </row>
    <row r="2500" spans="1:1">
      <c r="A2500" s="32"/>
    </row>
    <row r="2501" spans="1:1">
      <c r="A2501" s="32"/>
    </row>
    <row r="2502" spans="1:1">
      <c r="A2502" s="32"/>
    </row>
    <row r="2503" spans="1:1">
      <c r="A2503" s="32"/>
    </row>
    <row r="2504" spans="1:1">
      <c r="A2504" s="32"/>
    </row>
    <row r="2505" spans="1:1">
      <c r="A2505" s="32"/>
    </row>
    <row r="2506" spans="1:1">
      <c r="A2506" s="32"/>
    </row>
    <row r="2507" spans="1:1">
      <c r="A2507" s="32"/>
    </row>
    <row r="2508" spans="1:1">
      <c r="A2508" s="32"/>
    </row>
    <row r="2509" spans="1:1">
      <c r="A2509" s="32"/>
    </row>
    <row r="2510" spans="1:1">
      <c r="A2510" s="32"/>
    </row>
    <row r="2511" spans="1:1">
      <c r="A2511" s="32"/>
    </row>
    <row r="2512" spans="1:1">
      <c r="A2512" s="32"/>
    </row>
    <row r="2513" spans="1:1">
      <c r="A2513" s="32"/>
    </row>
    <row r="2514" spans="1:1">
      <c r="A2514" s="32"/>
    </row>
    <row r="2515" spans="1:1">
      <c r="A2515" s="32"/>
    </row>
    <row r="2516" spans="1:1">
      <c r="A2516" s="32"/>
    </row>
    <row r="2517" spans="1:1">
      <c r="A2517" s="32"/>
    </row>
    <row r="2518" spans="1:1">
      <c r="A2518" s="32"/>
    </row>
    <row r="2519" spans="1:1">
      <c r="A2519" s="32"/>
    </row>
    <row r="2520" spans="1:1">
      <c r="A2520" s="32"/>
    </row>
    <row r="2521" spans="1:1">
      <c r="A2521" s="32"/>
    </row>
    <row r="2522" spans="1:1">
      <c r="A2522" s="32"/>
    </row>
    <row r="2523" spans="1:1">
      <c r="A2523" s="32"/>
    </row>
    <row r="2524" spans="1:1">
      <c r="A2524" s="32"/>
    </row>
    <row r="2525" spans="1:1">
      <c r="A2525" s="32"/>
    </row>
    <row r="2526" spans="1:1">
      <c r="A2526" s="32"/>
    </row>
    <row r="2527" spans="1:1">
      <c r="A2527" s="32"/>
    </row>
    <row r="2528" spans="1:1">
      <c r="A2528" s="32"/>
    </row>
    <row r="2529" spans="1:1">
      <c r="A2529" s="32"/>
    </row>
    <row r="2530" spans="1:1">
      <c r="A2530" s="32"/>
    </row>
    <row r="2531" spans="1:1">
      <c r="A2531" s="32"/>
    </row>
    <row r="2532" spans="1:1">
      <c r="A2532" s="32"/>
    </row>
    <row r="2533" spans="1:1">
      <c r="A2533" s="32"/>
    </row>
    <row r="2534" spans="1:1">
      <c r="A2534" s="32"/>
    </row>
    <row r="2535" spans="1:1">
      <c r="A2535" s="32"/>
    </row>
    <row r="2536" spans="1:1">
      <c r="A2536" s="32"/>
    </row>
    <row r="2537" spans="1:1">
      <c r="A2537" s="32"/>
    </row>
    <row r="2538" spans="1:1">
      <c r="A2538" s="32"/>
    </row>
    <row r="2539" spans="1:1">
      <c r="A2539" s="32"/>
    </row>
    <row r="2540" spans="1:1">
      <c r="A2540" s="32"/>
    </row>
    <row r="2541" spans="1:1">
      <c r="A2541" s="32"/>
    </row>
    <row r="2542" spans="1:1">
      <c r="A2542" s="32"/>
    </row>
    <row r="2543" spans="1:1">
      <c r="A2543" s="32"/>
    </row>
    <row r="2544" spans="1:1">
      <c r="A2544" s="32"/>
    </row>
    <row r="2545" spans="1:1">
      <c r="A2545" s="32"/>
    </row>
    <row r="2546" spans="1:1">
      <c r="A2546" s="32"/>
    </row>
    <row r="2547" spans="1:1">
      <c r="A2547" s="32"/>
    </row>
    <row r="2548" spans="1:1">
      <c r="A2548" s="32"/>
    </row>
    <row r="2549" spans="1:1">
      <c r="A2549" s="32"/>
    </row>
    <row r="2550" spans="1:1">
      <c r="A2550" s="32"/>
    </row>
    <row r="2551" spans="1:1">
      <c r="A2551" s="32"/>
    </row>
    <row r="2552" spans="1:1">
      <c r="A2552" s="32"/>
    </row>
    <row r="2553" spans="1:1">
      <c r="A2553" s="32"/>
    </row>
    <row r="2554" spans="1:1">
      <c r="A2554" s="32"/>
    </row>
    <row r="2555" spans="1:1">
      <c r="A2555" s="32"/>
    </row>
    <row r="2556" spans="1:1">
      <c r="A2556" s="32"/>
    </row>
    <row r="2557" spans="1:1">
      <c r="A2557" s="32"/>
    </row>
    <row r="2558" spans="1:1">
      <c r="A2558" s="32"/>
    </row>
    <row r="2559" spans="1:1">
      <c r="A2559" s="32"/>
    </row>
    <row r="2560" spans="1:1">
      <c r="A2560" s="32"/>
    </row>
    <row r="2561" spans="1:1">
      <c r="A2561" s="32"/>
    </row>
    <row r="2562" spans="1:1">
      <c r="A2562" s="32"/>
    </row>
    <row r="2563" spans="1:1">
      <c r="A2563" s="32"/>
    </row>
    <row r="2564" spans="1:1">
      <c r="A2564" s="32"/>
    </row>
    <row r="2565" spans="1:1">
      <c r="A2565" s="32"/>
    </row>
    <row r="2566" spans="1:1">
      <c r="A2566" s="32"/>
    </row>
    <row r="2567" spans="1:1">
      <c r="A2567" s="32"/>
    </row>
    <row r="2568" spans="1:1">
      <c r="A2568" s="32"/>
    </row>
    <row r="2569" spans="1:1">
      <c r="A2569" s="32"/>
    </row>
    <row r="2570" spans="1:1">
      <c r="A2570" s="32"/>
    </row>
    <row r="2571" spans="1:1">
      <c r="A2571" s="32"/>
    </row>
    <row r="2572" spans="1:1">
      <c r="A2572" s="32"/>
    </row>
    <row r="2573" spans="1:1">
      <c r="A2573" s="32"/>
    </row>
    <row r="2574" spans="1:1">
      <c r="A2574" s="32"/>
    </row>
    <row r="2575" spans="1:1">
      <c r="A2575" s="32"/>
    </row>
    <row r="2576" spans="1:1">
      <c r="A2576" s="32"/>
    </row>
    <row r="2577" spans="1:1">
      <c r="A2577" s="32"/>
    </row>
    <row r="2578" spans="1:1">
      <c r="A2578" s="32"/>
    </row>
    <row r="2579" spans="1:1">
      <c r="A2579" s="32"/>
    </row>
    <row r="2580" spans="1:1">
      <c r="A2580" s="32"/>
    </row>
    <row r="2581" spans="1:1">
      <c r="A2581" s="32"/>
    </row>
    <row r="2582" spans="1:1">
      <c r="A2582" s="32"/>
    </row>
    <row r="2583" spans="1:1">
      <c r="A2583" s="32"/>
    </row>
    <row r="2584" spans="1:1">
      <c r="A2584" s="32"/>
    </row>
    <row r="2585" spans="1:1">
      <c r="A2585" s="32"/>
    </row>
    <row r="2586" spans="1:1">
      <c r="A2586" s="32"/>
    </row>
    <row r="2587" spans="1:1">
      <c r="A2587" s="32"/>
    </row>
    <row r="2588" spans="1:1">
      <c r="A2588" s="32"/>
    </row>
    <row r="2589" spans="1:1">
      <c r="A2589" s="32"/>
    </row>
    <row r="2590" spans="1:1">
      <c r="A2590" s="32"/>
    </row>
    <row r="2591" spans="1:1">
      <c r="A2591" s="32"/>
    </row>
    <row r="2592" spans="1:1">
      <c r="A2592" s="32"/>
    </row>
    <row r="2593" spans="1:1">
      <c r="A2593" s="32"/>
    </row>
    <row r="2594" spans="1:1">
      <c r="A2594" s="32"/>
    </row>
    <row r="2595" spans="1:1">
      <c r="A2595" s="32"/>
    </row>
    <row r="2596" spans="1:1">
      <c r="A2596" s="32"/>
    </row>
    <row r="2597" spans="1:1">
      <c r="A2597" s="32"/>
    </row>
    <row r="2598" spans="1:1">
      <c r="A2598" s="32"/>
    </row>
    <row r="2599" spans="1:1">
      <c r="A2599" s="32"/>
    </row>
    <row r="2600" spans="1:1">
      <c r="A2600" s="32"/>
    </row>
    <row r="2601" spans="1:1">
      <c r="A2601" s="32"/>
    </row>
    <row r="2602" spans="1:1">
      <c r="A2602" s="32"/>
    </row>
    <row r="2603" spans="1:1">
      <c r="A2603" s="32"/>
    </row>
    <row r="2604" spans="1:1">
      <c r="A2604" s="32"/>
    </row>
    <row r="2605" spans="1:1">
      <c r="A2605" s="32"/>
    </row>
    <row r="2606" spans="1:1">
      <c r="A2606" s="32"/>
    </row>
    <row r="2607" spans="1:1">
      <c r="A2607" s="32"/>
    </row>
    <row r="2608" spans="1:1">
      <c r="A2608" s="32"/>
    </row>
    <row r="2609" spans="1:1">
      <c r="A2609" s="32"/>
    </row>
    <row r="2610" spans="1:1">
      <c r="A2610" s="32"/>
    </row>
    <row r="2611" spans="1:1">
      <c r="A2611" s="32"/>
    </row>
    <row r="2612" spans="1:1">
      <c r="A2612" s="32"/>
    </row>
    <row r="2613" spans="1:1">
      <c r="A2613" s="32"/>
    </row>
    <row r="2614" spans="1:1">
      <c r="A2614" s="32"/>
    </row>
    <row r="2615" spans="1:1">
      <c r="A2615" s="32"/>
    </row>
    <row r="2616" spans="1:1">
      <c r="A2616" s="32"/>
    </row>
    <row r="2617" spans="1:1">
      <c r="A2617" s="32"/>
    </row>
    <row r="2618" spans="1:1">
      <c r="A2618" s="32"/>
    </row>
    <row r="2619" spans="1:1">
      <c r="A2619" s="32"/>
    </row>
    <row r="2620" spans="1:1">
      <c r="A2620" s="32"/>
    </row>
    <row r="2621" spans="1:1">
      <c r="A2621" s="32"/>
    </row>
    <row r="2622" spans="1:1">
      <c r="A2622" s="32"/>
    </row>
    <row r="2623" spans="1:1">
      <c r="A2623" s="32"/>
    </row>
    <row r="2624" spans="1:1">
      <c r="A2624" s="32"/>
    </row>
    <row r="2625" spans="1:1">
      <c r="A2625" s="32"/>
    </row>
    <row r="2626" spans="1:1">
      <c r="A2626" s="32"/>
    </row>
    <row r="2627" spans="1:1">
      <c r="A2627" s="32"/>
    </row>
    <row r="2628" spans="1:1">
      <c r="A2628" s="32"/>
    </row>
    <row r="2629" spans="1:1">
      <c r="A2629" s="32"/>
    </row>
    <row r="2630" spans="1:1">
      <c r="A2630" s="32"/>
    </row>
    <row r="2631" spans="1:1">
      <c r="A2631" s="32"/>
    </row>
    <row r="2632" spans="1:1">
      <c r="A2632" s="32"/>
    </row>
    <row r="2633" spans="1:1">
      <c r="A2633" s="32"/>
    </row>
    <row r="2634" spans="1:1">
      <c r="A2634" s="32"/>
    </row>
    <row r="2635" spans="1:1">
      <c r="A2635" s="32"/>
    </row>
    <row r="2636" spans="1:1">
      <c r="A2636" s="32"/>
    </row>
    <row r="2637" spans="1:1">
      <c r="A2637" s="32"/>
    </row>
    <row r="2638" spans="1:1">
      <c r="A2638" s="32"/>
    </row>
    <row r="2639" spans="1:1">
      <c r="A2639" s="32"/>
    </row>
    <row r="2640" spans="1:1">
      <c r="A2640" s="32"/>
    </row>
    <row r="2641" spans="1:1">
      <c r="A2641" s="32"/>
    </row>
    <row r="2642" spans="1:1">
      <c r="A2642" s="32"/>
    </row>
    <row r="2643" spans="1:1">
      <c r="A2643" s="32"/>
    </row>
    <row r="2644" spans="1:1">
      <c r="A2644" s="32"/>
    </row>
    <row r="2645" spans="1:1">
      <c r="A2645" s="32"/>
    </row>
    <row r="2646" spans="1:1">
      <c r="A2646" s="32"/>
    </row>
    <row r="2647" spans="1:1">
      <c r="A2647" s="32"/>
    </row>
    <row r="2648" spans="1:1">
      <c r="A2648" s="32"/>
    </row>
    <row r="2649" spans="1:1">
      <c r="A2649" s="32"/>
    </row>
    <row r="2650" spans="1:1">
      <c r="A2650" s="32"/>
    </row>
    <row r="2651" spans="1:1">
      <c r="A2651" s="32"/>
    </row>
    <row r="2652" spans="1:1">
      <c r="A2652" s="32"/>
    </row>
    <row r="2653" spans="1:1">
      <c r="A2653" s="32"/>
    </row>
    <row r="2654" spans="1:1">
      <c r="A2654" s="32"/>
    </row>
    <row r="2655" spans="1:1">
      <c r="A2655" s="32"/>
    </row>
    <row r="2656" spans="1:1">
      <c r="A2656" s="32"/>
    </row>
    <row r="2657" spans="1:1">
      <c r="A2657" s="32"/>
    </row>
    <row r="2658" spans="1:1">
      <c r="A2658" s="32"/>
    </row>
    <row r="2659" spans="1:1">
      <c r="A2659" s="32"/>
    </row>
    <row r="2660" spans="1:1">
      <c r="A2660" s="32"/>
    </row>
    <row r="2661" spans="1:1">
      <c r="A2661" s="32"/>
    </row>
    <row r="2662" spans="1:1">
      <c r="A2662" s="32"/>
    </row>
    <row r="2663" spans="1:1">
      <c r="A2663" s="32"/>
    </row>
    <row r="2664" spans="1:1">
      <c r="A2664" s="32"/>
    </row>
    <row r="2665" spans="1:1">
      <c r="A2665" s="32"/>
    </row>
    <row r="2666" spans="1:1">
      <c r="A2666" s="32"/>
    </row>
    <row r="2667" spans="1:1">
      <c r="A2667" s="32"/>
    </row>
    <row r="2668" spans="1:1">
      <c r="A2668" s="32"/>
    </row>
    <row r="2669" spans="1:1">
      <c r="A2669" s="32"/>
    </row>
    <row r="2670" spans="1:1">
      <c r="A2670" s="32"/>
    </row>
    <row r="2671" spans="1:1">
      <c r="A2671" s="32"/>
    </row>
    <row r="2672" spans="1:1">
      <c r="A2672" s="32"/>
    </row>
    <row r="2673" spans="1:1">
      <c r="A2673" s="32"/>
    </row>
    <row r="2674" spans="1:1">
      <c r="A2674" s="32"/>
    </row>
    <row r="2675" spans="1:1">
      <c r="A2675" s="32"/>
    </row>
    <row r="2676" spans="1:1">
      <c r="A2676" s="32"/>
    </row>
    <row r="2677" spans="1:1">
      <c r="A2677" s="32"/>
    </row>
    <row r="2678" spans="1:1">
      <c r="A2678" s="32"/>
    </row>
    <row r="2679" spans="1:1">
      <c r="A2679" s="32"/>
    </row>
    <row r="2680" spans="1:1">
      <c r="A2680" s="32"/>
    </row>
    <row r="2681" spans="1:1">
      <c r="A2681" s="32"/>
    </row>
    <row r="2682" spans="1:1">
      <c r="A2682" s="32"/>
    </row>
    <row r="2683" spans="1:1">
      <c r="A2683" s="32"/>
    </row>
    <row r="2684" spans="1:1">
      <c r="A2684" s="32"/>
    </row>
    <row r="2685" spans="1:1">
      <c r="A2685" s="32"/>
    </row>
    <row r="2686" spans="1:1">
      <c r="A2686" s="32"/>
    </row>
    <row r="2687" spans="1:1">
      <c r="A2687" s="32"/>
    </row>
    <row r="2688" spans="1:1">
      <c r="A2688" s="32"/>
    </row>
    <row r="2689" spans="1:1">
      <c r="A2689" s="32"/>
    </row>
    <row r="2690" spans="1:1">
      <c r="A2690" s="32"/>
    </row>
    <row r="2691" spans="1:1">
      <c r="A2691" s="32"/>
    </row>
    <row r="2692" spans="1:1">
      <c r="A2692" s="32"/>
    </row>
    <row r="2693" spans="1:1">
      <c r="A2693" s="32"/>
    </row>
    <row r="2694" spans="1:1">
      <c r="A2694" s="32"/>
    </row>
    <row r="2695" spans="1:1">
      <c r="A2695" s="32"/>
    </row>
    <row r="2696" spans="1:1">
      <c r="A2696" s="32"/>
    </row>
    <row r="2697" spans="1:1">
      <c r="A2697" s="32"/>
    </row>
    <row r="2698" spans="1:1">
      <c r="A2698" s="32"/>
    </row>
    <row r="2699" spans="1:1">
      <c r="A2699" s="32"/>
    </row>
    <row r="2700" spans="1:1">
      <c r="A2700" s="32"/>
    </row>
    <row r="2701" spans="1:1">
      <c r="A2701" s="32"/>
    </row>
    <row r="2702" spans="1:1">
      <c r="A2702" s="32"/>
    </row>
    <row r="2703" spans="1:1">
      <c r="A2703" s="32"/>
    </row>
    <row r="2704" spans="1:1">
      <c r="A2704" s="32"/>
    </row>
    <row r="2705" spans="1:1">
      <c r="A2705" s="32"/>
    </row>
    <row r="2706" spans="1:1">
      <c r="A2706" s="32"/>
    </row>
    <row r="2707" spans="1:1">
      <c r="A2707" s="32"/>
    </row>
    <row r="2708" spans="1:1">
      <c r="A2708" s="32"/>
    </row>
    <row r="2709" spans="1:1">
      <c r="A2709" s="32"/>
    </row>
    <row r="2710" spans="1:1">
      <c r="A2710" s="32"/>
    </row>
    <row r="2711" spans="1:1">
      <c r="A2711" s="32"/>
    </row>
    <row r="2712" spans="1:1">
      <c r="A2712" s="32"/>
    </row>
    <row r="2713" spans="1:1">
      <c r="A2713" s="32"/>
    </row>
    <row r="2714" spans="1:1">
      <c r="A2714" s="32"/>
    </row>
    <row r="2715" spans="1:1">
      <c r="A2715" s="32"/>
    </row>
    <row r="2716" spans="1:1">
      <c r="A2716" s="32"/>
    </row>
    <row r="2717" spans="1:1">
      <c r="A2717" s="32"/>
    </row>
    <row r="2718" spans="1:1">
      <c r="A2718" s="32"/>
    </row>
    <row r="2719" spans="1:1">
      <c r="A2719" s="32"/>
    </row>
    <row r="2720" spans="1:1">
      <c r="A2720" s="32"/>
    </row>
    <row r="2721" spans="1:1">
      <c r="A2721" s="32"/>
    </row>
    <row r="2722" spans="1:1">
      <c r="A2722" s="32"/>
    </row>
    <row r="2723" spans="1:1">
      <c r="A2723" s="32"/>
    </row>
    <row r="2724" spans="1:1">
      <c r="A2724" s="32"/>
    </row>
    <row r="2725" spans="1:1">
      <c r="A2725" s="32"/>
    </row>
    <row r="2726" spans="1:1">
      <c r="A2726" s="32"/>
    </row>
    <row r="2727" spans="1:1">
      <c r="A2727" s="32"/>
    </row>
    <row r="2728" spans="1:1">
      <c r="A2728" s="32"/>
    </row>
    <row r="2729" spans="1:1">
      <c r="A2729" s="32"/>
    </row>
    <row r="2730" spans="1:1">
      <c r="A2730" s="32"/>
    </row>
    <row r="2731" spans="1:1">
      <c r="A2731" s="32"/>
    </row>
    <row r="2732" spans="1:1">
      <c r="A2732" s="32"/>
    </row>
    <row r="2733" spans="1:1">
      <c r="A2733" s="32"/>
    </row>
    <row r="2734" spans="1:1">
      <c r="A2734" s="32"/>
    </row>
    <row r="2735" spans="1:1">
      <c r="A2735" s="32"/>
    </row>
    <row r="2736" spans="1:1">
      <c r="A2736" s="32"/>
    </row>
    <row r="2737" spans="1:1">
      <c r="A2737" s="32"/>
    </row>
    <row r="2738" spans="1:1">
      <c r="A2738" s="32"/>
    </row>
    <row r="2739" spans="1:1">
      <c r="A2739" s="32"/>
    </row>
    <row r="2740" spans="1:1">
      <c r="A2740" s="32"/>
    </row>
    <row r="2741" spans="1:1">
      <c r="A2741" s="32"/>
    </row>
    <row r="2742" spans="1:1">
      <c r="A2742" s="32"/>
    </row>
    <row r="2743" spans="1:1">
      <c r="A2743" s="32"/>
    </row>
    <row r="2744" spans="1:1">
      <c r="A2744" s="32"/>
    </row>
    <row r="2745" spans="1:1">
      <c r="A2745" s="32"/>
    </row>
    <row r="2746" spans="1:1">
      <c r="A2746" s="32"/>
    </row>
    <row r="2747" spans="1:1">
      <c r="A2747" s="32"/>
    </row>
    <row r="2748" spans="1:1">
      <c r="A2748" s="32"/>
    </row>
    <row r="2749" spans="1:1">
      <c r="A2749" s="32"/>
    </row>
    <row r="2750" spans="1:1">
      <c r="A2750" s="32"/>
    </row>
    <row r="2751" spans="1:1">
      <c r="A2751" s="32"/>
    </row>
    <row r="2752" spans="1:1">
      <c r="A2752" s="32"/>
    </row>
    <row r="2753" spans="1:1">
      <c r="A2753" s="32"/>
    </row>
    <row r="2754" spans="1:1">
      <c r="A2754" s="32"/>
    </row>
    <row r="2755" spans="1:1">
      <c r="A2755" s="32"/>
    </row>
    <row r="2756" spans="1:1">
      <c r="A2756" s="32"/>
    </row>
    <row r="2757" spans="1:1">
      <c r="A2757" s="32"/>
    </row>
    <row r="2758" spans="1:1">
      <c r="A2758" s="32"/>
    </row>
    <row r="2759" spans="1:1">
      <c r="A2759" s="32"/>
    </row>
    <row r="2760" spans="1:1">
      <c r="A2760" s="32"/>
    </row>
    <row r="2761" spans="1:1">
      <c r="A2761" s="32"/>
    </row>
    <row r="2762" spans="1:1">
      <c r="A2762" s="32"/>
    </row>
    <row r="2763" spans="1:1">
      <c r="A2763" s="32"/>
    </row>
    <row r="2764" spans="1:1">
      <c r="A2764" s="32"/>
    </row>
    <row r="2765" spans="1:1">
      <c r="A2765" s="32"/>
    </row>
    <row r="2766" spans="1:1">
      <c r="A2766" s="32"/>
    </row>
    <row r="2767" spans="1:1">
      <c r="A2767" s="32"/>
    </row>
    <row r="2768" spans="1:1">
      <c r="A2768" s="32"/>
    </row>
    <row r="2769" spans="1:1">
      <c r="A2769" s="32"/>
    </row>
    <row r="2770" spans="1:1">
      <c r="A2770" s="32"/>
    </row>
    <row r="2771" spans="1:1">
      <c r="A2771" s="32"/>
    </row>
    <row r="2772" spans="1:1">
      <c r="A2772" s="32"/>
    </row>
    <row r="2773" spans="1:1">
      <c r="A2773" s="32"/>
    </row>
    <row r="2774" spans="1:1">
      <c r="A2774" s="32"/>
    </row>
    <row r="2775" spans="1:1">
      <c r="A2775" s="32"/>
    </row>
    <row r="2776" spans="1:1">
      <c r="A2776" s="32"/>
    </row>
    <row r="2777" spans="1:1">
      <c r="A2777" s="32"/>
    </row>
    <row r="2778" spans="1:1">
      <c r="A2778" s="32"/>
    </row>
    <row r="2779" spans="1:1">
      <c r="A2779" s="32"/>
    </row>
    <row r="2780" spans="1:1">
      <c r="A2780" s="32"/>
    </row>
    <row r="2781" spans="1:1">
      <c r="A2781" s="32"/>
    </row>
    <row r="2782" spans="1:1">
      <c r="A2782" s="32"/>
    </row>
    <row r="2783" spans="1:1">
      <c r="A2783" s="32"/>
    </row>
    <row r="2784" spans="1:1">
      <c r="A2784" s="32"/>
    </row>
    <row r="2785" spans="1:1">
      <c r="A2785" s="32"/>
    </row>
    <row r="2786" spans="1:1">
      <c r="A2786" s="32"/>
    </row>
    <row r="2787" spans="1:1">
      <c r="A2787" s="32"/>
    </row>
    <row r="2788" spans="1:1">
      <c r="A2788" s="32"/>
    </row>
    <row r="2789" spans="1:1">
      <c r="A2789" s="32"/>
    </row>
    <row r="2790" spans="1:1">
      <c r="A2790" s="32"/>
    </row>
    <row r="2791" spans="1:1">
      <c r="A2791" s="32"/>
    </row>
    <row r="2792" spans="1:1">
      <c r="A2792" s="32"/>
    </row>
    <row r="2793" spans="1:1">
      <c r="A2793" s="32"/>
    </row>
    <row r="2794" spans="1:1">
      <c r="A2794" s="32"/>
    </row>
    <row r="2795" spans="1:1">
      <c r="A2795" s="32"/>
    </row>
    <row r="2796" spans="1:1">
      <c r="A2796" s="32"/>
    </row>
    <row r="2797" spans="1:1">
      <c r="A2797" s="32"/>
    </row>
    <row r="2798" spans="1:1">
      <c r="A2798" s="32"/>
    </row>
    <row r="2799" spans="1:1">
      <c r="A2799" s="32"/>
    </row>
    <row r="2800" spans="1:1">
      <c r="A2800" s="32"/>
    </row>
    <row r="2801" spans="1:1">
      <c r="A2801" s="32"/>
    </row>
    <row r="2802" spans="1:1">
      <c r="A2802" s="32"/>
    </row>
    <row r="2803" spans="1:1">
      <c r="A2803" s="32"/>
    </row>
    <row r="2804" spans="1:1">
      <c r="A2804" s="32"/>
    </row>
    <row r="2805" spans="1:1">
      <c r="A2805" s="32"/>
    </row>
    <row r="2806" spans="1:1">
      <c r="A2806" s="32"/>
    </row>
    <row r="2807" spans="1:1">
      <c r="A2807" s="32"/>
    </row>
    <row r="2808" spans="1:1">
      <c r="A2808" s="32"/>
    </row>
    <row r="2809" spans="1:1">
      <c r="A2809" s="32"/>
    </row>
    <row r="2810" spans="1:1">
      <c r="A2810" s="32"/>
    </row>
    <row r="2811" spans="1:1">
      <c r="A2811" s="32"/>
    </row>
    <row r="2812" spans="1:1">
      <c r="A2812" s="32"/>
    </row>
    <row r="2813" spans="1:1">
      <c r="A2813" s="32"/>
    </row>
    <row r="2814" spans="1:1">
      <c r="A2814" s="32"/>
    </row>
    <row r="2815" spans="1:1">
      <c r="A2815" s="32"/>
    </row>
    <row r="2816" spans="1:1">
      <c r="A2816" s="32"/>
    </row>
    <row r="2817" spans="1:1">
      <c r="A2817" s="32"/>
    </row>
    <row r="2818" spans="1:1">
      <c r="A2818" s="32"/>
    </row>
    <row r="2819" spans="1:1">
      <c r="A2819" s="32"/>
    </row>
    <row r="2820" spans="1:1">
      <c r="A2820" s="32"/>
    </row>
    <row r="2821" spans="1:1">
      <c r="A2821" s="32"/>
    </row>
    <row r="2822" spans="1:1">
      <c r="A2822" s="32"/>
    </row>
    <row r="2823" spans="1:1">
      <c r="A2823" s="32"/>
    </row>
    <row r="2824" spans="1:1">
      <c r="A2824" s="32"/>
    </row>
    <row r="2825" spans="1:1">
      <c r="A2825" s="32"/>
    </row>
    <row r="2826" spans="1:1">
      <c r="A2826" s="32"/>
    </row>
    <row r="2827" spans="1:1">
      <c r="A2827" s="32"/>
    </row>
    <row r="2828" spans="1:1">
      <c r="A2828" s="32"/>
    </row>
    <row r="2829" spans="1:1">
      <c r="A2829" s="32"/>
    </row>
    <row r="2830" spans="1:1">
      <c r="A2830" s="32"/>
    </row>
    <row r="2831" spans="1:1">
      <c r="A2831" s="32"/>
    </row>
    <row r="2832" spans="1:1">
      <c r="A2832" s="32"/>
    </row>
    <row r="2833" spans="1:1">
      <c r="A2833" s="32"/>
    </row>
    <row r="2834" spans="1:1">
      <c r="A2834" s="32"/>
    </row>
    <row r="2835" spans="1:1">
      <c r="A2835" s="32"/>
    </row>
    <row r="2836" spans="1:1">
      <c r="A2836" s="32"/>
    </row>
    <row r="2837" spans="1:1">
      <c r="A2837" s="32"/>
    </row>
    <row r="2838" spans="1:1">
      <c r="A2838" s="32"/>
    </row>
    <row r="2839" spans="1:1">
      <c r="A2839" s="32"/>
    </row>
    <row r="2840" spans="1:1">
      <c r="A2840" s="32"/>
    </row>
    <row r="2841" spans="1:1">
      <c r="A2841" s="32"/>
    </row>
    <row r="2842" spans="1:1">
      <c r="A2842" s="32"/>
    </row>
    <row r="2843" spans="1:1">
      <c r="A2843" s="32"/>
    </row>
    <row r="2844" spans="1:1">
      <c r="A2844" s="32"/>
    </row>
    <row r="2845" spans="1:1">
      <c r="A2845" s="32"/>
    </row>
    <row r="2846" spans="1:1">
      <c r="A2846" s="32"/>
    </row>
    <row r="2847" spans="1:1">
      <c r="A2847" s="32"/>
    </row>
    <row r="2848" spans="1:1">
      <c r="A2848" s="32"/>
    </row>
    <row r="2849" spans="1:1">
      <c r="A2849" s="32"/>
    </row>
    <row r="2850" spans="1:1">
      <c r="A2850" s="32"/>
    </row>
    <row r="2851" spans="1:1">
      <c r="A2851" s="32"/>
    </row>
    <row r="2852" spans="1:1">
      <c r="A2852" s="32"/>
    </row>
    <row r="2853" spans="1:1">
      <c r="A2853" s="32"/>
    </row>
    <row r="2854" spans="1:1">
      <c r="A2854" s="32"/>
    </row>
    <row r="2855" spans="1:1">
      <c r="A2855" s="32"/>
    </row>
    <row r="2856" spans="1:1">
      <c r="A2856" s="32"/>
    </row>
    <row r="2857" spans="1:1">
      <c r="A2857" s="32"/>
    </row>
    <row r="2858" spans="1:1">
      <c r="A2858" s="32"/>
    </row>
    <row r="2859" spans="1:1">
      <c r="A2859" s="32"/>
    </row>
    <row r="2860" spans="1:1">
      <c r="A2860" s="32"/>
    </row>
    <row r="2861" spans="1:1">
      <c r="A2861" s="32"/>
    </row>
    <row r="2862" spans="1:1">
      <c r="A2862" s="32"/>
    </row>
    <row r="2863" spans="1:1">
      <c r="A2863" s="32"/>
    </row>
    <row r="2864" spans="1:1">
      <c r="A2864" s="32"/>
    </row>
    <row r="2865" spans="1:1">
      <c r="A2865" s="32"/>
    </row>
    <row r="2866" spans="1:1">
      <c r="A2866" s="32"/>
    </row>
    <row r="2867" spans="1:1">
      <c r="A2867" s="32"/>
    </row>
    <row r="2868" spans="1:1">
      <c r="A2868" s="32"/>
    </row>
    <row r="2869" spans="1:1">
      <c r="A2869" s="32"/>
    </row>
    <row r="2870" spans="1:1">
      <c r="A2870" s="32"/>
    </row>
    <row r="2871" spans="1:1">
      <c r="A2871" s="32"/>
    </row>
    <row r="2872" spans="1:1">
      <c r="A2872" s="32"/>
    </row>
    <row r="2873" spans="1:1">
      <c r="A2873" s="32"/>
    </row>
    <row r="2874" spans="1:1">
      <c r="A2874" s="32"/>
    </row>
    <row r="2875" spans="1:1">
      <c r="A2875" s="32"/>
    </row>
    <row r="2876" spans="1:1">
      <c r="A2876" s="32"/>
    </row>
    <row r="2877" spans="1:1">
      <c r="A2877" s="32"/>
    </row>
    <row r="2878" spans="1:1">
      <c r="A2878" s="32"/>
    </row>
    <row r="2879" spans="1:1">
      <c r="A2879" s="32"/>
    </row>
    <row r="2880" spans="1:1">
      <c r="A2880" s="32"/>
    </row>
    <row r="2881" spans="1:1">
      <c r="A2881" s="32"/>
    </row>
    <row r="2882" spans="1:1">
      <c r="A2882" s="32"/>
    </row>
    <row r="2883" spans="1:1">
      <c r="A2883" s="32"/>
    </row>
    <row r="2884" spans="1:1">
      <c r="A2884" s="32"/>
    </row>
    <row r="2885" spans="1:1">
      <c r="A2885" s="32"/>
    </row>
    <row r="2886" spans="1:1">
      <c r="A2886" s="32"/>
    </row>
    <row r="2887" spans="1:1">
      <c r="A2887" s="32"/>
    </row>
    <row r="2888" spans="1:1">
      <c r="A2888" s="32"/>
    </row>
    <row r="2889" spans="1:1">
      <c r="A2889" s="32"/>
    </row>
    <row r="2890" spans="1:1">
      <c r="A2890" s="32"/>
    </row>
    <row r="2891" spans="1:1">
      <c r="A2891" s="32"/>
    </row>
    <row r="2892" spans="1:1">
      <c r="A2892" s="32"/>
    </row>
    <row r="2893" spans="1:1">
      <c r="A2893" s="32"/>
    </row>
    <row r="2894" spans="1:1">
      <c r="A2894" s="32"/>
    </row>
    <row r="2895" spans="1:1">
      <c r="A2895" s="32"/>
    </row>
    <row r="2896" spans="1:1">
      <c r="A2896" s="32"/>
    </row>
    <row r="2897" spans="1:1">
      <c r="A2897" s="32"/>
    </row>
    <row r="2898" spans="1:1">
      <c r="A2898" s="32"/>
    </row>
    <row r="2899" spans="1:1">
      <c r="A2899" s="32"/>
    </row>
    <row r="2900" spans="1:1">
      <c r="A2900" s="32"/>
    </row>
    <row r="2901" spans="1:1">
      <c r="A2901" s="32"/>
    </row>
    <row r="2902" spans="1:1">
      <c r="A2902" s="32"/>
    </row>
    <row r="2903" spans="1:1">
      <c r="A2903" s="32"/>
    </row>
    <row r="2904" spans="1:1">
      <c r="A2904" s="32"/>
    </row>
    <row r="2905" spans="1:1">
      <c r="A2905" s="32"/>
    </row>
    <row r="2906" spans="1:1">
      <c r="A2906" s="32"/>
    </row>
    <row r="2907" spans="1:1">
      <c r="A2907" s="32"/>
    </row>
    <row r="2908" spans="1:1">
      <c r="A2908" s="32"/>
    </row>
    <row r="2909" spans="1:1">
      <c r="A2909" s="32"/>
    </row>
    <row r="2910" spans="1:1">
      <c r="A2910" s="32"/>
    </row>
    <row r="2911" spans="1:1">
      <c r="A2911" s="32"/>
    </row>
    <row r="2912" spans="1:1">
      <c r="A2912" s="32"/>
    </row>
    <row r="2913" spans="1:1">
      <c r="A2913" s="32"/>
    </row>
    <row r="2914" spans="1:1">
      <c r="A2914" s="32"/>
    </row>
    <row r="2915" spans="1:1">
      <c r="A2915" s="32"/>
    </row>
    <row r="2916" spans="1:1">
      <c r="A2916" s="32"/>
    </row>
    <row r="2917" spans="1:1">
      <c r="A2917" s="32"/>
    </row>
    <row r="2918" spans="1:1">
      <c r="A2918" s="32"/>
    </row>
    <row r="2919" spans="1:1">
      <c r="A2919" s="32"/>
    </row>
    <row r="2920" spans="1:1">
      <c r="A2920" s="32"/>
    </row>
    <row r="2921" spans="1:1">
      <c r="A2921" s="32"/>
    </row>
    <row r="2922" spans="1:1">
      <c r="A2922" s="32"/>
    </row>
    <row r="2923" spans="1:1">
      <c r="A2923" s="32"/>
    </row>
    <row r="2924" spans="1:1">
      <c r="A2924" s="32"/>
    </row>
    <row r="2925" spans="1:1">
      <c r="A2925" s="32"/>
    </row>
    <row r="2926" spans="1:1">
      <c r="A2926" s="32"/>
    </row>
    <row r="2927" spans="1:1">
      <c r="A2927" s="32"/>
    </row>
    <row r="2928" spans="1:1">
      <c r="A2928" s="32"/>
    </row>
    <row r="2929" spans="1:1">
      <c r="A2929" s="32"/>
    </row>
    <row r="2930" spans="1:1">
      <c r="A2930" s="32"/>
    </row>
    <row r="2931" spans="1:1">
      <c r="A2931" s="32"/>
    </row>
    <row r="2932" spans="1:1">
      <c r="A2932" s="32"/>
    </row>
    <row r="2933" spans="1:1">
      <c r="A2933" s="32"/>
    </row>
    <row r="2934" spans="1:1">
      <c r="A2934" s="32"/>
    </row>
    <row r="2935" spans="1:1">
      <c r="A2935" s="32"/>
    </row>
    <row r="2936" spans="1:1">
      <c r="A2936" s="32"/>
    </row>
    <row r="2937" spans="1:1">
      <c r="A2937" s="32"/>
    </row>
    <row r="2938" spans="1:1">
      <c r="A2938" s="32"/>
    </row>
    <row r="2939" spans="1:1">
      <c r="A2939" s="32"/>
    </row>
    <row r="2940" spans="1:1">
      <c r="A2940" s="32"/>
    </row>
    <row r="2941" spans="1:1">
      <c r="A2941" s="32"/>
    </row>
    <row r="2942" spans="1:1">
      <c r="A2942" s="32"/>
    </row>
    <row r="2943" spans="1:1">
      <c r="A2943" s="32"/>
    </row>
    <row r="2944" spans="1:1">
      <c r="A2944" s="32"/>
    </row>
    <row r="2945" spans="1:1">
      <c r="A2945" s="32"/>
    </row>
    <row r="2946" spans="1:1">
      <c r="A2946" s="32"/>
    </row>
    <row r="2947" spans="1:1">
      <c r="A2947" s="32"/>
    </row>
    <row r="2948" spans="1:1">
      <c r="A2948" s="32"/>
    </row>
    <row r="2949" spans="1:1">
      <c r="A2949" s="32"/>
    </row>
    <row r="2950" spans="1:1">
      <c r="A2950" s="32"/>
    </row>
    <row r="2951" spans="1:1">
      <c r="A2951" s="32"/>
    </row>
    <row r="2952" spans="1:1">
      <c r="A2952" s="32"/>
    </row>
    <row r="2953" spans="1:1">
      <c r="A2953" s="32"/>
    </row>
    <row r="2954" spans="1:1">
      <c r="A2954" s="32"/>
    </row>
    <row r="2955" spans="1:1">
      <c r="A2955" s="32"/>
    </row>
    <row r="2956" spans="1:1">
      <c r="A2956" s="32"/>
    </row>
    <row r="2957" spans="1:1">
      <c r="A2957" s="32"/>
    </row>
    <row r="2958" spans="1:1">
      <c r="A2958" s="32"/>
    </row>
    <row r="2959" spans="1:1">
      <c r="A2959" s="32"/>
    </row>
    <row r="2960" spans="1:1">
      <c r="A2960" s="32"/>
    </row>
    <row r="2961" spans="1:1">
      <c r="A2961" s="32"/>
    </row>
    <row r="2962" spans="1:1">
      <c r="A2962" s="32"/>
    </row>
    <row r="2963" spans="1:1">
      <c r="A2963" s="32"/>
    </row>
    <row r="2964" spans="1:1">
      <c r="A2964" s="32"/>
    </row>
    <row r="2965" spans="1:1">
      <c r="A2965" s="32"/>
    </row>
    <row r="2966" spans="1:1">
      <c r="A2966" s="32"/>
    </row>
    <row r="2967" spans="1:1">
      <c r="A2967" s="32"/>
    </row>
    <row r="2968" spans="1:1">
      <c r="A2968" s="32"/>
    </row>
    <row r="2969" spans="1:1">
      <c r="A2969" s="32"/>
    </row>
    <row r="2970" spans="1:1">
      <c r="A2970" s="32"/>
    </row>
    <row r="2971" spans="1:1">
      <c r="A2971" s="32"/>
    </row>
    <row r="2972" spans="1:1">
      <c r="A2972" s="32"/>
    </row>
    <row r="2973" spans="1:1">
      <c r="A2973" s="32"/>
    </row>
    <row r="2974" spans="1:1">
      <c r="A2974" s="32"/>
    </row>
    <row r="2975" spans="1:1">
      <c r="A2975" s="32"/>
    </row>
    <row r="2976" spans="1:1">
      <c r="A2976" s="32"/>
    </row>
    <row r="2977" spans="1:1">
      <c r="A2977" s="32"/>
    </row>
    <row r="2978" spans="1:1">
      <c r="A2978" s="32"/>
    </row>
    <row r="2979" spans="1:1">
      <c r="A2979" s="32"/>
    </row>
    <row r="2980" spans="1:1">
      <c r="A2980" s="32"/>
    </row>
    <row r="2981" spans="1:1">
      <c r="A2981" s="32"/>
    </row>
    <row r="2982" spans="1:1">
      <c r="A2982" s="32"/>
    </row>
    <row r="2983" spans="1:1">
      <c r="A2983" s="32"/>
    </row>
    <row r="2984" spans="1:1">
      <c r="A2984" s="32"/>
    </row>
    <row r="2985" spans="1:1">
      <c r="A2985" s="32"/>
    </row>
    <row r="2986" spans="1:1">
      <c r="A2986" s="32"/>
    </row>
    <row r="2987" spans="1:1">
      <c r="A2987" s="32"/>
    </row>
    <row r="2988" spans="1:1">
      <c r="A2988" s="32"/>
    </row>
    <row r="2989" spans="1:1">
      <c r="A2989" s="32"/>
    </row>
    <row r="2990" spans="1:1">
      <c r="A2990" s="32"/>
    </row>
    <row r="2991" spans="1:1">
      <c r="A2991" s="32"/>
    </row>
    <row r="2992" spans="1:1">
      <c r="A2992" s="32"/>
    </row>
    <row r="2993" spans="1:1">
      <c r="A2993" s="32"/>
    </row>
    <row r="2994" spans="1:1">
      <c r="A2994" s="32"/>
    </row>
    <row r="2995" spans="1:1">
      <c r="A2995" s="32"/>
    </row>
    <row r="2996" spans="1:1">
      <c r="A2996" s="32"/>
    </row>
    <row r="2997" spans="1:1">
      <c r="A2997" s="32"/>
    </row>
    <row r="2998" spans="1:1">
      <c r="A2998" s="32"/>
    </row>
    <row r="2999" spans="1:1">
      <c r="A2999" s="32"/>
    </row>
    <row r="3000" spans="1:1">
      <c r="A3000" s="32"/>
    </row>
    <row r="3001" spans="1:1">
      <c r="A3001" s="32"/>
    </row>
    <row r="3002" spans="1:1">
      <c r="A3002" s="32"/>
    </row>
    <row r="3003" spans="1:1">
      <c r="A3003" s="32"/>
    </row>
    <row r="3004" spans="1:1">
      <c r="A3004" s="32"/>
    </row>
    <row r="3005" spans="1:1">
      <c r="A3005" s="32"/>
    </row>
    <row r="3006" spans="1:1">
      <c r="A3006" s="32"/>
    </row>
    <row r="3007" spans="1:1">
      <c r="A3007" s="32"/>
    </row>
    <row r="3008" spans="1:1">
      <c r="A3008" s="32"/>
    </row>
    <row r="3009" spans="1:1">
      <c r="A3009" s="32"/>
    </row>
    <row r="3010" spans="1:1">
      <c r="A3010" s="32"/>
    </row>
    <row r="3011" spans="1:1">
      <c r="A3011" s="32"/>
    </row>
    <row r="3012" spans="1:1">
      <c r="A3012" s="32"/>
    </row>
    <row r="3013" spans="1:1">
      <c r="A3013" s="32"/>
    </row>
    <row r="3014" spans="1:1">
      <c r="A3014" s="32"/>
    </row>
    <row r="3015" spans="1:1">
      <c r="A3015" s="32"/>
    </row>
    <row r="3016" spans="1:1">
      <c r="A3016" s="32"/>
    </row>
    <row r="3017" spans="1:1">
      <c r="A3017" s="32"/>
    </row>
    <row r="3018" spans="1:1">
      <c r="A3018" s="32"/>
    </row>
    <row r="3019" spans="1:1">
      <c r="A3019" s="32"/>
    </row>
    <row r="3020" spans="1:1">
      <c r="A3020" s="32"/>
    </row>
    <row r="3021" spans="1:1">
      <c r="A3021" s="32"/>
    </row>
    <row r="3022" spans="1:1">
      <c r="A3022" s="32"/>
    </row>
    <row r="3023" spans="1:1">
      <c r="A3023" s="32"/>
    </row>
    <row r="3024" spans="1:1">
      <c r="A3024" s="32"/>
    </row>
    <row r="3025" spans="1:1">
      <c r="A3025" s="32"/>
    </row>
    <row r="3026" spans="1:1">
      <c r="A3026" s="32"/>
    </row>
    <row r="3027" spans="1:1">
      <c r="A3027" s="32"/>
    </row>
    <row r="3028" spans="1:1">
      <c r="A3028" s="32"/>
    </row>
    <row r="3029" spans="1:1">
      <c r="A3029" s="32"/>
    </row>
    <row r="3030" spans="1:1">
      <c r="A3030" s="32"/>
    </row>
    <row r="3031" spans="1:1">
      <c r="A3031" s="32"/>
    </row>
    <row r="3032" spans="1:1">
      <c r="A3032" s="32"/>
    </row>
    <row r="3033" spans="1:1">
      <c r="A3033" s="32"/>
    </row>
    <row r="3034" spans="1:1">
      <c r="A3034" s="32"/>
    </row>
    <row r="3035" spans="1:1">
      <c r="A3035" s="32"/>
    </row>
    <row r="3036" spans="1:1">
      <c r="A3036" s="32"/>
    </row>
    <row r="3037" spans="1:1">
      <c r="A3037" s="32"/>
    </row>
    <row r="3038" spans="1:1">
      <c r="A3038" s="32"/>
    </row>
    <row r="3039" spans="1:1">
      <c r="A3039" s="32"/>
    </row>
    <row r="3040" spans="1:1">
      <c r="A3040" s="32"/>
    </row>
    <row r="3041" spans="1:1">
      <c r="A3041" s="32"/>
    </row>
    <row r="3042" spans="1:1">
      <c r="A3042" s="32"/>
    </row>
    <row r="3043" spans="1:1">
      <c r="A3043" s="32"/>
    </row>
    <row r="3044" spans="1:1">
      <c r="A3044" s="32"/>
    </row>
    <row r="3045" spans="1:1">
      <c r="A3045" s="32"/>
    </row>
    <row r="3046" spans="1:1">
      <c r="A3046" s="32"/>
    </row>
    <row r="3047" spans="1:1">
      <c r="A3047" s="32"/>
    </row>
    <row r="3048" spans="1:1">
      <c r="A3048" s="32"/>
    </row>
    <row r="3049" spans="1:1">
      <c r="A3049" s="32"/>
    </row>
    <row r="3050" spans="1:1">
      <c r="A3050" s="32"/>
    </row>
    <row r="3051" spans="1:1">
      <c r="A3051" s="32"/>
    </row>
    <row r="3052" spans="1:1">
      <c r="A3052" s="32"/>
    </row>
    <row r="3053" spans="1:1">
      <c r="A3053" s="32"/>
    </row>
    <row r="3054" spans="1:1">
      <c r="A3054" s="32"/>
    </row>
    <row r="3055" spans="1:1">
      <c r="A3055" s="32"/>
    </row>
    <row r="3056" spans="1:1">
      <c r="A3056" s="32"/>
    </row>
    <row r="3057" spans="1:1">
      <c r="A3057" s="32"/>
    </row>
    <row r="3058" spans="1:1">
      <c r="A3058" s="32"/>
    </row>
    <row r="3059" spans="1:1">
      <c r="A3059" s="32"/>
    </row>
    <row r="3060" spans="1:1">
      <c r="A3060" s="32"/>
    </row>
    <row r="3061" spans="1:1">
      <c r="A3061" s="32"/>
    </row>
    <row r="3062" spans="1:1">
      <c r="A3062" s="32"/>
    </row>
    <row r="3063" spans="1:1">
      <c r="A3063" s="32"/>
    </row>
    <row r="3064" spans="1:1">
      <c r="A3064" s="32"/>
    </row>
    <row r="3065" spans="1:1">
      <c r="A3065" s="32"/>
    </row>
    <row r="3066" spans="1:1">
      <c r="A3066" s="32"/>
    </row>
    <row r="3067" spans="1:1">
      <c r="A3067" s="32"/>
    </row>
    <row r="3068" spans="1:1">
      <c r="A3068" s="32"/>
    </row>
    <row r="3069" spans="1:1">
      <c r="A3069" s="32"/>
    </row>
    <row r="3070" spans="1:1">
      <c r="A3070" s="32"/>
    </row>
    <row r="3071" spans="1:1">
      <c r="A3071" s="32"/>
    </row>
    <row r="3072" spans="1:1">
      <c r="A3072" s="32"/>
    </row>
    <row r="3073" spans="1:1">
      <c r="A3073" s="32"/>
    </row>
    <row r="3074" spans="1:1">
      <c r="A3074" s="32"/>
    </row>
    <row r="3075" spans="1:1">
      <c r="A3075" s="32"/>
    </row>
    <row r="3076" spans="1:1">
      <c r="A3076" s="32"/>
    </row>
    <row r="3077" spans="1:1">
      <c r="A3077" s="32"/>
    </row>
    <row r="3078" spans="1:1">
      <c r="A3078" s="32"/>
    </row>
    <row r="3079" spans="1:1">
      <c r="A3079" s="32"/>
    </row>
    <row r="3080" spans="1:1">
      <c r="A3080" s="32"/>
    </row>
    <row r="3081" spans="1:1">
      <c r="A3081" s="32"/>
    </row>
    <row r="3082" spans="1:1">
      <c r="A3082" s="32"/>
    </row>
    <row r="3083" spans="1:1">
      <c r="A3083" s="32"/>
    </row>
    <row r="3084" spans="1:1">
      <c r="A3084" s="32"/>
    </row>
    <row r="3085" spans="1:1">
      <c r="A3085" s="32"/>
    </row>
    <row r="3086" spans="1:1">
      <c r="A3086" s="32"/>
    </row>
    <row r="3087" spans="1:1">
      <c r="A3087" s="32"/>
    </row>
    <row r="3088" spans="1:1">
      <c r="A3088" s="32"/>
    </row>
    <row r="3089" spans="1:1">
      <c r="A3089" s="32"/>
    </row>
    <row r="3090" spans="1:1">
      <c r="A3090" s="32"/>
    </row>
    <row r="3091" spans="1:1">
      <c r="A3091" s="32"/>
    </row>
    <row r="3092" spans="1:1">
      <c r="A3092" s="32"/>
    </row>
    <row r="3093" spans="1:1">
      <c r="A3093" s="32"/>
    </row>
    <row r="3094" spans="1:1">
      <c r="A3094" s="32"/>
    </row>
    <row r="3095" spans="1:1">
      <c r="A3095" s="32"/>
    </row>
    <row r="3096" spans="1:1">
      <c r="A3096" s="32"/>
    </row>
    <row r="3097" spans="1:1">
      <c r="A3097" s="32"/>
    </row>
    <row r="3098" spans="1:1">
      <c r="A3098" s="32"/>
    </row>
    <row r="3099" spans="1:1">
      <c r="A3099" s="32"/>
    </row>
    <row r="3100" spans="1:1">
      <c r="A3100" s="32"/>
    </row>
    <row r="3101" spans="1:1">
      <c r="A3101" s="32"/>
    </row>
    <row r="3102" spans="1:1">
      <c r="A3102" s="32"/>
    </row>
    <row r="3103" spans="1:1">
      <c r="A3103" s="32"/>
    </row>
    <row r="3104" spans="1:1">
      <c r="A3104" s="32"/>
    </row>
    <row r="3105" spans="1:1">
      <c r="A3105" s="32"/>
    </row>
    <row r="3106" spans="1:1">
      <c r="A3106" s="32"/>
    </row>
    <row r="3107" spans="1:1">
      <c r="A3107" s="32"/>
    </row>
    <row r="3108" spans="1:1">
      <c r="A3108" s="32"/>
    </row>
    <row r="3109" spans="1:1">
      <c r="A3109" s="32"/>
    </row>
    <row r="3110" spans="1:1">
      <c r="A3110" s="32"/>
    </row>
    <row r="3111" spans="1:1">
      <c r="A3111" s="32"/>
    </row>
    <row r="3112" spans="1:1">
      <c r="A3112" s="32"/>
    </row>
    <row r="3113" spans="1:1">
      <c r="A3113" s="32"/>
    </row>
    <row r="3114" spans="1:1">
      <c r="A3114" s="32"/>
    </row>
    <row r="3115" spans="1:1">
      <c r="A3115" s="32"/>
    </row>
    <row r="3116" spans="1:1">
      <c r="A3116" s="32"/>
    </row>
    <row r="3117" spans="1:1">
      <c r="A3117" s="32"/>
    </row>
    <row r="3118" spans="1:1">
      <c r="A3118" s="32"/>
    </row>
    <row r="3119" spans="1:1">
      <c r="A3119" s="32"/>
    </row>
    <row r="3120" spans="1:1">
      <c r="A3120" s="32"/>
    </row>
    <row r="3121" spans="1:1">
      <c r="A3121" s="32"/>
    </row>
    <row r="3122" spans="1:1">
      <c r="A3122" s="32"/>
    </row>
    <row r="3123" spans="1:1">
      <c r="A3123" s="32"/>
    </row>
    <row r="3124" spans="1:1">
      <c r="A3124" s="32"/>
    </row>
    <row r="3125" spans="1:1">
      <c r="A3125" s="32"/>
    </row>
    <row r="3126" spans="1:1">
      <c r="A3126" s="32"/>
    </row>
    <row r="3127" spans="1:1">
      <c r="A3127" s="32"/>
    </row>
    <row r="3128" spans="1:1">
      <c r="A3128" s="32"/>
    </row>
    <row r="3129" spans="1:1">
      <c r="A3129" s="32"/>
    </row>
    <row r="3130" spans="1:1">
      <c r="A3130" s="32"/>
    </row>
    <row r="3131" spans="1:1">
      <c r="A3131" s="32"/>
    </row>
    <row r="3132" spans="1:1">
      <c r="A3132" s="32"/>
    </row>
    <row r="3133" spans="1:1">
      <c r="A3133" s="32"/>
    </row>
    <row r="3134" spans="1:1">
      <c r="A3134" s="32"/>
    </row>
    <row r="3135" spans="1:1">
      <c r="A3135" s="32"/>
    </row>
    <row r="3136" spans="1:1">
      <c r="A3136" s="32"/>
    </row>
    <row r="3137" spans="1:1">
      <c r="A3137" s="32"/>
    </row>
    <row r="3138" spans="1:1">
      <c r="A3138" s="32"/>
    </row>
    <row r="3139" spans="1:1">
      <c r="A3139" s="32"/>
    </row>
    <row r="3140" spans="1:1">
      <c r="A3140" s="32"/>
    </row>
    <row r="3141" spans="1:1">
      <c r="A3141" s="32"/>
    </row>
    <row r="3142" spans="1:1">
      <c r="A3142" s="32"/>
    </row>
    <row r="3143" spans="1:1">
      <c r="A3143" s="32"/>
    </row>
    <row r="3144" spans="1:1">
      <c r="A3144" s="32"/>
    </row>
    <row r="3145" spans="1:1">
      <c r="A3145" s="32"/>
    </row>
    <row r="3146" spans="1:1">
      <c r="A3146" s="32"/>
    </row>
    <row r="3147" spans="1:1">
      <c r="A3147" s="32"/>
    </row>
    <row r="3148" spans="1:1">
      <c r="A3148" s="32"/>
    </row>
    <row r="3149" spans="1:1">
      <c r="A3149" s="32"/>
    </row>
    <row r="3150" spans="1:1">
      <c r="A3150" s="32"/>
    </row>
    <row r="3151" spans="1:1">
      <c r="A3151" s="32"/>
    </row>
    <row r="3152" spans="1:1">
      <c r="A3152" s="32"/>
    </row>
    <row r="3153" spans="1:1">
      <c r="A3153" s="32"/>
    </row>
    <row r="3154" spans="1:1">
      <c r="A3154" s="32"/>
    </row>
    <row r="3155" spans="1:1">
      <c r="A3155" s="32"/>
    </row>
    <row r="3156" spans="1:1">
      <c r="A3156" s="32"/>
    </row>
    <row r="3157" spans="1:1">
      <c r="A3157" s="32"/>
    </row>
    <row r="3158" spans="1:1">
      <c r="A3158" s="32"/>
    </row>
    <row r="3159" spans="1:1">
      <c r="A3159" s="32"/>
    </row>
    <row r="3160" spans="1:1">
      <c r="A3160" s="32"/>
    </row>
    <row r="3161" spans="1:1">
      <c r="A3161" s="32"/>
    </row>
    <row r="3162" spans="1:1">
      <c r="A3162" s="32"/>
    </row>
    <row r="3163" spans="1:1">
      <c r="A3163" s="32"/>
    </row>
    <row r="3164" spans="1:1">
      <c r="A3164" s="32"/>
    </row>
    <row r="3165" spans="1:1">
      <c r="A3165" s="32"/>
    </row>
    <row r="3166" spans="1:1">
      <c r="A3166" s="32"/>
    </row>
    <row r="3167" spans="1:1">
      <c r="A3167" s="32"/>
    </row>
    <row r="3168" spans="1:1">
      <c r="A3168" s="32"/>
    </row>
    <row r="3169" spans="1:1">
      <c r="A3169" s="32"/>
    </row>
    <row r="3170" spans="1:1">
      <c r="A3170" s="32"/>
    </row>
    <row r="3171" spans="1:1">
      <c r="A3171" s="32"/>
    </row>
    <row r="3172" spans="1:1">
      <c r="A3172" s="32"/>
    </row>
    <row r="3173" spans="1:1">
      <c r="A3173" s="32"/>
    </row>
    <row r="3174" spans="1:1">
      <c r="A3174" s="32"/>
    </row>
    <row r="3175" spans="1:1">
      <c r="A3175" s="32"/>
    </row>
    <row r="3176" spans="1:1">
      <c r="A3176" s="32"/>
    </row>
    <row r="3177" spans="1:1">
      <c r="A3177" s="32"/>
    </row>
    <row r="3178" spans="1:1">
      <c r="A3178" s="32"/>
    </row>
    <row r="3179" spans="1:1">
      <c r="A3179" s="32"/>
    </row>
    <row r="3180" spans="1:1">
      <c r="A3180" s="32"/>
    </row>
    <row r="3181" spans="1:1">
      <c r="A3181" s="32"/>
    </row>
    <row r="3182" spans="1:1">
      <c r="A3182" s="32"/>
    </row>
    <row r="3183" spans="1:1">
      <c r="A3183" s="32"/>
    </row>
    <row r="3184" spans="1:1">
      <c r="A3184" s="32"/>
    </row>
    <row r="3185" spans="1:1">
      <c r="A3185" s="32"/>
    </row>
    <row r="3186" spans="1:1">
      <c r="A3186" s="32"/>
    </row>
    <row r="3187" spans="1:1">
      <c r="A3187" s="32"/>
    </row>
    <row r="3188" spans="1:1">
      <c r="A3188" s="32"/>
    </row>
    <row r="3189" spans="1:1">
      <c r="A3189" s="32"/>
    </row>
    <row r="3190" spans="1:1">
      <c r="A3190" s="32"/>
    </row>
    <row r="3191" spans="1:1">
      <c r="A3191" s="32"/>
    </row>
    <row r="3192" spans="1:1">
      <c r="A3192" s="32"/>
    </row>
    <row r="3193" spans="1:1">
      <c r="A3193" s="32"/>
    </row>
    <row r="3194" spans="1:1">
      <c r="A3194" s="32"/>
    </row>
    <row r="3195" spans="1:1">
      <c r="A3195" s="32"/>
    </row>
    <row r="3196" spans="1:1">
      <c r="A3196" s="32"/>
    </row>
    <row r="3197" spans="1:1">
      <c r="A3197" s="32"/>
    </row>
    <row r="3198" spans="1:1">
      <c r="A3198" s="32"/>
    </row>
    <row r="3199" spans="1:1">
      <c r="A3199" s="32"/>
    </row>
    <row r="3200" spans="1:1">
      <c r="A3200" s="32"/>
    </row>
    <row r="3201" spans="1:1">
      <c r="A3201" s="32"/>
    </row>
    <row r="3202" spans="1:1">
      <c r="A3202" s="32"/>
    </row>
    <row r="3203" spans="1:1">
      <c r="A3203" s="32"/>
    </row>
    <row r="3204" spans="1:1">
      <c r="A3204" s="32"/>
    </row>
    <row r="3205" spans="1:1">
      <c r="A3205" s="32"/>
    </row>
    <row r="3206" spans="1:1">
      <c r="A3206" s="32"/>
    </row>
    <row r="3207" spans="1:1">
      <c r="A3207" s="32"/>
    </row>
    <row r="3208" spans="1:1">
      <c r="A3208" s="32"/>
    </row>
    <row r="3209" spans="1:1">
      <c r="A3209" s="32"/>
    </row>
    <row r="3210" spans="1:1">
      <c r="A3210" s="32"/>
    </row>
    <row r="3211" spans="1:1">
      <c r="A3211" s="32"/>
    </row>
    <row r="3212" spans="1:1">
      <c r="A3212" s="32"/>
    </row>
    <row r="3213" spans="1:1">
      <c r="A3213" s="32"/>
    </row>
    <row r="3214" spans="1:1">
      <c r="A3214" s="32"/>
    </row>
    <row r="3215" spans="1:1">
      <c r="A3215" s="32"/>
    </row>
    <row r="3216" spans="1:1">
      <c r="A3216" s="32"/>
    </row>
    <row r="3217" spans="1:1">
      <c r="A3217" s="32"/>
    </row>
    <row r="3218" spans="1:1">
      <c r="A3218" s="32"/>
    </row>
    <row r="3219" spans="1:1">
      <c r="A3219" s="32"/>
    </row>
    <row r="3220" spans="1:1">
      <c r="A3220" s="32"/>
    </row>
    <row r="3221" spans="1:1">
      <c r="A3221" s="32"/>
    </row>
    <row r="3222" spans="1:1">
      <c r="A3222" s="32"/>
    </row>
    <row r="3223" spans="1:1">
      <c r="A3223" s="32"/>
    </row>
    <row r="3224" spans="1:1">
      <c r="A3224" s="32"/>
    </row>
    <row r="3225" spans="1:1">
      <c r="A3225" s="32"/>
    </row>
    <row r="3226" spans="1:1">
      <c r="A3226" s="32"/>
    </row>
    <row r="3227" spans="1:1">
      <c r="A3227" s="32"/>
    </row>
    <row r="3228" spans="1:1">
      <c r="A3228" s="32"/>
    </row>
    <row r="3229" spans="1:1">
      <c r="A3229" s="32"/>
    </row>
    <row r="3230" spans="1:1">
      <c r="A3230" s="32"/>
    </row>
    <row r="3231" spans="1:1">
      <c r="A3231" s="32"/>
    </row>
    <row r="3232" spans="1:1">
      <c r="A3232" s="32"/>
    </row>
    <row r="3233" spans="1:1">
      <c r="A3233" s="32"/>
    </row>
    <row r="3234" spans="1:1">
      <c r="A3234" s="32"/>
    </row>
    <row r="3235" spans="1:1">
      <c r="A3235" s="32"/>
    </row>
    <row r="3236" spans="1:1">
      <c r="A3236" s="32"/>
    </row>
    <row r="3237" spans="1:1">
      <c r="A3237" s="32"/>
    </row>
    <row r="3238" spans="1:1">
      <c r="A3238" s="32"/>
    </row>
    <row r="3239" spans="1:1">
      <c r="A3239" s="32"/>
    </row>
    <row r="3240" spans="1:1">
      <c r="A3240" s="32"/>
    </row>
    <row r="3241" spans="1:1">
      <c r="A3241" s="32"/>
    </row>
    <row r="3242" spans="1:1">
      <c r="A3242" s="32"/>
    </row>
    <row r="3243" spans="1:1">
      <c r="A3243" s="32"/>
    </row>
    <row r="3244" spans="1:1">
      <c r="A3244" s="32"/>
    </row>
    <row r="3245" spans="1:1">
      <c r="A3245" s="32"/>
    </row>
    <row r="3246" spans="1:1">
      <c r="A3246" s="32"/>
    </row>
    <row r="3247" spans="1:1">
      <c r="A3247" s="32"/>
    </row>
    <row r="3248" spans="1:1">
      <c r="A3248" s="32"/>
    </row>
    <row r="3249" spans="1:1">
      <c r="A3249" s="32"/>
    </row>
    <row r="3250" spans="1:1">
      <c r="A3250" s="32"/>
    </row>
    <row r="3251" spans="1:1">
      <c r="A3251" s="32"/>
    </row>
    <row r="3252" spans="1:1">
      <c r="A3252" s="32"/>
    </row>
    <row r="3253" spans="1:1">
      <c r="A3253" s="32"/>
    </row>
    <row r="3254" spans="1:1">
      <c r="A3254" s="32"/>
    </row>
    <row r="3255" spans="1:1">
      <c r="A3255" s="32"/>
    </row>
    <row r="3256" spans="1:1">
      <c r="A3256" s="32"/>
    </row>
    <row r="3257" spans="1:1">
      <c r="A3257" s="32"/>
    </row>
    <row r="3258" spans="1:1">
      <c r="A3258" s="32"/>
    </row>
    <row r="3259" spans="1:1">
      <c r="A3259" s="32"/>
    </row>
    <row r="3260" spans="1:1">
      <c r="A3260" s="32"/>
    </row>
    <row r="3261" spans="1:1">
      <c r="A3261" s="32"/>
    </row>
    <row r="3262" spans="1:1">
      <c r="A3262" s="32"/>
    </row>
    <row r="3263" spans="1:1">
      <c r="A3263" s="32"/>
    </row>
    <row r="3264" spans="1:1">
      <c r="A3264" s="32"/>
    </row>
    <row r="3265" spans="1:1">
      <c r="A3265" s="32"/>
    </row>
    <row r="3266" spans="1:1">
      <c r="A3266" s="32"/>
    </row>
    <row r="3267" spans="1:1">
      <c r="A3267" s="32"/>
    </row>
    <row r="3268" spans="1:1">
      <c r="A3268" s="32"/>
    </row>
    <row r="3269" spans="1:1">
      <c r="A3269" s="32"/>
    </row>
    <row r="3270" spans="1:1">
      <c r="A3270" s="32"/>
    </row>
    <row r="3271" spans="1:1">
      <c r="A3271" s="32"/>
    </row>
    <row r="3272" spans="1:1">
      <c r="A3272" s="32"/>
    </row>
    <row r="3273" spans="1:1">
      <c r="A3273" s="32"/>
    </row>
    <row r="3274" spans="1:1">
      <c r="A3274" s="32"/>
    </row>
    <row r="3275" spans="1:1">
      <c r="A3275" s="32"/>
    </row>
    <row r="3276" spans="1:1">
      <c r="A3276" s="32"/>
    </row>
    <row r="3277" spans="1:1">
      <c r="A3277" s="32"/>
    </row>
    <row r="3278" spans="1:1">
      <c r="A3278" s="32"/>
    </row>
    <row r="3279" spans="1:1">
      <c r="A3279" s="32"/>
    </row>
    <row r="3280" spans="1:1">
      <c r="A3280" s="32"/>
    </row>
    <row r="3281" spans="1:1">
      <c r="A3281" s="32"/>
    </row>
    <row r="3282" spans="1:1">
      <c r="A3282" s="32"/>
    </row>
    <row r="3283" spans="1:1">
      <c r="A3283" s="32"/>
    </row>
    <row r="3284" spans="1:1">
      <c r="A3284" s="32"/>
    </row>
    <row r="3285" spans="1:1">
      <c r="A3285" s="32"/>
    </row>
    <row r="3286" spans="1:1">
      <c r="A3286" s="32"/>
    </row>
    <row r="3287" spans="1:1">
      <c r="A3287" s="32"/>
    </row>
    <row r="3288" spans="1:1">
      <c r="A3288" s="32"/>
    </row>
    <row r="3289" spans="1:1">
      <c r="A3289" s="32"/>
    </row>
    <row r="3290" spans="1:1">
      <c r="A3290" s="32"/>
    </row>
    <row r="3291" spans="1:1">
      <c r="A3291" s="32"/>
    </row>
    <row r="3292" spans="1:1">
      <c r="A3292" s="32"/>
    </row>
    <row r="3293" spans="1:1">
      <c r="A3293" s="32"/>
    </row>
    <row r="3294" spans="1:1">
      <c r="A3294" s="32"/>
    </row>
    <row r="3295" spans="1:1">
      <c r="A3295" s="32"/>
    </row>
    <row r="3296" spans="1:1">
      <c r="A3296" s="32"/>
    </row>
    <row r="3297" spans="1:1">
      <c r="A3297" s="32"/>
    </row>
    <row r="3298" spans="1:1">
      <c r="A3298" s="32"/>
    </row>
    <row r="3299" spans="1:1">
      <c r="A3299" s="32"/>
    </row>
    <row r="3300" spans="1:1">
      <c r="A3300" s="32"/>
    </row>
    <row r="3301" spans="1:1">
      <c r="A3301" s="32"/>
    </row>
    <row r="3302" spans="1:1">
      <c r="A3302" s="32"/>
    </row>
    <row r="3303" spans="1:1">
      <c r="A3303" s="32"/>
    </row>
    <row r="3304" spans="1:1">
      <c r="A3304" s="32"/>
    </row>
    <row r="3305" spans="1:1">
      <c r="A3305" s="32"/>
    </row>
    <row r="3306" spans="1:1">
      <c r="A3306" s="32"/>
    </row>
    <row r="3307" spans="1:1">
      <c r="A3307" s="32"/>
    </row>
    <row r="3308" spans="1:1">
      <c r="A3308" s="32"/>
    </row>
    <row r="3309" spans="1:1">
      <c r="A3309" s="32"/>
    </row>
    <row r="3310" spans="1:1">
      <c r="A3310" s="32"/>
    </row>
    <row r="3311" spans="1:1">
      <c r="A3311" s="32"/>
    </row>
    <row r="3312" spans="1:1">
      <c r="A3312" s="32"/>
    </row>
    <row r="3313" spans="1:1">
      <c r="A3313" s="32"/>
    </row>
    <row r="3314" spans="1:1">
      <c r="A3314" s="32"/>
    </row>
    <row r="3315" spans="1:1">
      <c r="A3315" s="32"/>
    </row>
    <row r="3316" spans="1:1">
      <c r="A3316" s="32"/>
    </row>
    <row r="3317" spans="1:1">
      <c r="A3317" s="32"/>
    </row>
    <row r="3318" spans="1:1">
      <c r="A3318" s="32"/>
    </row>
    <row r="3319" spans="1:1">
      <c r="A3319" s="32"/>
    </row>
    <row r="3320" spans="1:1">
      <c r="A3320" s="32"/>
    </row>
    <row r="3321" spans="1:1">
      <c r="A3321" s="32"/>
    </row>
    <row r="3322" spans="1:1">
      <c r="A3322" s="32"/>
    </row>
    <row r="3323" spans="1:1">
      <c r="A3323" s="32"/>
    </row>
    <row r="3324" spans="1:1">
      <c r="A3324" s="32"/>
    </row>
    <row r="3325" spans="1:1">
      <c r="A3325" s="32"/>
    </row>
    <row r="3326" spans="1:1">
      <c r="A3326" s="32"/>
    </row>
    <row r="3327" spans="1:1">
      <c r="A3327" s="32"/>
    </row>
    <row r="3328" spans="1:1">
      <c r="A3328" s="32"/>
    </row>
    <row r="3329" spans="1:1">
      <c r="A3329" s="32"/>
    </row>
    <row r="3330" spans="1:1">
      <c r="A3330" s="32"/>
    </row>
    <row r="3331" spans="1:1">
      <c r="A3331" s="32"/>
    </row>
    <row r="3332" spans="1:1">
      <c r="A3332" s="32"/>
    </row>
    <row r="3333" spans="1:1">
      <c r="A3333" s="32"/>
    </row>
    <row r="3334" spans="1:1">
      <c r="A3334" s="32"/>
    </row>
    <row r="3335" spans="1:1">
      <c r="A3335" s="32"/>
    </row>
    <row r="3336" spans="1:1">
      <c r="A3336" s="32"/>
    </row>
    <row r="3337" spans="1:1">
      <c r="A3337" s="32"/>
    </row>
    <row r="3338" spans="1:1">
      <c r="A3338" s="32"/>
    </row>
    <row r="3339" spans="1:1">
      <c r="A3339" s="32"/>
    </row>
    <row r="3340" spans="1:1">
      <c r="A3340" s="32"/>
    </row>
    <row r="3341" spans="1:1">
      <c r="A3341" s="32"/>
    </row>
    <row r="3342" spans="1:1">
      <c r="A3342" s="32"/>
    </row>
    <row r="3343" spans="1:1">
      <c r="A3343" s="32"/>
    </row>
    <row r="3344" spans="1:1">
      <c r="A3344" s="32"/>
    </row>
    <row r="3345" spans="1:1">
      <c r="A3345" s="32"/>
    </row>
    <row r="3346" spans="1:1">
      <c r="A3346" s="32"/>
    </row>
    <row r="3347" spans="1:1">
      <c r="A3347" s="32"/>
    </row>
    <row r="3348" spans="1:1">
      <c r="A3348" s="32"/>
    </row>
    <row r="3349" spans="1:1">
      <c r="A3349" s="32"/>
    </row>
    <row r="3350" spans="1:1">
      <c r="A3350" s="32"/>
    </row>
    <row r="3351" spans="1:1">
      <c r="A3351" s="32"/>
    </row>
    <row r="3352" spans="1:1">
      <c r="A3352" s="32"/>
    </row>
    <row r="3353" spans="1:1">
      <c r="A3353" s="32"/>
    </row>
    <row r="3354" spans="1:1">
      <c r="A3354" s="32"/>
    </row>
    <row r="3355" spans="1:1">
      <c r="A3355" s="32"/>
    </row>
    <row r="3356" spans="1:1">
      <c r="A3356" s="32"/>
    </row>
    <row r="3357" spans="1:1">
      <c r="A3357" s="32"/>
    </row>
    <row r="3358" spans="1:1">
      <c r="A3358" s="32"/>
    </row>
    <row r="3359" spans="1:1">
      <c r="A3359" s="32"/>
    </row>
    <row r="3360" spans="1:1">
      <c r="A3360" s="32"/>
    </row>
    <row r="3361" spans="1:1">
      <c r="A3361" s="32"/>
    </row>
    <row r="3362" spans="1:1">
      <c r="A3362" s="32"/>
    </row>
    <row r="3363" spans="1:1">
      <c r="A3363" s="32"/>
    </row>
    <row r="3364" spans="1:1">
      <c r="A3364" s="32"/>
    </row>
    <row r="3365" spans="1:1">
      <c r="A3365" s="32"/>
    </row>
    <row r="3366" spans="1:1">
      <c r="A3366" s="32"/>
    </row>
    <row r="3367" spans="1:1">
      <c r="A3367" s="32"/>
    </row>
    <row r="3368" spans="1:1">
      <c r="A3368" s="32"/>
    </row>
    <row r="3369" spans="1:1">
      <c r="A3369" s="32"/>
    </row>
    <row r="3370" spans="1:1">
      <c r="A3370" s="32"/>
    </row>
    <row r="3371" spans="1:1">
      <c r="A3371" s="32"/>
    </row>
    <row r="3372" spans="1:1">
      <c r="A3372" s="32"/>
    </row>
    <row r="3373" spans="1:1">
      <c r="A3373" s="32"/>
    </row>
    <row r="3374" spans="1:1">
      <c r="A3374" s="32"/>
    </row>
    <row r="3375" spans="1:1">
      <c r="A3375" s="32"/>
    </row>
    <row r="3376" spans="1:1">
      <c r="A3376" s="32"/>
    </row>
    <row r="3377" spans="1:1">
      <c r="A3377" s="32"/>
    </row>
    <row r="3378" spans="1:1">
      <c r="A3378" s="32"/>
    </row>
    <row r="3379" spans="1:1">
      <c r="A3379" s="32"/>
    </row>
    <row r="3380" spans="1:1">
      <c r="A3380" s="32"/>
    </row>
    <row r="3381" spans="1:1">
      <c r="A3381" s="32"/>
    </row>
    <row r="3382" spans="1:1">
      <c r="A3382" s="32"/>
    </row>
    <row r="3383" spans="1:1">
      <c r="A3383" s="32"/>
    </row>
    <row r="3384" spans="1:1">
      <c r="A3384" s="32"/>
    </row>
    <row r="3385" spans="1:1">
      <c r="A3385" s="32"/>
    </row>
    <row r="3386" spans="1:1">
      <c r="A3386" s="32"/>
    </row>
    <row r="3387" spans="1:1">
      <c r="A3387" s="32"/>
    </row>
    <row r="3388" spans="1:1">
      <c r="A3388" s="32"/>
    </row>
    <row r="3389" spans="1:1">
      <c r="A3389" s="32"/>
    </row>
    <row r="3390" spans="1:1">
      <c r="A3390" s="32"/>
    </row>
    <row r="3391" spans="1:1">
      <c r="A3391" s="32"/>
    </row>
    <row r="3392" spans="1:1">
      <c r="A3392" s="32"/>
    </row>
    <row r="3393" spans="1:1">
      <c r="A3393" s="32"/>
    </row>
    <row r="3394" spans="1:1">
      <c r="A3394" s="32"/>
    </row>
    <row r="3395" spans="1:1">
      <c r="A3395" s="32"/>
    </row>
    <row r="3396" spans="1:1">
      <c r="A3396" s="32"/>
    </row>
    <row r="3397" spans="1:1">
      <c r="A3397" s="32"/>
    </row>
    <row r="3398" spans="1:1">
      <c r="A3398" s="32"/>
    </row>
    <row r="3399" spans="1:1">
      <c r="A3399" s="32"/>
    </row>
    <row r="3400" spans="1:1">
      <c r="A3400" s="32"/>
    </row>
    <row r="3401" spans="1:1">
      <c r="A3401" s="32"/>
    </row>
    <row r="3402" spans="1:1">
      <c r="A3402" s="32"/>
    </row>
    <row r="3403" spans="1:1">
      <c r="A3403" s="32"/>
    </row>
    <row r="3404" spans="1:1">
      <c r="A3404" s="32"/>
    </row>
    <row r="3405" spans="1:1">
      <c r="A3405" s="32"/>
    </row>
    <row r="3406" spans="1:1">
      <c r="A3406" s="32"/>
    </row>
    <row r="3407" spans="1:1">
      <c r="A3407" s="32"/>
    </row>
    <row r="3408" spans="1:1">
      <c r="A3408" s="32"/>
    </row>
    <row r="3409" spans="1:1">
      <c r="A3409" s="32"/>
    </row>
    <row r="3410" spans="1:1">
      <c r="A3410" s="32"/>
    </row>
    <row r="3411" spans="1:1">
      <c r="A3411" s="32"/>
    </row>
    <row r="3412" spans="1:1">
      <c r="A3412" s="32"/>
    </row>
    <row r="3413" spans="1:1">
      <c r="A3413" s="32"/>
    </row>
    <row r="3414" spans="1:1">
      <c r="A3414" s="32"/>
    </row>
    <row r="3415" spans="1:1">
      <c r="A3415" s="32"/>
    </row>
    <row r="3416" spans="1:1">
      <c r="A3416" s="32"/>
    </row>
    <row r="3417" spans="1:1">
      <c r="A3417" s="32"/>
    </row>
    <row r="3418" spans="1:1">
      <c r="A3418" s="32"/>
    </row>
    <row r="3419" spans="1:1">
      <c r="A3419" s="32"/>
    </row>
    <row r="3420" spans="1:1">
      <c r="A3420" s="32"/>
    </row>
    <row r="3421" spans="1:1">
      <c r="A3421" s="32"/>
    </row>
    <row r="3422" spans="1:1">
      <c r="A3422" s="32"/>
    </row>
    <row r="3423" spans="1:1">
      <c r="A3423" s="32"/>
    </row>
    <row r="3424" spans="1:1">
      <c r="A3424" s="32"/>
    </row>
    <row r="3425" spans="1:1">
      <c r="A3425" s="32"/>
    </row>
    <row r="3426" spans="1:1">
      <c r="A3426" s="32"/>
    </row>
    <row r="3427" spans="1:1">
      <c r="A3427" s="32"/>
    </row>
    <row r="3428" spans="1:1">
      <c r="A3428" s="32"/>
    </row>
    <row r="3429" spans="1:1">
      <c r="A3429" s="32"/>
    </row>
    <row r="3430" spans="1:1">
      <c r="A3430" s="32"/>
    </row>
    <row r="3431" spans="1:1">
      <c r="A3431" s="32"/>
    </row>
    <row r="3432" spans="1:1">
      <c r="A3432" s="32"/>
    </row>
    <row r="3433" spans="1:1">
      <c r="A3433" s="32"/>
    </row>
    <row r="3434" spans="1:1">
      <c r="A3434" s="32"/>
    </row>
    <row r="3435" spans="1:1">
      <c r="A3435" s="32"/>
    </row>
    <row r="3436" spans="1:1">
      <c r="A3436" s="32"/>
    </row>
    <row r="3437" spans="1:1">
      <c r="A3437" s="32"/>
    </row>
    <row r="3438" spans="1:1">
      <c r="A3438" s="32"/>
    </row>
    <row r="3439" spans="1:1">
      <c r="A3439" s="32"/>
    </row>
    <row r="3440" spans="1:1">
      <c r="A3440" s="32"/>
    </row>
    <row r="3441" spans="1:1">
      <c r="A3441" s="32"/>
    </row>
    <row r="3442" spans="1:1">
      <c r="A3442" s="32"/>
    </row>
    <row r="3443" spans="1:1">
      <c r="A3443" s="32"/>
    </row>
    <row r="3444" spans="1:1">
      <c r="A3444" s="32"/>
    </row>
    <row r="3445" spans="1:1">
      <c r="A3445" s="32"/>
    </row>
    <row r="3446" spans="1:1">
      <c r="A3446" s="32"/>
    </row>
    <row r="3447" spans="1:1">
      <c r="A3447" s="32"/>
    </row>
    <row r="3448" spans="1:1">
      <c r="A3448" s="32"/>
    </row>
    <row r="3449" spans="1:1">
      <c r="A3449" s="32"/>
    </row>
    <row r="3450" spans="1:1">
      <c r="A3450" s="32"/>
    </row>
    <row r="3451" spans="1:1">
      <c r="A3451" s="32"/>
    </row>
    <row r="3452" spans="1:1">
      <c r="A3452" s="32"/>
    </row>
    <row r="3453" spans="1:1">
      <c r="A3453" s="32"/>
    </row>
    <row r="3454" spans="1:1">
      <c r="A3454" s="32"/>
    </row>
    <row r="3455" spans="1:1">
      <c r="A3455" s="32"/>
    </row>
    <row r="3456" spans="1:1">
      <c r="A3456" s="32"/>
    </row>
    <row r="3457" spans="1:1">
      <c r="A3457" s="32"/>
    </row>
    <row r="3458" spans="1:1">
      <c r="A3458" s="32"/>
    </row>
    <row r="3459" spans="1:1">
      <c r="A3459" s="32"/>
    </row>
    <row r="3460" spans="1:1">
      <c r="A3460" s="32"/>
    </row>
    <row r="3461" spans="1:1">
      <c r="A3461" s="32"/>
    </row>
    <row r="3462" spans="1:1">
      <c r="A3462" s="32"/>
    </row>
    <row r="3463" spans="1:1">
      <c r="A3463" s="32"/>
    </row>
    <row r="3464" spans="1:1">
      <c r="A3464" s="32"/>
    </row>
    <row r="3465" spans="1:1">
      <c r="A3465" s="32"/>
    </row>
    <row r="3466" spans="1:1">
      <c r="A3466" s="32"/>
    </row>
    <row r="3467" spans="1:1">
      <c r="A3467" s="32"/>
    </row>
    <row r="3468" spans="1:1">
      <c r="A3468" s="32"/>
    </row>
    <row r="3469" spans="1:1">
      <c r="A3469" s="32"/>
    </row>
    <row r="3470" spans="1:1">
      <c r="A3470" s="32"/>
    </row>
    <row r="3471" spans="1:1">
      <c r="A3471" s="32"/>
    </row>
    <row r="3472" spans="1:1">
      <c r="A3472" s="32"/>
    </row>
    <row r="3473" spans="1:1">
      <c r="A3473" s="32"/>
    </row>
    <row r="3474" spans="1:1">
      <c r="A3474" s="32"/>
    </row>
    <row r="3475" spans="1:1">
      <c r="A3475" s="32"/>
    </row>
    <row r="3476" spans="1:1">
      <c r="A3476" s="32"/>
    </row>
    <row r="3477" spans="1:1">
      <c r="A3477" s="32"/>
    </row>
    <row r="3478" spans="1:1">
      <c r="A3478" s="32"/>
    </row>
    <row r="3479" spans="1:1">
      <c r="A3479" s="32"/>
    </row>
    <row r="3480" spans="1:1">
      <c r="A3480" s="32"/>
    </row>
    <row r="3481" spans="1:1">
      <c r="A3481" s="32"/>
    </row>
    <row r="3482" spans="1:1">
      <c r="A3482" s="32"/>
    </row>
    <row r="3483" spans="1:1">
      <c r="A3483" s="32"/>
    </row>
    <row r="3484" spans="1:1">
      <c r="A3484" s="32"/>
    </row>
    <row r="3485" spans="1:1">
      <c r="A3485" s="32"/>
    </row>
    <row r="3486" spans="1:1">
      <c r="A3486" s="32"/>
    </row>
    <row r="3487" spans="1:1">
      <c r="A3487" s="32"/>
    </row>
    <row r="3488" spans="1:1">
      <c r="A3488" s="32"/>
    </row>
    <row r="3489" spans="1:1">
      <c r="A3489" s="32"/>
    </row>
    <row r="3490" spans="1:1">
      <c r="A3490" s="32"/>
    </row>
    <row r="3491" spans="1:1">
      <c r="A3491" s="32"/>
    </row>
    <row r="3492" spans="1:1">
      <c r="A3492" s="32"/>
    </row>
    <row r="3493" spans="1:1">
      <c r="A3493" s="32"/>
    </row>
    <row r="3494" spans="1:1">
      <c r="A3494" s="32"/>
    </row>
    <row r="3495" spans="1:1">
      <c r="A3495" s="32"/>
    </row>
    <row r="3496" spans="1:1">
      <c r="A3496" s="32"/>
    </row>
    <row r="3497" spans="1:1">
      <c r="A3497" s="32"/>
    </row>
    <row r="3498" spans="1:1">
      <c r="A3498" s="32"/>
    </row>
    <row r="3499" spans="1:1">
      <c r="A3499" s="32"/>
    </row>
    <row r="3500" spans="1:1">
      <c r="A3500" s="32"/>
    </row>
    <row r="3501" spans="1:1">
      <c r="A3501" s="32"/>
    </row>
    <row r="3502" spans="1:1">
      <c r="A3502" s="32"/>
    </row>
    <row r="3503" spans="1:1">
      <c r="A3503" s="32"/>
    </row>
    <row r="3504" spans="1:1">
      <c r="A3504" s="32"/>
    </row>
    <row r="3505" spans="1:1">
      <c r="A3505" s="32"/>
    </row>
    <row r="3506" spans="1:1">
      <c r="A3506" s="32"/>
    </row>
    <row r="3507" spans="1:1">
      <c r="A3507" s="32"/>
    </row>
    <row r="3508" spans="1:1">
      <c r="A3508" s="32"/>
    </row>
    <row r="3509" spans="1:1">
      <c r="A3509" s="32"/>
    </row>
    <row r="3510" spans="1:1">
      <c r="A3510" s="32"/>
    </row>
    <row r="3511" spans="1:1">
      <c r="A3511" s="32"/>
    </row>
    <row r="3512" spans="1:1">
      <c r="A3512" s="32"/>
    </row>
    <row r="3513" spans="1:1">
      <c r="A3513" s="32"/>
    </row>
    <row r="3514" spans="1:1">
      <c r="A3514" s="32"/>
    </row>
    <row r="3515" spans="1:1">
      <c r="A3515" s="32"/>
    </row>
    <row r="3516" spans="1:1">
      <c r="A3516" s="32"/>
    </row>
    <row r="3517" spans="1:1">
      <c r="A3517" s="32"/>
    </row>
    <row r="3518" spans="1:1">
      <c r="A3518" s="32"/>
    </row>
    <row r="3519" spans="1:1">
      <c r="A3519" s="32"/>
    </row>
    <row r="3520" spans="1:1">
      <c r="A3520" s="32"/>
    </row>
    <row r="3521" spans="1:1">
      <c r="A3521" s="32"/>
    </row>
    <row r="3522" spans="1:1">
      <c r="A3522" s="32"/>
    </row>
    <row r="3523" spans="1:1">
      <c r="A3523" s="32"/>
    </row>
    <row r="3524" spans="1:1">
      <c r="A3524" s="32"/>
    </row>
    <row r="3525" spans="1:1">
      <c r="A3525" s="32"/>
    </row>
    <row r="3526" spans="1:1">
      <c r="A3526" s="32"/>
    </row>
    <row r="3527" spans="1:1">
      <c r="A3527" s="32"/>
    </row>
    <row r="3528" spans="1:1">
      <c r="A3528" s="32"/>
    </row>
    <row r="3529" spans="1:1">
      <c r="A3529" s="32"/>
    </row>
    <row r="3530" spans="1:1">
      <c r="A3530" s="32"/>
    </row>
    <row r="3531" spans="1:1">
      <c r="A3531" s="32"/>
    </row>
    <row r="3532" spans="1:1">
      <c r="A3532" s="32"/>
    </row>
    <row r="3533" spans="1:1">
      <c r="A3533" s="32"/>
    </row>
    <row r="3534" spans="1:1">
      <c r="A3534" s="32"/>
    </row>
    <row r="3535" spans="1:1">
      <c r="A3535" s="32"/>
    </row>
    <row r="3536" spans="1:1">
      <c r="A3536" s="32"/>
    </row>
    <row r="3537" spans="1:1">
      <c r="A3537" s="32"/>
    </row>
    <row r="3538" spans="1:1">
      <c r="A3538" s="32"/>
    </row>
    <row r="3539" spans="1:1">
      <c r="A3539" s="32"/>
    </row>
    <row r="3540" spans="1:1">
      <c r="A3540" s="32"/>
    </row>
    <row r="3541" spans="1:1">
      <c r="A3541" s="32"/>
    </row>
    <row r="3542" spans="1:1">
      <c r="A3542" s="32"/>
    </row>
    <row r="3543" spans="1:1">
      <c r="A3543" s="32"/>
    </row>
    <row r="3544" spans="1:1">
      <c r="A3544" s="32"/>
    </row>
    <row r="3545" spans="1:1">
      <c r="A3545" s="32"/>
    </row>
    <row r="3546" spans="1:1">
      <c r="A3546" s="32"/>
    </row>
    <row r="3547" spans="1:1">
      <c r="A3547" s="32"/>
    </row>
    <row r="3548" spans="1:1">
      <c r="A3548" s="32"/>
    </row>
    <row r="3549" spans="1:1">
      <c r="A3549" s="32"/>
    </row>
    <row r="3550" spans="1:1">
      <c r="A3550" s="32"/>
    </row>
    <row r="3551" spans="1:1">
      <c r="A3551" s="32"/>
    </row>
    <row r="3552" spans="1:1">
      <c r="A3552" s="32"/>
    </row>
    <row r="3553" spans="1:1">
      <c r="A3553" s="32"/>
    </row>
    <row r="3554" spans="1:1">
      <c r="A3554" s="32"/>
    </row>
    <row r="3555" spans="1:1">
      <c r="A3555" s="32"/>
    </row>
    <row r="3556" spans="1:1">
      <c r="A3556" s="32"/>
    </row>
    <row r="3557" spans="1:1">
      <c r="A3557" s="32"/>
    </row>
    <row r="3558" spans="1:1">
      <c r="A3558" s="32"/>
    </row>
    <row r="3559" spans="1:1">
      <c r="A3559" s="32"/>
    </row>
    <row r="3560" spans="1:1">
      <c r="A3560" s="32"/>
    </row>
    <row r="3561" spans="1:1">
      <c r="A3561" s="32"/>
    </row>
    <row r="3562" spans="1:1">
      <c r="A3562" s="32"/>
    </row>
    <row r="3563" spans="1:1">
      <c r="A3563" s="32"/>
    </row>
    <row r="3564" spans="1:1">
      <c r="A3564" s="32"/>
    </row>
    <row r="3565" spans="1:1">
      <c r="A3565" s="32"/>
    </row>
    <row r="3566" spans="1:1">
      <c r="A3566" s="32"/>
    </row>
    <row r="3567" spans="1:1">
      <c r="A3567" s="32"/>
    </row>
    <row r="3568" spans="1:1">
      <c r="A3568" s="32"/>
    </row>
    <row r="3569" spans="1:1">
      <c r="A3569" s="32"/>
    </row>
    <row r="3570" spans="1:1">
      <c r="A3570" s="32"/>
    </row>
    <row r="3571" spans="1:1">
      <c r="A3571" s="32"/>
    </row>
    <row r="3572" spans="1:1">
      <c r="A3572" s="32"/>
    </row>
    <row r="3573" spans="1:1">
      <c r="A3573" s="32"/>
    </row>
    <row r="3574" spans="1:1">
      <c r="A3574" s="32"/>
    </row>
    <row r="3575" spans="1:1">
      <c r="A3575" s="32"/>
    </row>
    <row r="3576" spans="1:1">
      <c r="A3576" s="32"/>
    </row>
    <row r="3577" spans="1:1">
      <c r="A3577" s="32"/>
    </row>
    <row r="3578" spans="1:1">
      <c r="A3578" s="32"/>
    </row>
    <row r="3579" spans="1:1">
      <c r="A3579" s="32"/>
    </row>
    <row r="3580" spans="1:1">
      <c r="A3580" s="32"/>
    </row>
    <row r="3581" spans="1:1">
      <c r="A3581" s="32"/>
    </row>
    <row r="3582" spans="1:1">
      <c r="A3582" s="32"/>
    </row>
    <row r="3583" spans="1:1">
      <c r="A3583" s="32"/>
    </row>
    <row r="3584" spans="1:1">
      <c r="A3584" s="32"/>
    </row>
    <row r="3585" spans="1:1">
      <c r="A3585" s="32"/>
    </row>
    <row r="3586" spans="1:1">
      <c r="A3586" s="32"/>
    </row>
    <row r="3587" spans="1:1">
      <c r="A3587" s="32"/>
    </row>
    <row r="3588" spans="1:1">
      <c r="A3588" s="32"/>
    </row>
    <row r="3589" spans="1:1">
      <c r="A3589" s="32"/>
    </row>
    <row r="3590" spans="1:1">
      <c r="A3590" s="32"/>
    </row>
    <row r="3591" spans="1:1">
      <c r="A3591" s="32"/>
    </row>
    <row r="3592" spans="1:1">
      <c r="A3592" s="32"/>
    </row>
    <row r="3593" spans="1:1">
      <c r="A3593" s="32"/>
    </row>
    <row r="3594" spans="1:1">
      <c r="A3594" s="32"/>
    </row>
    <row r="3595" spans="1:1">
      <c r="A3595" s="32"/>
    </row>
    <row r="3596" spans="1:1">
      <c r="A3596" s="32"/>
    </row>
    <row r="3597" spans="1:1">
      <c r="A3597" s="32"/>
    </row>
    <row r="3598" spans="1:1">
      <c r="A3598" s="32"/>
    </row>
    <row r="3599" spans="1:1">
      <c r="A3599" s="32"/>
    </row>
    <row r="3600" spans="1:1">
      <c r="A3600" s="32"/>
    </row>
    <row r="3601" spans="1:1">
      <c r="A3601" s="32"/>
    </row>
    <row r="3602" spans="1:1">
      <c r="A3602" s="32"/>
    </row>
    <row r="3603" spans="1:1">
      <c r="A3603" s="32"/>
    </row>
    <row r="3604" spans="1:1">
      <c r="A3604" s="32"/>
    </row>
    <row r="3605" spans="1:1">
      <c r="A3605" s="32"/>
    </row>
    <row r="3606" spans="1:1">
      <c r="A3606" s="32"/>
    </row>
    <row r="3607" spans="1:1">
      <c r="A3607" s="32"/>
    </row>
    <row r="3608" spans="1:1">
      <c r="A3608" s="32"/>
    </row>
    <row r="3609" spans="1:1">
      <c r="A3609" s="32"/>
    </row>
    <row r="3610" spans="1:1">
      <c r="A3610" s="32"/>
    </row>
    <row r="3611" spans="1:1">
      <c r="A3611" s="32"/>
    </row>
    <row r="3612" spans="1:1">
      <c r="A3612" s="32"/>
    </row>
    <row r="3613" spans="1:1">
      <c r="A3613" s="32"/>
    </row>
    <row r="3614" spans="1:1">
      <c r="A3614" s="32"/>
    </row>
    <row r="3615" spans="1:1">
      <c r="A3615" s="32"/>
    </row>
    <row r="3616" spans="1:1">
      <c r="A3616" s="32"/>
    </row>
    <row r="3617" spans="1:1">
      <c r="A3617" s="32"/>
    </row>
    <row r="3618" spans="1:1">
      <c r="A3618" s="32"/>
    </row>
    <row r="3619" spans="1:1">
      <c r="A3619" s="32"/>
    </row>
    <row r="3620" spans="1:1">
      <c r="A3620" s="32"/>
    </row>
    <row r="3621" spans="1:1">
      <c r="A3621" s="32"/>
    </row>
    <row r="3622" spans="1:1">
      <c r="A3622" s="32"/>
    </row>
    <row r="3623" spans="1:1">
      <c r="A3623" s="32"/>
    </row>
    <row r="3624" spans="1:1">
      <c r="A3624" s="32"/>
    </row>
    <row r="3625" spans="1:1">
      <c r="A3625" s="32"/>
    </row>
    <row r="3626" spans="1:1">
      <c r="A3626" s="32"/>
    </row>
    <row r="3627" spans="1:1">
      <c r="A3627" s="32"/>
    </row>
    <row r="3628" spans="1:1">
      <c r="A3628" s="32"/>
    </row>
    <row r="3629" spans="1:1">
      <c r="A3629" s="32"/>
    </row>
    <row r="3630" spans="1:1">
      <c r="A3630" s="32"/>
    </row>
    <row r="3631" spans="1:1">
      <c r="A3631" s="32"/>
    </row>
    <row r="3632" spans="1:1">
      <c r="A3632" s="32"/>
    </row>
    <row r="3633" spans="1:1">
      <c r="A3633" s="32"/>
    </row>
    <row r="3634" spans="1:1">
      <c r="A3634" s="32"/>
    </row>
    <row r="3635" spans="1:1">
      <c r="A3635" s="32"/>
    </row>
    <row r="3636" spans="1:1">
      <c r="A3636" s="32"/>
    </row>
    <row r="3637" spans="1:1">
      <c r="A3637" s="32"/>
    </row>
    <row r="3638" spans="1:1">
      <c r="A3638" s="32"/>
    </row>
    <row r="3639" spans="1:1">
      <c r="A3639" s="32"/>
    </row>
    <row r="3640" spans="1:1">
      <c r="A3640" s="32"/>
    </row>
    <row r="3641" spans="1:1">
      <c r="A3641" s="32"/>
    </row>
    <row r="3642" spans="1:1">
      <c r="A3642" s="32"/>
    </row>
    <row r="3643" spans="1:1">
      <c r="A3643" s="32"/>
    </row>
    <row r="3644" spans="1:1">
      <c r="A3644" s="32"/>
    </row>
    <row r="3645" spans="1:1">
      <c r="A3645" s="32"/>
    </row>
    <row r="3646" spans="1:1">
      <c r="A3646" s="32"/>
    </row>
    <row r="3647" spans="1:1">
      <c r="A3647" s="32"/>
    </row>
    <row r="3648" spans="1:1">
      <c r="A3648" s="32"/>
    </row>
    <row r="3649" spans="1:1">
      <c r="A3649" s="32"/>
    </row>
    <row r="3650" spans="1:1">
      <c r="A3650" s="32"/>
    </row>
    <row r="3651" spans="1:1">
      <c r="A3651" s="32"/>
    </row>
    <row r="3652" spans="1:1">
      <c r="A3652" s="32"/>
    </row>
    <row r="3653" spans="1:1">
      <c r="A3653" s="32"/>
    </row>
    <row r="3654" spans="1:1">
      <c r="A3654" s="32"/>
    </row>
    <row r="3655" spans="1:1">
      <c r="A3655" s="32"/>
    </row>
    <row r="3656" spans="1:1">
      <c r="A3656" s="32"/>
    </row>
    <row r="3657" spans="1:1">
      <c r="A3657" s="32"/>
    </row>
    <row r="3658" spans="1:1">
      <c r="A3658" s="32"/>
    </row>
    <row r="3659" spans="1:1">
      <c r="A3659" s="32"/>
    </row>
    <row r="3660" spans="1:1">
      <c r="A3660" s="32"/>
    </row>
    <row r="3661" spans="1:1">
      <c r="A3661" s="32"/>
    </row>
    <row r="3662" spans="1:1">
      <c r="A3662" s="32"/>
    </row>
    <row r="3663" spans="1:1">
      <c r="A3663" s="32"/>
    </row>
    <row r="3664" spans="1:1">
      <c r="A3664" s="32"/>
    </row>
    <row r="3665" spans="1:1">
      <c r="A3665" s="32"/>
    </row>
    <row r="3666" spans="1:1">
      <c r="A3666" s="32"/>
    </row>
    <row r="3667" spans="1:1">
      <c r="A3667" s="32"/>
    </row>
    <row r="3668" spans="1:1">
      <c r="A3668" s="32"/>
    </row>
    <row r="3669" spans="1:1">
      <c r="A3669" s="32"/>
    </row>
    <row r="3670" spans="1:1">
      <c r="A3670" s="32"/>
    </row>
    <row r="3671" spans="1:1">
      <c r="A3671" s="32"/>
    </row>
    <row r="3672" spans="1:1">
      <c r="A3672" s="32"/>
    </row>
    <row r="3673" spans="1:1">
      <c r="A3673" s="32"/>
    </row>
    <row r="3674" spans="1:1">
      <c r="A3674" s="32"/>
    </row>
    <row r="3675" spans="1:1">
      <c r="A3675" s="32"/>
    </row>
    <row r="3676" spans="1:1">
      <c r="A3676" s="32"/>
    </row>
    <row r="3677" spans="1:1">
      <c r="A3677" s="32"/>
    </row>
    <row r="3678" spans="1:1">
      <c r="A3678" s="32"/>
    </row>
    <row r="3679" spans="1:1">
      <c r="A3679" s="32"/>
    </row>
    <row r="3680" spans="1:1">
      <c r="A3680" s="32"/>
    </row>
    <row r="3681" spans="1:1">
      <c r="A3681" s="32"/>
    </row>
    <row r="3682" spans="1:1">
      <c r="A3682" s="32"/>
    </row>
    <row r="3683" spans="1:1">
      <c r="A3683" s="32"/>
    </row>
    <row r="3684" spans="1:1">
      <c r="A3684" s="32"/>
    </row>
    <row r="3685" spans="1:1">
      <c r="A3685" s="32"/>
    </row>
    <row r="3686" spans="1:1">
      <c r="A3686" s="32"/>
    </row>
    <row r="3687" spans="1:1">
      <c r="A3687" s="32"/>
    </row>
    <row r="3688" spans="1:1">
      <c r="A3688" s="32"/>
    </row>
    <row r="3689" spans="1:1">
      <c r="A3689" s="32"/>
    </row>
    <row r="3690" spans="1:1">
      <c r="A3690" s="32"/>
    </row>
    <row r="3691" spans="1:1">
      <c r="A3691" s="32"/>
    </row>
    <row r="3692" spans="1:1">
      <c r="A3692" s="32"/>
    </row>
    <row r="3693" spans="1:1">
      <c r="A3693" s="32"/>
    </row>
    <row r="3694" spans="1:1">
      <c r="A3694" s="32"/>
    </row>
    <row r="3695" spans="1:1">
      <c r="A3695" s="32"/>
    </row>
    <row r="3696" spans="1:1">
      <c r="A3696" s="32"/>
    </row>
    <row r="3697" spans="1:1">
      <c r="A3697" s="32"/>
    </row>
    <row r="3698" spans="1:1">
      <c r="A3698" s="32"/>
    </row>
    <row r="3699" spans="1:1">
      <c r="A3699" s="32"/>
    </row>
    <row r="3700" spans="1:1">
      <c r="A3700" s="32"/>
    </row>
    <row r="3701" spans="1:1">
      <c r="A3701" s="32"/>
    </row>
    <row r="3702" spans="1:1">
      <c r="A3702" s="32"/>
    </row>
    <row r="3703" spans="1:1">
      <c r="A3703" s="32"/>
    </row>
    <row r="3704" spans="1:1">
      <c r="A3704" s="32"/>
    </row>
    <row r="3705" spans="1:1">
      <c r="A3705" s="32"/>
    </row>
    <row r="3706" spans="1:1">
      <c r="A3706" s="32"/>
    </row>
    <row r="3707" spans="1:1">
      <c r="A3707" s="32"/>
    </row>
    <row r="3708" spans="1:1">
      <c r="A3708" s="32"/>
    </row>
    <row r="3709" spans="1:1">
      <c r="A3709" s="32"/>
    </row>
    <row r="3710" spans="1:1">
      <c r="A3710" s="32"/>
    </row>
    <row r="3711" spans="1:1">
      <c r="A3711" s="32"/>
    </row>
    <row r="3712" spans="1:1">
      <c r="A3712" s="32"/>
    </row>
    <row r="3713" spans="1:1">
      <c r="A3713" s="32"/>
    </row>
    <row r="3714" spans="1:1">
      <c r="A3714" s="32"/>
    </row>
    <row r="3715" spans="1:1">
      <c r="A3715" s="32"/>
    </row>
    <row r="3716" spans="1:1">
      <c r="A3716" s="32"/>
    </row>
    <row r="3717" spans="1:1">
      <c r="A3717" s="32"/>
    </row>
    <row r="3718" spans="1:1">
      <c r="A3718" s="32"/>
    </row>
    <row r="3719" spans="1:1">
      <c r="A3719" s="32"/>
    </row>
    <row r="3720" spans="1:1">
      <c r="A3720" s="32"/>
    </row>
    <row r="3721" spans="1:1">
      <c r="A3721" s="32"/>
    </row>
    <row r="3722" spans="1:1">
      <c r="A3722" s="32"/>
    </row>
    <row r="3723" spans="1:1">
      <c r="A3723" s="32"/>
    </row>
    <row r="3724" spans="1:1">
      <c r="A3724" s="32"/>
    </row>
    <row r="3725" spans="1:1">
      <c r="A3725" s="32"/>
    </row>
    <row r="3726" spans="1:1">
      <c r="A3726" s="32"/>
    </row>
    <row r="3727" spans="1:1">
      <c r="A3727" s="32"/>
    </row>
    <row r="3728" spans="1:1">
      <c r="A3728" s="32"/>
    </row>
    <row r="3729" spans="1:1">
      <c r="A3729" s="32"/>
    </row>
    <row r="3730" spans="1:1">
      <c r="A3730" s="32"/>
    </row>
    <row r="3731" spans="1:1">
      <c r="A3731" s="32"/>
    </row>
    <row r="3732" spans="1:1">
      <c r="A3732" s="32"/>
    </row>
    <row r="3733" spans="1:1">
      <c r="A3733" s="32"/>
    </row>
    <row r="3734" spans="1:1">
      <c r="A3734" s="32"/>
    </row>
    <row r="3735" spans="1:1">
      <c r="A3735" s="32"/>
    </row>
    <row r="3736" spans="1:1">
      <c r="A3736" s="32"/>
    </row>
    <row r="3737" spans="1:1">
      <c r="A3737" s="32"/>
    </row>
    <row r="3738" spans="1:1">
      <c r="A3738" s="32"/>
    </row>
    <row r="3739" spans="1:1">
      <c r="A3739" s="32"/>
    </row>
    <row r="3740" spans="1:1">
      <c r="A3740" s="32"/>
    </row>
    <row r="3741" spans="1:1">
      <c r="A3741" s="32"/>
    </row>
    <row r="3742" spans="1:1">
      <c r="A3742" s="32"/>
    </row>
    <row r="3743" spans="1:1">
      <c r="A3743" s="32"/>
    </row>
    <row r="3744" spans="1:1">
      <c r="A3744" s="32"/>
    </row>
    <row r="3745" spans="1:1">
      <c r="A3745" s="32"/>
    </row>
    <row r="3746" spans="1:1">
      <c r="A3746" s="32"/>
    </row>
    <row r="3747" spans="1:1">
      <c r="A3747" s="32"/>
    </row>
    <row r="3748" spans="1:1">
      <c r="A3748" s="32"/>
    </row>
    <row r="3749" spans="1:1">
      <c r="A3749" s="32"/>
    </row>
    <row r="3750" spans="1:1">
      <c r="A3750" s="32"/>
    </row>
    <row r="3751" spans="1:1">
      <c r="A3751" s="32"/>
    </row>
    <row r="3752" spans="1:1">
      <c r="A3752" s="32"/>
    </row>
    <row r="3753" spans="1:1">
      <c r="A3753" s="32"/>
    </row>
    <row r="3754" spans="1:1">
      <c r="A3754" s="32"/>
    </row>
    <row r="3755" spans="1:1">
      <c r="A3755" s="32"/>
    </row>
    <row r="3756" spans="1:1">
      <c r="A3756" s="32"/>
    </row>
    <row r="3757" spans="1:1">
      <c r="A3757" s="32"/>
    </row>
    <row r="3758" spans="1:1">
      <c r="A3758" s="32"/>
    </row>
    <row r="3759" spans="1:1">
      <c r="A3759" s="32"/>
    </row>
    <row r="3760" spans="1:1">
      <c r="A3760" s="32"/>
    </row>
    <row r="3761" spans="1:1">
      <c r="A3761" s="32"/>
    </row>
    <row r="3762" spans="1:1">
      <c r="A3762" s="32"/>
    </row>
    <row r="3763" spans="1:1">
      <c r="A3763" s="32"/>
    </row>
    <row r="3764" spans="1:1">
      <c r="A3764" s="32"/>
    </row>
    <row r="3765" spans="1:1">
      <c r="A3765" s="32"/>
    </row>
    <row r="3766" spans="1:1">
      <c r="A3766" s="32"/>
    </row>
    <row r="3767" spans="1:1">
      <c r="A3767" s="32"/>
    </row>
    <row r="3768" spans="1:1">
      <c r="A3768" s="32"/>
    </row>
    <row r="3769" spans="1:1">
      <c r="A3769" s="32"/>
    </row>
    <row r="3770" spans="1:1">
      <c r="A3770" s="32"/>
    </row>
    <row r="3771" spans="1:1">
      <c r="A3771" s="32"/>
    </row>
    <row r="3772" spans="1:1">
      <c r="A3772" s="32"/>
    </row>
    <row r="3773" spans="1:1">
      <c r="A3773" s="32"/>
    </row>
    <row r="3774" spans="1:1">
      <c r="A3774" s="32"/>
    </row>
    <row r="3775" spans="1:1">
      <c r="A3775" s="32"/>
    </row>
    <row r="3776" spans="1:1">
      <c r="A3776" s="32"/>
    </row>
    <row r="3777" spans="1:1">
      <c r="A3777" s="32"/>
    </row>
    <row r="3778" spans="1:1">
      <c r="A3778" s="32"/>
    </row>
    <row r="3779" spans="1:1">
      <c r="A3779" s="32"/>
    </row>
    <row r="3780" spans="1:1">
      <c r="A3780" s="32"/>
    </row>
    <row r="3781" spans="1:1">
      <c r="A3781" s="32"/>
    </row>
    <row r="3782" spans="1:1">
      <c r="A3782" s="32"/>
    </row>
    <row r="3783" spans="1:1">
      <c r="A3783" s="32"/>
    </row>
    <row r="3784" spans="1:1">
      <c r="A3784" s="32"/>
    </row>
    <row r="3785" spans="1:1">
      <c r="A3785" s="32"/>
    </row>
    <row r="3786" spans="1:1">
      <c r="A3786" s="32"/>
    </row>
    <row r="3787" spans="1:1">
      <c r="A3787" s="32"/>
    </row>
    <row r="3788" spans="1:1">
      <c r="A3788" s="32"/>
    </row>
    <row r="3789" spans="1:1">
      <c r="A3789" s="32"/>
    </row>
    <row r="3790" spans="1:1">
      <c r="A3790" s="32"/>
    </row>
    <row r="3791" spans="1:1">
      <c r="A3791" s="32"/>
    </row>
    <row r="3792" spans="1:1">
      <c r="A3792" s="32"/>
    </row>
    <row r="3793" spans="1:1">
      <c r="A3793" s="32"/>
    </row>
    <row r="3794" spans="1:1">
      <c r="A3794" s="32"/>
    </row>
    <row r="3795" spans="1:1">
      <c r="A3795" s="32"/>
    </row>
    <row r="3796" spans="1:1">
      <c r="A3796" s="32"/>
    </row>
    <row r="3797" spans="1:1">
      <c r="A3797" s="32"/>
    </row>
    <row r="3798" spans="1:1">
      <c r="A3798" s="32"/>
    </row>
    <row r="3799" spans="1:1">
      <c r="A3799" s="32"/>
    </row>
    <row r="3800" spans="1:1">
      <c r="A3800" s="32"/>
    </row>
    <row r="3801" spans="1:1">
      <c r="A3801" s="32"/>
    </row>
    <row r="3802" spans="1:1">
      <c r="A3802" s="32"/>
    </row>
    <row r="3803" spans="1:1">
      <c r="A3803" s="32"/>
    </row>
    <row r="3804" spans="1:1">
      <c r="A3804" s="32"/>
    </row>
    <row r="3805" spans="1:1">
      <c r="A3805" s="32"/>
    </row>
    <row r="3806" spans="1:1">
      <c r="A3806" s="32"/>
    </row>
    <row r="3807" spans="1:1">
      <c r="A3807" s="32"/>
    </row>
    <row r="3808" spans="1:1">
      <c r="A3808" s="32"/>
    </row>
    <row r="3809" spans="1:1">
      <c r="A3809" s="32"/>
    </row>
    <row r="3810" spans="1:1">
      <c r="A3810" s="32"/>
    </row>
    <row r="3811" spans="1:1">
      <c r="A3811" s="32"/>
    </row>
    <row r="3812" spans="1:1">
      <c r="A3812" s="32"/>
    </row>
    <row r="3813" spans="1:1">
      <c r="A3813" s="32"/>
    </row>
    <row r="3814" spans="1:1">
      <c r="A3814" s="32"/>
    </row>
    <row r="3815" spans="1:1">
      <c r="A3815" s="32"/>
    </row>
    <row r="3816" spans="1:1">
      <c r="A3816" s="32"/>
    </row>
    <row r="3817" spans="1:1">
      <c r="A3817" s="32"/>
    </row>
    <row r="3818" spans="1:1">
      <c r="A3818" s="32"/>
    </row>
    <row r="3819" spans="1:1">
      <c r="A3819" s="32"/>
    </row>
    <row r="3820" spans="1:1">
      <c r="A3820" s="32"/>
    </row>
    <row r="3821" spans="1:1">
      <c r="A3821" s="32"/>
    </row>
    <row r="3822" spans="1:1">
      <c r="A3822" s="32"/>
    </row>
    <row r="3823" spans="1:1">
      <c r="A3823" s="32"/>
    </row>
    <row r="3824" spans="1:1">
      <c r="A3824" s="32"/>
    </row>
    <row r="3825" spans="1:1">
      <c r="A3825" s="32"/>
    </row>
    <row r="3826" spans="1:1">
      <c r="A3826" s="32"/>
    </row>
    <row r="3827" spans="1:1">
      <c r="A3827" s="32"/>
    </row>
    <row r="3828" spans="1:1">
      <c r="A3828" s="32"/>
    </row>
    <row r="3829" spans="1:1">
      <c r="A3829" s="32"/>
    </row>
    <row r="3830" spans="1:1">
      <c r="A3830" s="32"/>
    </row>
    <row r="3831" spans="1:1">
      <c r="A3831" s="32"/>
    </row>
    <row r="3832" spans="1:1">
      <c r="A3832" s="32"/>
    </row>
    <row r="3833" spans="1:1">
      <c r="A3833" s="32"/>
    </row>
    <row r="3834" spans="1:1">
      <c r="A3834" s="32"/>
    </row>
    <row r="3835" spans="1:1">
      <c r="A3835" s="32"/>
    </row>
    <row r="3836" spans="1:1">
      <c r="A3836" s="32"/>
    </row>
    <row r="3837" spans="1:1">
      <c r="A3837" s="32"/>
    </row>
    <row r="3838" spans="1:1">
      <c r="A3838" s="32"/>
    </row>
    <row r="3839" spans="1:1">
      <c r="A3839" s="32"/>
    </row>
    <row r="3840" spans="1:1">
      <c r="A3840" s="32"/>
    </row>
    <row r="3841" spans="1:1">
      <c r="A3841" s="32"/>
    </row>
    <row r="3842" spans="1:1">
      <c r="A3842" s="32"/>
    </row>
    <row r="3843" spans="1:1">
      <c r="A3843" s="32"/>
    </row>
    <row r="3844" spans="1:1">
      <c r="A3844" s="32"/>
    </row>
    <row r="3845" spans="1:1">
      <c r="A3845" s="32"/>
    </row>
    <row r="3846" spans="1:1">
      <c r="A3846" s="32"/>
    </row>
    <row r="3847" spans="1:1">
      <c r="A3847" s="32"/>
    </row>
    <row r="3848" spans="1:1">
      <c r="A3848" s="32"/>
    </row>
    <row r="3849" spans="1:1">
      <c r="A3849" s="32"/>
    </row>
    <row r="3850" spans="1:1">
      <c r="A3850" s="32"/>
    </row>
    <row r="3851" spans="1:1">
      <c r="A3851" s="32"/>
    </row>
    <row r="3852" spans="1:1">
      <c r="A3852" s="32"/>
    </row>
    <row r="3853" spans="1:1">
      <c r="A3853" s="32"/>
    </row>
    <row r="3854" spans="1:1">
      <c r="A3854" s="32"/>
    </row>
    <row r="3855" spans="1:1">
      <c r="A3855" s="32"/>
    </row>
    <row r="3856" spans="1:1">
      <c r="A3856" s="32"/>
    </row>
    <row r="3857" spans="1:1">
      <c r="A3857" s="32"/>
    </row>
    <row r="3858" spans="1:1">
      <c r="A3858" s="32"/>
    </row>
    <row r="3859" spans="1:1">
      <c r="A3859" s="32"/>
    </row>
    <row r="3860" spans="1:1">
      <c r="A3860" s="32"/>
    </row>
    <row r="3861" spans="1:1">
      <c r="A3861" s="32"/>
    </row>
    <row r="3862" spans="1:1">
      <c r="A3862" s="32"/>
    </row>
    <row r="3863" spans="1:1">
      <c r="A3863" s="32"/>
    </row>
    <row r="3864" spans="1:1">
      <c r="A3864" s="32"/>
    </row>
    <row r="3865" spans="1:1">
      <c r="A3865" s="32"/>
    </row>
    <row r="3866" spans="1:1">
      <c r="A3866" s="32"/>
    </row>
    <row r="3867" spans="1:1">
      <c r="A3867" s="32"/>
    </row>
    <row r="3868" spans="1:1">
      <c r="A3868" s="32"/>
    </row>
    <row r="3869" spans="1:1">
      <c r="A3869" s="32"/>
    </row>
    <row r="3870" spans="1:1">
      <c r="A3870" s="32"/>
    </row>
    <row r="3871" spans="1:1">
      <c r="A3871" s="32"/>
    </row>
    <row r="3872" spans="1:1">
      <c r="A3872" s="32"/>
    </row>
    <row r="3873" spans="1:1">
      <c r="A3873" s="32"/>
    </row>
    <row r="3874" spans="1:1">
      <c r="A3874" s="32"/>
    </row>
    <row r="3875" spans="1:1">
      <c r="A3875" s="32"/>
    </row>
    <row r="3876" spans="1:1">
      <c r="A3876" s="32"/>
    </row>
    <row r="3877" spans="1:1">
      <c r="A3877" s="32"/>
    </row>
    <row r="3878" spans="1:1">
      <c r="A3878" s="32"/>
    </row>
    <row r="3879" spans="1:1">
      <c r="A3879" s="32"/>
    </row>
    <row r="3880" spans="1:1">
      <c r="A3880" s="32"/>
    </row>
    <row r="3881" spans="1:1">
      <c r="A3881" s="32"/>
    </row>
    <row r="3882" spans="1:1">
      <c r="A3882" s="32"/>
    </row>
    <row r="3883" spans="1:1">
      <c r="A3883" s="32"/>
    </row>
    <row r="3884" spans="1:1">
      <c r="A3884" s="32"/>
    </row>
    <row r="3885" spans="1:1">
      <c r="A3885" s="32"/>
    </row>
    <row r="3886" spans="1:1">
      <c r="A3886" s="32"/>
    </row>
    <row r="3887" spans="1:1">
      <c r="A3887" s="32"/>
    </row>
    <row r="3888" spans="1:1">
      <c r="A3888" s="32"/>
    </row>
    <row r="3889" spans="1:1">
      <c r="A3889" s="32"/>
    </row>
    <row r="3890" spans="1:1">
      <c r="A3890" s="32"/>
    </row>
    <row r="3891" spans="1:1">
      <c r="A3891" s="32"/>
    </row>
    <row r="3892" spans="1:1">
      <c r="A3892" s="32"/>
    </row>
    <row r="3893" spans="1:1">
      <c r="A3893" s="32"/>
    </row>
    <row r="3894" spans="1:1">
      <c r="A3894" s="32"/>
    </row>
    <row r="3895" spans="1:1">
      <c r="A3895" s="32"/>
    </row>
    <row r="3896" spans="1:1">
      <c r="A3896" s="32"/>
    </row>
    <row r="3897" spans="1:1">
      <c r="A3897" s="32"/>
    </row>
    <row r="3898" spans="1:1">
      <c r="A3898" s="32"/>
    </row>
    <row r="3899" spans="1:1">
      <c r="A3899" s="32"/>
    </row>
    <row r="3900" spans="1:1">
      <c r="A3900" s="32"/>
    </row>
    <row r="3901" spans="1:1">
      <c r="A3901" s="32"/>
    </row>
    <row r="3902" spans="1:1">
      <c r="A3902" s="32"/>
    </row>
    <row r="3903" spans="1:1">
      <c r="A3903" s="32"/>
    </row>
    <row r="3904" spans="1:1">
      <c r="A3904" s="32"/>
    </row>
    <row r="3905" spans="1:1">
      <c r="A3905" s="32"/>
    </row>
    <row r="3906" spans="1:1">
      <c r="A3906" s="32"/>
    </row>
    <row r="3907" spans="1:1">
      <c r="A3907" s="32"/>
    </row>
    <row r="3908" spans="1:1">
      <c r="A3908" s="32"/>
    </row>
    <row r="3909" spans="1:1">
      <c r="A3909" s="32"/>
    </row>
    <row r="3910" spans="1:1">
      <c r="A3910" s="32"/>
    </row>
    <row r="3911" spans="1:1">
      <c r="A3911" s="32"/>
    </row>
    <row r="3912" spans="1:1">
      <c r="A3912" s="32"/>
    </row>
    <row r="3913" spans="1:1">
      <c r="A3913" s="32"/>
    </row>
    <row r="3914" spans="1:1">
      <c r="A3914" s="32"/>
    </row>
    <row r="3915" spans="1:1">
      <c r="A3915" s="32"/>
    </row>
    <row r="3916" spans="1:1">
      <c r="A3916" s="32"/>
    </row>
    <row r="3917" spans="1:1">
      <c r="A3917" s="32"/>
    </row>
    <row r="3918" spans="1:1">
      <c r="A3918" s="32"/>
    </row>
    <row r="3919" spans="1:1">
      <c r="A3919" s="32"/>
    </row>
    <row r="3920" spans="1:1">
      <c r="A3920" s="32"/>
    </row>
    <row r="3921" spans="1:1">
      <c r="A3921" s="32"/>
    </row>
    <row r="3922" spans="1:1">
      <c r="A3922" s="32"/>
    </row>
    <row r="3923" spans="1:1">
      <c r="A3923" s="32"/>
    </row>
    <row r="3924" spans="1:1">
      <c r="A3924" s="32"/>
    </row>
    <row r="3925" spans="1:1">
      <c r="A3925" s="32"/>
    </row>
    <row r="3926" spans="1:1">
      <c r="A3926" s="32"/>
    </row>
    <row r="3927" spans="1:1">
      <c r="A3927" s="32"/>
    </row>
    <row r="3928" spans="1:1">
      <c r="A3928" s="32"/>
    </row>
    <row r="3929" spans="1:1">
      <c r="A3929" s="32"/>
    </row>
    <row r="3930" spans="1:1">
      <c r="A3930" s="32"/>
    </row>
    <row r="3931" spans="1:1">
      <c r="A3931" s="32"/>
    </row>
    <row r="3932" spans="1:1">
      <c r="A3932" s="32"/>
    </row>
    <row r="3933" spans="1:1">
      <c r="A3933" s="32"/>
    </row>
    <row r="3934" spans="1:1">
      <c r="A3934" s="32"/>
    </row>
    <row r="3935" spans="1:1">
      <c r="A3935" s="32"/>
    </row>
    <row r="3936" spans="1:1">
      <c r="A3936" s="32"/>
    </row>
    <row r="3937" spans="1:1">
      <c r="A3937" s="32"/>
    </row>
    <row r="3938" spans="1:1">
      <c r="A3938" s="32"/>
    </row>
    <row r="3939" spans="1:1">
      <c r="A3939" s="32"/>
    </row>
    <row r="3940" spans="1:1">
      <c r="A3940" s="32"/>
    </row>
    <row r="3941" spans="1:1">
      <c r="A3941" s="32"/>
    </row>
    <row r="3942" spans="1:1">
      <c r="A3942" s="32"/>
    </row>
    <row r="3943" spans="1:1">
      <c r="A3943" s="32"/>
    </row>
    <row r="3944" spans="1:1">
      <c r="A3944" s="32"/>
    </row>
    <row r="3945" spans="1:1">
      <c r="A3945" s="32"/>
    </row>
    <row r="3946" spans="1:1">
      <c r="A3946" s="32"/>
    </row>
    <row r="3947" spans="1:1">
      <c r="A3947" s="32"/>
    </row>
    <row r="3948" spans="1:1">
      <c r="A3948" s="32"/>
    </row>
    <row r="3949" spans="1:1">
      <c r="A3949" s="32"/>
    </row>
    <row r="3950" spans="1:1">
      <c r="A3950" s="32"/>
    </row>
    <row r="3951" spans="1:1">
      <c r="A3951" s="32"/>
    </row>
    <row r="3952" spans="1:1">
      <c r="A3952" s="32"/>
    </row>
    <row r="3953" spans="1:1">
      <c r="A3953" s="32"/>
    </row>
    <row r="3954" spans="1:1">
      <c r="A3954" s="32"/>
    </row>
    <row r="3955" spans="1:1">
      <c r="A3955" s="32"/>
    </row>
    <row r="3956" spans="1:1">
      <c r="A3956" s="32"/>
    </row>
    <row r="3957" spans="1:1">
      <c r="A3957" s="32"/>
    </row>
    <row r="3958" spans="1:1">
      <c r="A3958" s="32"/>
    </row>
    <row r="3959" spans="1:1">
      <c r="A3959" s="32"/>
    </row>
    <row r="3960" spans="1:1">
      <c r="A3960" s="32"/>
    </row>
    <row r="3961" spans="1:1">
      <c r="A3961" s="32"/>
    </row>
    <row r="3962" spans="1:1">
      <c r="A3962" s="32"/>
    </row>
    <row r="3963" spans="1:1">
      <c r="A3963" s="32"/>
    </row>
    <row r="3964" spans="1:1">
      <c r="A3964" s="32"/>
    </row>
    <row r="3965" spans="1:1">
      <c r="A3965" s="32"/>
    </row>
    <row r="3966" spans="1:1">
      <c r="A3966" s="32"/>
    </row>
    <row r="3967" spans="1:1">
      <c r="A3967" s="32"/>
    </row>
    <row r="3968" spans="1:1">
      <c r="A3968" s="32"/>
    </row>
    <row r="3969" spans="1:1">
      <c r="A3969" s="32"/>
    </row>
    <row r="3970" spans="1:1">
      <c r="A3970" s="32"/>
    </row>
    <row r="3971" spans="1:1">
      <c r="A3971" s="32"/>
    </row>
    <row r="3972" spans="1:1">
      <c r="A3972" s="32"/>
    </row>
    <row r="3973" spans="1:1">
      <c r="A3973" s="32"/>
    </row>
    <row r="3974" spans="1:1">
      <c r="A3974" s="32"/>
    </row>
    <row r="3975" spans="1:1">
      <c r="A3975" s="32"/>
    </row>
    <row r="3976" spans="1:1">
      <c r="A3976" s="32"/>
    </row>
    <row r="3977" spans="1:1">
      <c r="A3977" s="32"/>
    </row>
    <row r="3978" spans="1:1">
      <c r="A3978" s="32"/>
    </row>
    <row r="3979" spans="1:1">
      <c r="A3979" s="32"/>
    </row>
    <row r="3980" spans="1:1">
      <c r="A3980" s="32"/>
    </row>
    <row r="3981" spans="1:1">
      <c r="A3981" s="32"/>
    </row>
    <row r="3982" spans="1:1">
      <c r="A3982" s="32"/>
    </row>
    <row r="3983" spans="1:1">
      <c r="A3983" s="32"/>
    </row>
    <row r="3984" spans="1:1">
      <c r="A3984" s="32"/>
    </row>
    <row r="3985" spans="1:1">
      <c r="A3985" s="32"/>
    </row>
    <row r="3986" spans="1:1">
      <c r="A3986" s="32"/>
    </row>
    <row r="3987" spans="1:1">
      <c r="A3987" s="32"/>
    </row>
    <row r="3988" spans="1:1">
      <c r="A3988" s="32"/>
    </row>
    <row r="3989" spans="1:1">
      <c r="A3989" s="32"/>
    </row>
    <row r="3990" spans="1:1">
      <c r="A3990" s="32"/>
    </row>
    <row r="3991" spans="1:1">
      <c r="A3991" s="32"/>
    </row>
    <row r="3992" spans="1:1">
      <c r="A3992" s="32"/>
    </row>
    <row r="3993" spans="1:1">
      <c r="A3993" s="32"/>
    </row>
    <row r="3994" spans="1:1">
      <c r="A3994" s="32"/>
    </row>
    <row r="3995" spans="1:1">
      <c r="A3995" s="32"/>
    </row>
    <row r="3996" spans="1:1">
      <c r="A3996" s="32"/>
    </row>
    <row r="3997" spans="1:1">
      <c r="A3997" s="32"/>
    </row>
    <row r="3998" spans="1:1">
      <c r="A3998" s="32"/>
    </row>
    <row r="3999" spans="1:1">
      <c r="A3999" s="32"/>
    </row>
    <row r="4000" spans="1:1">
      <c r="A4000" s="32"/>
    </row>
    <row r="4001" spans="1:1">
      <c r="A4001" s="32"/>
    </row>
    <row r="4002" spans="1:1">
      <c r="A4002" s="32"/>
    </row>
    <row r="4003" spans="1:1">
      <c r="A4003" s="32"/>
    </row>
    <row r="4004" spans="1:1">
      <c r="A4004" s="32"/>
    </row>
    <row r="4005" spans="1:1">
      <c r="A4005" s="32"/>
    </row>
    <row r="4006" spans="1:1">
      <c r="A4006" s="32"/>
    </row>
    <row r="4007" spans="1:1">
      <c r="A4007" s="32"/>
    </row>
    <row r="4008" spans="1:1">
      <c r="A4008" s="32"/>
    </row>
    <row r="4009" spans="1:1">
      <c r="A4009" s="32"/>
    </row>
    <row r="4010" spans="1:1">
      <c r="A4010" s="32"/>
    </row>
    <row r="4011" spans="1:1">
      <c r="A4011" s="32"/>
    </row>
    <row r="4012" spans="1:1">
      <c r="A4012" s="32"/>
    </row>
    <row r="4013" spans="1:1">
      <c r="A4013" s="32"/>
    </row>
    <row r="4014" spans="1:1">
      <c r="A4014" s="32"/>
    </row>
    <row r="4015" spans="1:1">
      <c r="A4015" s="32"/>
    </row>
    <row r="4016" spans="1:1">
      <c r="A4016" s="32"/>
    </row>
    <row r="4017" spans="1:1">
      <c r="A4017" s="32"/>
    </row>
    <row r="4018" spans="1:1">
      <c r="A4018" s="32"/>
    </row>
    <row r="4019" spans="1:1">
      <c r="A4019" s="32"/>
    </row>
    <row r="4020" spans="1:1">
      <c r="A4020" s="32"/>
    </row>
    <row r="4021" spans="1:1">
      <c r="A4021" s="32"/>
    </row>
    <row r="4022" spans="1:1">
      <c r="A4022" s="32"/>
    </row>
    <row r="4023" spans="1:1">
      <c r="A4023" s="32"/>
    </row>
    <row r="4024" spans="1:1">
      <c r="A4024" s="32"/>
    </row>
    <row r="4025" spans="1:1">
      <c r="A4025" s="32"/>
    </row>
    <row r="4026" spans="1:1">
      <c r="A4026" s="32"/>
    </row>
    <row r="4027" spans="1:1">
      <c r="A4027" s="32"/>
    </row>
    <row r="4028" spans="1:1">
      <c r="A4028" s="32"/>
    </row>
    <row r="4029" spans="1:1">
      <c r="A4029" s="32"/>
    </row>
    <row r="4030" spans="1:1">
      <c r="A4030" s="32"/>
    </row>
    <row r="4031" spans="1:1">
      <c r="A4031" s="32"/>
    </row>
    <row r="4032" spans="1:1">
      <c r="A4032" s="32"/>
    </row>
    <row r="4033" spans="1:1">
      <c r="A4033" s="32"/>
    </row>
    <row r="4034" spans="1:1">
      <c r="A4034" s="32"/>
    </row>
    <row r="4035" spans="1:1">
      <c r="A4035" s="32"/>
    </row>
    <row r="4036" spans="1:1">
      <c r="A4036" s="32"/>
    </row>
    <row r="4037" spans="1:1">
      <c r="A4037" s="32"/>
    </row>
    <row r="4038" spans="1:1">
      <c r="A4038" s="32"/>
    </row>
    <row r="4039" spans="1:1">
      <c r="A4039" s="32"/>
    </row>
    <row r="4040" spans="1:1">
      <c r="A4040" s="32"/>
    </row>
    <row r="4041" spans="1:1">
      <c r="A4041" s="32"/>
    </row>
    <row r="4042" spans="1:1">
      <c r="A4042" s="32"/>
    </row>
    <row r="4043" spans="1:1">
      <c r="A4043" s="32"/>
    </row>
    <row r="4044" spans="1:1">
      <c r="A4044" s="32"/>
    </row>
    <row r="4045" spans="1:1">
      <c r="A4045" s="32"/>
    </row>
    <row r="4046" spans="1:1">
      <c r="A4046" s="32"/>
    </row>
    <row r="4047" spans="1:1">
      <c r="A4047" s="32"/>
    </row>
    <row r="4048" spans="1:1">
      <c r="A4048" s="32"/>
    </row>
    <row r="4049" spans="1:1">
      <c r="A4049" s="32"/>
    </row>
    <row r="4050" spans="1:1">
      <c r="A4050" s="32"/>
    </row>
    <row r="4051" spans="1:1">
      <c r="A4051" s="32"/>
    </row>
    <row r="4052" spans="1:1">
      <c r="A4052" s="32"/>
    </row>
    <row r="4053" spans="1:1">
      <c r="A4053" s="32"/>
    </row>
    <row r="4054" spans="1:1">
      <c r="A4054" s="32"/>
    </row>
    <row r="4055" spans="1:1">
      <c r="A4055" s="32"/>
    </row>
    <row r="4056" spans="1:1">
      <c r="A4056" s="32"/>
    </row>
    <row r="4057" spans="1:1">
      <c r="A4057" s="32"/>
    </row>
    <row r="4058" spans="1:1">
      <c r="A4058" s="32"/>
    </row>
    <row r="4059" spans="1:1">
      <c r="A4059" s="32"/>
    </row>
    <row r="4060" spans="1:1">
      <c r="A4060" s="32"/>
    </row>
    <row r="4061" spans="1:1">
      <c r="A4061" s="32"/>
    </row>
    <row r="4062" spans="1:1">
      <c r="A4062" s="32"/>
    </row>
    <row r="4063" spans="1:1">
      <c r="A4063" s="32"/>
    </row>
    <row r="4064" spans="1:1">
      <c r="A4064" s="32"/>
    </row>
    <row r="4065" spans="1:1">
      <c r="A4065" s="32"/>
    </row>
    <row r="4066" spans="1:1">
      <c r="A4066" s="32"/>
    </row>
    <row r="4067" spans="1:1">
      <c r="A4067" s="32"/>
    </row>
    <row r="4068" spans="1:1">
      <c r="A4068" s="32"/>
    </row>
    <row r="4069" spans="1:1">
      <c r="A4069" s="32"/>
    </row>
    <row r="4070" spans="1:1">
      <c r="A4070" s="32"/>
    </row>
    <row r="4071" spans="1:1">
      <c r="A4071" s="32"/>
    </row>
    <row r="4072" spans="1:1">
      <c r="A4072" s="32"/>
    </row>
    <row r="4073" spans="1:1">
      <c r="A4073" s="32"/>
    </row>
    <row r="4074" spans="1:1">
      <c r="A4074" s="32"/>
    </row>
    <row r="4075" spans="1:1">
      <c r="A4075" s="32"/>
    </row>
    <row r="4076" spans="1:1">
      <c r="A4076" s="32"/>
    </row>
    <row r="4077" spans="1:1">
      <c r="A4077" s="32"/>
    </row>
    <row r="4078" spans="1:1">
      <c r="A4078" s="32"/>
    </row>
    <row r="4079" spans="1:1">
      <c r="A4079" s="32"/>
    </row>
    <row r="4080" spans="1:1">
      <c r="A4080" s="32"/>
    </row>
    <row r="4081" spans="1:1">
      <c r="A4081" s="32"/>
    </row>
    <row r="4082" spans="1:1">
      <c r="A4082" s="32"/>
    </row>
    <row r="4083" spans="1:1">
      <c r="A4083" s="32"/>
    </row>
    <row r="4084" spans="1:1">
      <c r="A4084" s="32"/>
    </row>
    <row r="4085" spans="1:1">
      <c r="A4085" s="32"/>
    </row>
    <row r="4086" spans="1:1">
      <c r="A4086" s="32"/>
    </row>
    <row r="4087" spans="1:1">
      <c r="A4087" s="32"/>
    </row>
    <row r="4088" spans="1:1">
      <c r="A4088" s="32"/>
    </row>
    <row r="4089" spans="1:1">
      <c r="A4089" s="32"/>
    </row>
    <row r="4090" spans="1:1">
      <c r="A4090" s="32"/>
    </row>
    <row r="4091" spans="1:1">
      <c r="A4091" s="32"/>
    </row>
    <row r="4092" spans="1:1">
      <c r="A4092" s="32"/>
    </row>
    <row r="4093" spans="1:1">
      <c r="A4093" s="32"/>
    </row>
    <row r="4094" spans="1:1">
      <c r="A4094" s="32"/>
    </row>
    <row r="4095" spans="1:1">
      <c r="A4095" s="32"/>
    </row>
    <row r="4096" spans="1:1">
      <c r="A4096" s="32"/>
    </row>
    <row r="4097" spans="1:1">
      <c r="A4097" s="32"/>
    </row>
    <row r="4098" spans="1:1">
      <c r="A4098" s="32"/>
    </row>
    <row r="4099" spans="1:1">
      <c r="A4099" s="32"/>
    </row>
    <row r="4100" spans="1:1">
      <c r="A4100" s="32"/>
    </row>
    <row r="4101" spans="1:1">
      <c r="A4101" s="32"/>
    </row>
    <row r="4102" spans="1:1">
      <c r="A4102" s="32"/>
    </row>
    <row r="4103" spans="1:1">
      <c r="A4103" s="32"/>
    </row>
    <row r="4104" spans="1:1">
      <c r="A4104" s="32"/>
    </row>
    <row r="4105" spans="1:1">
      <c r="A4105" s="32"/>
    </row>
    <row r="4106" spans="1:1">
      <c r="A4106" s="32"/>
    </row>
    <row r="4107" spans="1:1">
      <c r="A4107" s="32"/>
    </row>
    <row r="4108" spans="1:1">
      <c r="A4108" s="32"/>
    </row>
    <row r="4109" spans="1:1">
      <c r="A4109" s="32"/>
    </row>
    <row r="4110" spans="1:1">
      <c r="A4110" s="32"/>
    </row>
    <row r="4111" spans="1:1">
      <c r="A4111" s="32"/>
    </row>
    <row r="4112" spans="1:1">
      <c r="A4112" s="32"/>
    </row>
    <row r="4113" spans="1:1">
      <c r="A4113" s="32"/>
    </row>
    <row r="4114" spans="1:1">
      <c r="A4114" s="32"/>
    </row>
    <row r="4115" spans="1:1">
      <c r="A4115" s="32"/>
    </row>
    <row r="4116" spans="1:1">
      <c r="A4116" s="32"/>
    </row>
    <row r="4117" spans="1:1">
      <c r="A4117" s="32"/>
    </row>
    <row r="4118" spans="1:1">
      <c r="A4118" s="32"/>
    </row>
    <row r="4119" spans="1:1">
      <c r="A4119" s="32"/>
    </row>
    <row r="4120" spans="1:1">
      <c r="A4120" s="32"/>
    </row>
    <row r="4121" spans="1:1">
      <c r="A4121" s="32"/>
    </row>
    <row r="4122" spans="1:1">
      <c r="A4122" s="32"/>
    </row>
    <row r="4123" spans="1:1">
      <c r="A4123" s="32"/>
    </row>
    <row r="4124" spans="1:1">
      <c r="A4124" s="32"/>
    </row>
    <row r="4125" spans="1:1">
      <c r="A4125" s="32"/>
    </row>
    <row r="4126" spans="1:1">
      <c r="A4126" s="32"/>
    </row>
    <row r="4127" spans="1:1">
      <c r="A4127" s="32"/>
    </row>
    <row r="4128" spans="1:1">
      <c r="A4128" s="32"/>
    </row>
    <row r="4129" spans="1:1">
      <c r="A4129" s="32"/>
    </row>
    <row r="4130" spans="1:1">
      <c r="A4130" s="32"/>
    </row>
    <row r="4131" spans="1:1">
      <c r="A4131" s="32"/>
    </row>
    <row r="4132" spans="1:1">
      <c r="A4132" s="32"/>
    </row>
    <row r="4133" spans="1:1">
      <c r="A4133" s="32"/>
    </row>
    <row r="4134" spans="1:1">
      <c r="A4134" s="32"/>
    </row>
    <row r="4135" spans="1:1">
      <c r="A4135" s="32"/>
    </row>
    <row r="4136" spans="1:1">
      <c r="A4136" s="32"/>
    </row>
    <row r="4137" spans="1:1">
      <c r="A4137" s="32"/>
    </row>
    <row r="4138" spans="1:1">
      <c r="A4138" s="32"/>
    </row>
    <row r="4139" spans="1:1">
      <c r="A4139" s="32"/>
    </row>
    <row r="4140" spans="1:1">
      <c r="A4140" s="32"/>
    </row>
    <row r="4141" spans="1:1">
      <c r="A4141" s="32"/>
    </row>
    <row r="4142" spans="1:1">
      <c r="A4142" s="32"/>
    </row>
    <row r="4143" spans="1:1">
      <c r="A4143" s="32"/>
    </row>
    <row r="4144" spans="1:1">
      <c r="A4144" s="32"/>
    </row>
    <row r="4145" spans="1:1">
      <c r="A4145" s="32"/>
    </row>
    <row r="4146" spans="1:1">
      <c r="A4146" s="32"/>
    </row>
    <row r="4147" spans="1:1">
      <c r="A4147" s="32"/>
    </row>
    <row r="4148" spans="1:1">
      <c r="A4148" s="32"/>
    </row>
    <row r="4149" spans="1:1">
      <c r="A4149" s="32"/>
    </row>
    <row r="4150" spans="1:1">
      <c r="A4150" s="32"/>
    </row>
    <row r="4151" spans="1:1">
      <c r="A4151" s="32"/>
    </row>
    <row r="4152" spans="1:1">
      <c r="A4152" s="32"/>
    </row>
    <row r="4153" spans="1:1">
      <c r="A4153" s="32"/>
    </row>
    <row r="4154" spans="1:1">
      <c r="A4154" s="32"/>
    </row>
    <row r="4155" spans="1:1">
      <c r="A4155" s="32"/>
    </row>
    <row r="4156" spans="1:1">
      <c r="A4156" s="32"/>
    </row>
    <row r="4157" spans="1:1">
      <c r="A4157" s="32"/>
    </row>
    <row r="4158" spans="1:1">
      <c r="A4158" s="32"/>
    </row>
    <row r="4159" spans="1:1">
      <c r="A4159" s="32"/>
    </row>
    <row r="4160" spans="1:1">
      <c r="A4160" s="32"/>
    </row>
    <row r="4161" spans="1:1">
      <c r="A4161" s="32"/>
    </row>
    <row r="4162" spans="1:1">
      <c r="A4162" s="32"/>
    </row>
    <row r="4163" spans="1:1">
      <c r="A4163" s="32"/>
    </row>
    <row r="4164" spans="1:1">
      <c r="A4164" s="32"/>
    </row>
    <row r="4165" spans="1:1">
      <c r="A4165" s="32"/>
    </row>
    <row r="4166" spans="1:1">
      <c r="A4166" s="32"/>
    </row>
    <row r="4167" spans="1:1">
      <c r="A4167" s="32"/>
    </row>
    <row r="4168" spans="1:1">
      <c r="A4168" s="32"/>
    </row>
    <row r="4169" spans="1:1">
      <c r="A4169" s="32"/>
    </row>
    <row r="4170" spans="1:1">
      <c r="A4170" s="32"/>
    </row>
    <row r="4171" spans="1:1">
      <c r="A4171" s="32"/>
    </row>
    <row r="4172" spans="1:1">
      <c r="A4172" s="32"/>
    </row>
    <row r="4173" spans="1:1">
      <c r="A4173" s="32"/>
    </row>
    <row r="4174" spans="1:1">
      <c r="A4174" s="32"/>
    </row>
    <row r="4175" spans="1:1">
      <c r="A4175" s="32"/>
    </row>
    <row r="4176" spans="1:1">
      <c r="A4176" s="32"/>
    </row>
    <row r="4177" spans="1:1">
      <c r="A4177" s="32"/>
    </row>
    <row r="4178" spans="1:1">
      <c r="A4178" s="32"/>
    </row>
    <row r="4179" spans="1:1">
      <c r="A4179" s="32"/>
    </row>
    <row r="4180" spans="1:1">
      <c r="A4180" s="32"/>
    </row>
    <row r="4181" spans="1:1">
      <c r="A4181" s="32"/>
    </row>
    <row r="4182" spans="1:1">
      <c r="A4182" s="32"/>
    </row>
    <row r="4183" spans="1:1">
      <c r="A4183" s="32"/>
    </row>
    <row r="4184" spans="1:1">
      <c r="A4184" s="32"/>
    </row>
    <row r="4185" spans="1:1">
      <c r="A4185" s="32"/>
    </row>
    <row r="4186" spans="1:1">
      <c r="A4186" s="32"/>
    </row>
    <row r="4187" spans="1:1">
      <c r="A4187" s="32"/>
    </row>
    <row r="4188" spans="1:1">
      <c r="A4188" s="32"/>
    </row>
    <row r="4189" spans="1:1">
      <c r="A4189" s="32"/>
    </row>
    <row r="4190" spans="1:1">
      <c r="A4190" s="32"/>
    </row>
    <row r="4191" spans="1:1">
      <c r="A4191" s="32"/>
    </row>
    <row r="4192" spans="1:1">
      <c r="A4192" s="32"/>
    </row>
    <row r="4193" spans="1:1">
      <c r="A4193" s="32"/>
    </row>
    <row r="4194" spans="1:1">
      <c r="A4194" s="32"/>
    </row>
    <row r="4195" spans="1:1">
      <c r="A4195" s="32"/>
    </row>
    <row r="4196" spans="1:1">
      <c r="A4196" s="32"/>
    </row>
    <row r="4197" spans="1:1">
      <c r="A4197" s="32"/>
    </row>
    <row r="4198" spans="1:1">
      <c r="A4198" s="32"/>
    </row>
    <row r="4199" spans="1:1">
      <c r="A4199" s="32"/>
    </row>
    <row r="4200" spans="1:1">
      <c r="A4200" s="32"/>
    </row>
    <row r="4201" spans="1:1">
      <c r="A4201" s="32"/>
    </row>
    <row r="4202" spans="1:1">
      <c r="A4202" s="32"/>
    </row>
    <row r="4203" spans="1:1">
      <c r="A4203" s="32"/>
    </row>
    <row r="4204" spans="1:1">
      <c r="A4204" s="32"/>
    </row>
    <row r="4205" spans="1:1">
      <c r="A4205" s="32"/>
    </row>
    <row r="4206" spans="1:1">
      <c r="A4206" s="32"/>
    </row>
    <row r="4207" spans="1:1">
      <c r="A4207" s="32"/>
    </row>
    <row r="4208" spans="1:1">
      <c r="A4208" s="32"/>
    </row>
    <row r="4209" spans="1:1">
      <c r="A4209" s="32"/>
    </row>
    <row r="4210" spans="1:1">
      <c r="A4210" s="32"/>
    </row>
    <row r="4211" spans="1:1">
      <c r="A4211" s="32"/>
    </row>
    <row r="4212" spans="1:1">
      <c r="A4212" s="32"/>
    </row>
    <row r="4213" spans="1:1">
      <c r="A4213" s="32"/>
    </row>
    <row r="4214" spans="1:1">
      <c r="A4214" s="32"/>
    </row>
    <row r="4215" spans="1:1">
      <c r="A4215" s="32"/>
    </row>
    <row r="4216" spans="1:1">
      <c r="A4216" s="32"/>
    </row>
    <row r="4217" spans="1:1">
      <c r="A4217" s="32"/>
    </row>
    <row r="4218" spans="1:1">
      <c r="A4218" s="32"/>
    </row>
    <row r="4219" spans="1:1">
      <c r="A4219" s="32"/>
    </row>
    <row r="4220" spans="1:1">
      <c r="A4220" s="32"/>
    </row>
    <row r="4221" spans="1:1">
      <c r="A4221" s="32"/>
    </row>
    <row r="4222" spans="1:1">
      <c r="A4222" s="32"/>
    </row>
    <row r="4223" spans="1:1">
      <c r="A4223" s="32"/>
    </row>
    <row r="4224" spans="1:1">
      <c r="A4224" s="32"/>
    </row>
    <row r="4225" spans="1:1">
      <c r="A4225" s="32"/>
    </row>
    <row r="4226" spans="1:1">
      <c r="A4226" s="32"/>
    </row>
    <row r="4227" spans="1:1">
      <c r="A4227" s="32"/>
    </row>
    <row r="4228" spans="1:1">
      <c r="A4228" s="32"/>
    </row>
    <row r="4229" spans="1:1">
      <c r="A4229" s="32"/>
    </row>
    <row r="4230" spans="1:1">
      <c r="A4230" s="32"/>
    </row>
    <row r="4231" spans="1:1">
      <c r="A4231" s="32"/>
    </row>
    <row r="4232" spans="1:1">
      <c r="A4232" s="32"/>
    </row>
    <row r="4233" spans="1:1">
      <c r="A4233" s="32"/>
    </row>
    <row r="4234" spans="1:1">
      <c r="A4234" s="32"/>
    </row>
    <row r="4235" spans="1:1">
      <c r="A4235" s="32"/>
    </row>
    <row r="4236" spans="1:1">
      <c r="A4236" s="32"/>
    </row>
    <row r="4237" spans="1:1">
      <c r="A4237" s="32"/>
    </row>
    <row r="4238" spans="1:1">
      <c r="A4238" s="32"/>
    </row>
    <row r="4239" spans="1:1">
      <c r="A4239" s="32"/>
    </row>
    <row r="4240" spans="1:1">
      <c r="A4240" s="32"/>
    </row>
    <row r="4241" spans="1:1">
      <c r="A4241" s="32"/>
    </row>
    <row r="4242" spans="1:1">
      <c r="A4242" s="32"/>
    </row>
    <row r="4243" spans="1:1">
      <c r="A4243" s="32"/>
    </row>
    <row r="4244" spans="1:1">
      <c r="A4244" s="32"/>
    </row>
    <row r="4245" spans="1:1">
      <c r="A4245" s="32"/>
    </row>
    <row r="4246" spans="1:1">
      <c r="A4246" s="32"/>
    </row>
    <row r="4247" spans="1:1">
      <c r="A4247" s="32"/>
    </row>
    <row r="4248" spans="1:1">
      <c r="A4248" s="32"/>
    </row>
    <row r="4249" spans="1:1">
      <c r="A4249" s="32"/>
    </row>
    <row r="4250" spans="1:1">
      <c r="A4250" s="32"/>
    </row>
    <row r="4251" spans="1:1">
      <c r="A4251" s="32"/>
    </row>
    <row r="4252" spans="1:1">
      <c r="A4252" s="32"/>
    </row>
    <row r="4253" spans="1:1">
      <c r="A4253" s="32"/>
    </row>
    <row r="4254" spans="1:1">
      <c r="A4254" s="32"/>
    </row>
    <row r="4255" spans="1:1">
      <c r="A4255" s="32"/>
    </row>
    <row r="4256" spans="1:1">
      <c r="A4256" s="32"/>
    </row>
    <row r="4257" spans="1:1">
      <c r="A4257" s="32"/>
    </row>
    <row r="4258" spans="1:1">
      <c r="A4258" s="32"/>
    </row>
    <row r="4259" spans="1:1">
      <c r="A4259" s="32"/>
    </row>
    <row r="4260" spans="1:1">
      <c r="A4260" s="32"/>
    </row>
    <row r="4261" spans="1:1">
      <c r="A4261" s="32"/>
    </row>
    <row r="4262" spans="1:1">
      <c r="A4262" s="32"/>
    </row>
    <row r="4263" spans="1:1">
      <c r="A4263" s="32"/>
    </row>
    <row r="4264" spans="1:1">
      <c r="A4264" s="32"/>
    </row>
    <row r="4265" spans="1:1">
      <c r="A4265" s="32"/>
    </row>
    <row r="4266" spans="1:1">
      <c r="A4266" s="32"/>
    </row>
    <row r="4267" spans="1:1">
      <c r="A4267" s="32"/>
    </row>
    <row r="4268" spans="1:1">
      <c r="A4268" s="32"/>
    </row>
    <row r="4269" spans="1:1">
      <c r="A4269" s="32"/>
    </row>
    <row r="4270" spans="1:1">
      <c r="A4270" s="32"/>
    </row>
    <row r="4271" spans="1:1">
      <c r="A4271" s="32"/>
    </row>
    <row r="4272" spans="1:1">
      <c r="A4272" s="32"/>
    </row>
    <row r="4273" spans="1:1">
      <c r="A4273" s="32"/>
    </row>
    <row r="4274" spans="1:1">
      <c r="A4274" s="32"/>
    </row>
    <row r="4275" spans="1:1">
      <c r="A4275" s="32"/>
    </row>
    <row r="4276" spans="1:1">
      <c r="A4276" s="32"/>
    </row>
    <row r="4277" spans="1:1">
      <c r="A4277" s="32"/>
    </row>
    <row r="4278" spans="1:1">
      <c r="A4278" s="32"/>
    </row>
    <row r="4279" spans="1:1">
      <c r="A4279" s="32"/>
    </row>
    <row r="4280" spans="1:1">
      <c r="A4280" s="32"/>
    </row>
    <row r="4281" spans="1:1">
      <c r="A4281" s="32"/>
    </row>
    <row r="4282" spans="1:1">
      <c r="A4282" s="32"/>
    </row>
    <row r="4283" spans="1:1">
      <c r="A4283" s="32"/>
    </row>
    <row r="4284" spans="1:1">
      <c r="A4284" s="32"/>
    </row>
    <row r="4285" spans="1:1">
      <c r="A4285" s="32"/>
    </row>
    <row r="4286" spans="1:1">
      <c r="A4286" s="32"/>
    </row>
    <row r="4287" spans="1:1">
      <c r="A4287" s="32"/>
    </row>
    <row r="4288" spans="1:1">
      <c r="A4288" s="32"/>
    </row>
    <row r="4289" spans="1:1">
      <c r="A4289" s="32"/>
    </row>
    <row r="4290" spans="1:1">
      <c r="A4290" s="32"/>
    </row>
    <row r="4291" spans="1:1">
      <c r="A4291" s="32"/>
    </row>
    <row r="4292" spans="1:1">
      <c r="A4292" s="32"/>
    </row>
    <row r="4293" spans="1:1">
      <c r="A4293" s="32"/>
    </row>
    <row r="4294" spans="1:1">
      <c r="A4294" s="32"/>
    </row>
    <row r="4295" spans="1:1">
      <c r="A4295" s="32"/>
    </row>
    <row r="4296" spans="1:1">
      <c r="A4296" s="32"/>
    </row>
    <row r="4297" spans="1:1">
      <c r="A4297" s="32"/>
    </row>
    <row r="4298" spans="1:1">
      <c r="A4298" s="32"/>
    </row>
    <row r="4299" spans="1:1">
      <c r="A4299" s="32"/>
    </row>
    <row r="4300" spans="1:1">
      <c r="A4300" s="32"/>
    </row>
    <row r="4301" spans="1:1">
      <c r="A4301" s="32"/>
    </row>
    <row r="4302" spans="1:1">
      <c r="A4302" s="32"/>
    </row>
    <row r="4303" spans="1:1">
      <c r="A4303" s="32"/>
    </row>
    <row r="4304" spans="1:1">
      <c r="A4304" s="32"/>
    </row>
    <row r="4305" spans="1:1">
      <c r="A4305" s="32"/>
    </row>
    <row r="4306" spans="1:1">
      <c r="A4306" s="32"/>
    </row>
    <row r="4307" spans="1:1">
      <c r="A4307" s="32"/>
    </row>
    <row r="4308" spans="1:1">
      <c r="A4308" s="32"/>
    </row>
    <row r="4309" spans="1:1">
      <c r="A4309" s="32"/>
    </row>
    <row r="4310" spans="1:1">
      <c r="A4310" s="32"/>
    </row>
    <row r="4311" spans="1:1">
      <c r="A4311" s="32"/>
    </row>
    <row r="4312" spans="1:1">
      <c r="A4312" s="32"/>
    </row>
    <row r="4313" spans="1:1">
      <c r="A4313" s="32"/>
    </row>
    <row r="4314" spans="1:1">
      <c r="A4314" s="32"/>
    </row>
    <row r="4315" spans="1:1">
      <c r="A4315" s="32"/>
    </row>
    <row r="4316" spans="1:1">
      <c r="A4316" s="32"/>
    </row>
    <row r="4317" spans="1:1">
      <c r="A4317" s="32"/>
    </row>
    <row r="4318" spans="1:1">
      <c r="A4318" s="32"/>
    </row>
    <row r="4319" spans="1:1">
      <c r="A4319" s="32"/>
    </row>
    <row r="4320" spans="1:1">
      <c r="A4320" s="32"/>
    </row>
    <row r="4321" spans="1:1">
      <c r="A4321" s="32"/>
    </row>
    <row r="4322" spans="1:1">
      <c r="A4322" s="32"/>
    </row>
    <row r="4323" spans="1:1">
      <c r="A4323" s="32"/>
    </row>
    <row r="4324" spans="1:1">
      <c r="A4324" s="32"/>
    </row>
    <row r="4325" spans="1:1">
      <c r="A4325" s="32"/>
    </row>
    <row r="4326" spans="1:1">
      <c r="A4326" s="32"/>
    </row>
    <row r="4327" spans="1:1">
      <c r="A4327" s="32"/>
    </row>
    <row r="4328" spans="1:1">
      <c r="A4328" s="32"/>
    </row>
    <row r="4329" spans="1:1">
      <c r="A4329" s="32"/>
    </row>
    <row r="4330" spans="1:1">
      <c r="A4330" s="32"/>
    </row>
    <row r="4331" spans="1:1">
      <c r="A4331" s="32"/>
    </row>
    <row r="4332" spans="1:1">
      <c r="A4332" s="32"/>
    </row>
    <row r="4333" spans="1:1">
      <c r="A4333" s="32"/>
    </row>
    <row r="4334" spans="1:1">
      <c r="A4334" s="32"/>
    </row>
    <row r="4335" spans="1:1">
      <c r="A4335" s="32"/>
    </row>
    <row r="4336" spans="1:1">
      <c r="A4336" s="32"/>
    </row>
    <row r="4337" spans="1:1">
      <c r="A4337" s="32"/>
    </row>
    <row r="4338" spans="1:1">
      <c r="A4338" s="32"/>
    </row>
    <row r="4339" spans="1:1">
      <c r="A4339" s="32"/>
    </row>
    <row r="4340" spans="1:1">
      <c r="A4340" s="32"/>
    </row>
    <row r="4341" spans="1:1">
      <c r="A4341" s="32"/>
    </row>
    <row r="4342" spans="1:1">
      <c r="A4342" s="32"/>
    </row>
    <row r="4343" spans="1:1">
      <c r="A4343" s="32"/>
    </row>
    <row r="4344" spans="1:1">
      <c r="A4344" s="32"/>
    </row>
    <row r="4345" spans="1:1">
      <c r="A4345" s="32"/>
    </row>
    <row r="4346" spans="1:1">
      <c r="A4346" s="32"/>
    </row>
    <row r="4347" spans="1:1">
      <c r="A4347" s="32"/>
    </row>
    <row r="4348" spans="1:1">
      <c r="A4348" s="32"/>
    </row>
    <row r="4349" spans="1:1">
      <c r="A4349" s="32"/>
    </row>
    <row r="4350" spans="1:1">
      <c r="A4350" s="32"/>
    </row>
    <row r="4351" spans="1:1">
      <c r="A4351" s="32"/>
    </row>
    <row r="4352" spans="1:1">
      <c r="A4352" s="32"/>
    </row>
    <row r="4353" spans="1:1">
      <c r="A4353" s="32"/>
    </row>
    <row r="4354" spans="1:1">
      <c r="A4354" s="32"/>
    </row>
    <row r="4355" spans="1:1">
      <c r="A4355" s="32"/>
    </row>
    <row r="4356" spans="1:1">
      <c r="A4356" s="32"/>
    </row>
    <row r="4357" spans="1:1">
      <c r="A4357" s="32"/>
    </row>
    <row r="4358" spans="1:1">
      <c r="A4358" s="32"/>
    </row>
    <row r="4359" spans="1:1">
      <c r="A4359" s="32"/>
    </row>
    <row r="4360" spans="1:1">
      <c r="A4360" s="32"/>
    </row>
    <row r="4361" spans="1:1">
      <c r="A4361" s="32"/>
    </row>
    <row r="4362" spans="1:1">
      <c r="A4362" s="32"/>
    </row>
    <row r="4363" spans="1:1">
      <c r="A4363" s="32"/>
    </row>
    <row r="4364" spans="1:1">
      <c r="A4364" s="32"/>
    </row>
    <row r="4365" spans="1:1">
      <c r="A4365" s="32"/>
    </row>
    <row r="4366" spans="1:1">
      <c r="A4366" s="32"/>
    </row>
    <row r="4367" spans="1:1">
      <c r="A4367" s="32"/>
    </row>
    <row r="4368" spans="1:1">
      <c r="A4368" s="32"/>
    </row>
    <row r="4369" spans="1:1">
      <c r="A4369" s="32"/>
    </row>
    <row r="4370" spans="1:1">
      <c r="A4370" s="32"/>
    </row>
    <row r="4371" spans="1:1">
      <c r="A4371" s="32"/>
    </row>
    <row r="4372" spans="1:1">
      <c r="A4372" s="32"/>
    </row>
    <row r="4373" spans="1:1">
      <c r="A4373" s="32"/>
    </row>
    <row r="4374" spans="1:1">
      <c r="A4374" s="32"/>
    </row>
    <row r="4375" spans="1:1">
      <c r="A4375" s="32"/>
    </row>
    <row r="4376" spans="1:1">
      <c r="A4376" s="32"/>
    </row>
    <row r="4377" spans="1:1">
      <c r="A4377" s="32"/>
    </row>
    <row r="4378" spans="1:1">
      <c r="A4378" s="32"/>
    </row>
    <row r="4379" spans="1:1">
      <c r="A4379" s="32"/>
    </row>
    <row r="4380" spans="1:1">
      <c r="A4380" s="32"/>
    </row>
    <row r="4381" spans="1:1">
      <c r="A4381" s="32"/>
    </row>
    <row r="4382" spans="1:1">
      <c r="A4382" s="32"/>
    </row>
    <row r="4383" spans="1:1">
      <c r="A4383" s="32"/>
    </row>
    <row r="4384" spans="1:1">
      <c r="A4384" s="32"/>
    </row>
    <row r="4385" spans="1:1">
      <c r="A4385" s="32"/>
    </row>
    <row r="4386" spans="1:1">
      <c r="A4386" s="32"/>
    </row>
    <row r="4387" spans="1:1">
      <c r="A4387" s="32"/>
    </row>
    <row r="4388" spans="1:1">
      <c r="A4388" s="32"/>
    </row>
    <row r="4389" spans="1:1">
      <c r="A4389" s="32"/>
    </row>
    <row r="4390" spans="1:1">
      <c r="A4390" s="32"/>
    </row>
    <row r="4391" spans="1:1">
      <c r="A4391" s="32"/>
    </row>
    <row r="4392" spans="1:1">
      <c r="A4392" s="32"/>
    </row>
    <row r="4393" spans="1:1">
      <c r="A4393" s="32"/>
    </row>
    <row r="4394" spans="1:1">
      <c r="A4394" s="32"/>
    </row>
    <row r="4395" spans="1:1">
      <c r="A4395" s="32"/>
    </row>
    <row r="4396" spans="1:1">
      <c r="A4396" s="32"/>
    </row>
    <row r="4397" spans="1:1">
      <c r="A4397" s="32"/>
    </row>
    <row r="4398" spans="1:1">
      <c r="A4398" s="32"/>
    </row>
    <row r="4399" spans="1:1">
      <c r="A4399" s="32"/>
    </row>
    <row r="4400" spans="1:1">
      <c r="A4400" s="32"/>
    </row>
    <row r="4401" spans="1:1">
      <c r="A4401" s="32"/>
    </row>
    <row r="4402" spans="1:1">
      <c r="A4402" s="32"/>
    </row>
    <row r="4403" spans="1:1">
      <c r="A4403" s="32"/>
    </row>
    <row r="4404" spans="1:1">
      <c r="A4404" s="32"/>
    </row>
    <row r="4405" spans="1:1">
      <c r="A4405" s="32"/>
    </row>
    <row r="4406" spans="1:1">
      <c r="A4406" s="32"/>
    </row>
    <row r="4407" spans="1:1">
      <c r="A4407" s="32"/>
    </row>
    <row r="4408" spans="1:1">
      <c r="A4408" s="32"/>
    </row>
    <row r="4409" spans="1:1">
      <c r="A4409" s="32"/>
    </row>
    <row r="4410" spans="1:1">
      <c r="A4410" s="32"/>
    </row>
    <row r="4411" spans="1:1">
      <c r="A4411" s="32"/>
    </row>
    <row r="4412" spans="1:1">
      <c r="A4412" s="32"/>
    </row>
    <row r="4413" spans="1:1">
      <c r="A4413" s="32"/>
    </row>
    <row r="4414" spans="1:1">
      <c r="A4414" s="32"/>
    </row>
    <row r="4415" spans="1:1">
      <c r="A4415" s="32"/>
    </row>
    <row r="4416" spans="1:1">
      <c r="A4416" s="32"/>
    </row>
    <row r="4417" spans="1:1">
      <c r="A4417" s="32"/>
    </row>
    <row r="4418" spans="1:1">
      <c r="A4418" s="32"/>
    </row>
    <row r="4419" spans="1:1">
      <c r="A4419" s="32"/>
    </row>
    <row r="4420" spans="1:1">
      <c r="A4420" s="32"/>
    </row>
    <row r="4421" spans="1:1">
      <c r="A4421" s="32"/>
    </row>
    <row r="4422" spans="1:1">
      <c r="A4422" s="32"/>
    </row>
    <row r="4423" spans="1:1">
      <c r="A4423" s="32"/>
    </row>
    <row r="4424" spans="1:1">
      <c r="A4424" s="32"/>
    </row>
    <row r="4425" spans="1:1">
      <c r="A4425" s="32"/>
    </row>
    <row r="4426" spans="1:1">
      <c r="A4426" s="32"/>
    </row>
    <row r="4427" spans="1:1">
      <c r="A4427" s="32"/>
    </row>
    <row r="4428" spans="1:1">
      <c r="A4428" s="32"/>
    </row>
    <row r="4429" spans="1:1">
      <c r="A4429" s="32"/>
    </row>
    <row r="4430" spans="1:1">
      <c r="A4430" s="32"/>
    </row>
    <row r="4431" spans="1:1">
      <c r="A4431" s="32"/>
    </row>
    <row r="4432" spans="1:1">
      <c r="A4432" s="32"/>
    </row>
    <row r="4433" spans="1:1">
      <c r="A4433" s="32"/>
    </row>
    <row r="4434" spans="1:1">
      <c r="A4434" s="32"/>
    </row>
    <row r="4435" spans="1:1">
      <c r="A4435" s="32"/>
    </row>
    <row r="4436" spans="1:1">
      <c r="A4436" s="32"/>
    </row>
    <row r="4437" spans="1:1">
      <c r="A4437" s="32"/>
    </row>
    <row r="4438" spans="1:1">
      <c r="A4438" s="32"/>
    </row>
    <row r="4439" spans="1:1">
      <c r="A4439" s="32"/>
    </row>
    <row r="4440" spans="1:1">
      <c r="A4440" s="32"/>
    </row>
    <row r="4441" spans="1:1">
      <c r="A4441" s="32"/>
    </row>
    <row r="4442" spans="1:1">
      <c r="A4442" s="32"/>
    </row>
    <row r="4443" spans="1:1">
      <c r="A4443" s="32"/>
    </row>
    <row r="4444" spans="1:1">
      <c r="A4444" s="32"/>
    </row>
    <row r="4445" spans="1:1">
      <c r="A4445" s="32"/>
    </row>
    <row r="4446" spans="1:1">
      <c r="A4446" s="32"/>
    </row>
    <row r="4447" spans="1:1">
      <c r="A4447" s="32"/>
    </row>
    <row r="4448" spans="1:1">
      <c r="A4448" s="32"/>
    </row>
    <row r="4449" spans="1:1">
      <c r="A4449" s="32"/>
    </row>
    <row r="4450" spans="1:1">
      <c r="A4450" s="32"/>
    </row>
    <row r="4451" spans="1:1">
      <c r="A4451" s="32"/>
    </row>
    <row r="4452" spans="1:1">
      <c r="A4452" s="32"/>
    </row>
    <row r="4453" spans="1:1">
      <c r="A4453" s="32"/>
    </row>
    <row r="4454" spans="1:1">
      <c r="A4454" s="32"/>
    </row>
    <row r="4455" spans="1:1">
      <c r="A4455" s="32"/>
    </row>
    <row r="4456" spans="1:1">
      <c r="A4456" s="32"/>
    </row>
    <row r="4457" spans="1:1">
      <c r="A4457" s="32"/>
    </row>
    <row r="4458" spans="1:1">
      <c r="A4458" s="32"/>
    </row>
    <row r="4459" spans="1:1">
      <c r="A4459" s="32"/>
    </row>
    <row r="4460" spans="1:1">
      <c r="A4460" s="32"/>
    </row>
    <row r="4461" spans="1:1">
      <c r="A4461" s="32"/>
    </row>
    <row r="4462" spans="1:1">
      <c r="A4462" s="32"/>
    </row>
    <row r="4463" spans="1:1">
      <c r="A4463" s="32"/>
    </row>
    <row r="4464" spans="1:1">
      <c r="A4464" s="32"/>
    </row>
    <row r="4465" spans="1:1">
      <c r="A4465" s="32"/>
    </row>
    <row r="4466" spans="1:1">
      <c r="A4466" s="32"/>
    </row>
    <row r="4467" spans="1:1">
      <c r="A4467" s="32"/>
    </row>
    <row r="4468" spans="1:1">
      <c r="A4468" s="32"/>
    </row>
    <row r="4469" spans="1:1">
      <c r="A4469" s="32"/>
    </row>
    <row r="4470" spans="1:1">
      <c r="A4470" s="32"/>
    </row>
    <row r="4471" spans="1:1">
      <c r="A4471" s="32"/>
    </row>
    <row r="4472" spans="1:1">
      <c r="A4472" s="32"/>
    </row>
    <row r="4473" spans="1:1">
      <c r="A4473" s="32"/>
    </row>
    <row r="4474" spans="1:1">
      <c r="A4474" s="32"/>
    </row>
    <row r="4475" spans="1:1">
      <c r="A4475" s="32"/>
    </row>
    <row r="4476" spans="1:1">
      <c r="A4476" s="32"/>
    </row>
    <row r="4477" spans="1:1">
      <c r="A4477" s="32"/>
    </row>
    <row r="4478" spans="1:1">
      <c r="A4478" s="32"/>
    </row>
    <row r="4479" spans="1:1">
      <c r="A4479" s="32"/>
    </row>
    <row r="4480" spans="1:1">
      <c r="A4480" s="32"/>
    </row>
    <row r="4481" spans="1:1">
      <c r="A4481" s="32"/>
    </row>
    <row r="4482" spans="1:1">
      <c r="A4482" s="32"/>
    </row>
    <row r="4483" spans="1:1">
      <c r="A4483" s="32"/>
    </row>
    <row r="4484" spans="1:1">
      <c r="A4484" s="32"/>
    </row>
    <row r="4485" spans="1:1">
      <c r="A4485" s="32"/>
    </row>
    <row r="4486" spans="1:1">
      <c r="A4486" s="32"/>
    </row>
    <row r="4487" spans="1:1">
      <c r="A4487" s="32"/>
    </row>
    <row r="4488" spans="1:1">
      <c r="A4488" s="32"/>
    </row>
    <row r="4489" spans="1:1">
      <c r="A4489" s="32"/>
    </row>
    <row r="4490" spans="1:1">
      <c r="A4490" s="32"/>
    </row>
    <row r="4491" spans="1:1">
      <c r="A4491" s="32"/>
    </row>
    <row r="4492" spans="1:1">
      <c r="A4492" s="32"/>
    </row>
    <row r="4493" spans="1:1">
      <c r="A4493" s="32"/>
    </row>
    <row r="4494" spans="1:1">
      <c r="A4494" s="32"/>
    </row>
    <row r="4495" spans="1:1">
      <c r="A4495" s="32"/>
    </row>
    <row r="4496" spans="1:1">
      <c r="A4496" s="32"/>
    </row>
    <row r="4497" spans="1:1">
      <c r="A4497" s="32"/>
    </row>
    <row r="4498" spans="1:1">
      <c r="A4498" s="32"/>
    </row>
    <row r="4499" spans="1:1">
      <c r="A4499" s="32"/>
    </row>
    <row r="4500" spans="1:1">
      <c r="A4500" s="32"/>
    </row>
    <row r="4501" spans="1:1">
      <c r="A4501" s="32"/>
    </row>
    <row r="4502" spans="1:1">
      <c r="A4502" s="32"/>
    </row>
    <row r="4503" spans="1:1">
      <c r="A4503" s="32"/>
    </row>
    <row r="4504" spans="1:1">
      <c r="A4504" s="32"/>
    </row>
    <row r="4505" spans="1:1">
      <c r="A4505" s="32"/>
    </row>
    <row r="4506" spans="1:1">
      <c r="A4506" s="32"/>
    </row>
    <row r="4507" spans="1:1">
      <c r="A4507" s="32"/>
    </row>
    <row r="4508" spans="1:1">
      <c r="A4508" s="32"/>
    </row>
    <row r="4509" spans="1:1">
      <c r="A4509" s="32"/>
    </row>
    <row r="4510" spans="1:1">
      <c r="A4510" s="32"/>
    </row>
    <row r="4511" spans="1:1">
      <c r="A4511" s="32"/>
    </row>
    <row r="4512" spans="1:1">
      <c r="A4512" s="32"/>
    </row>
    <row r="4513" spans="1:1">
      <c r="A4513" s="32"/>
    </row>
    <row r="4514" spans="1:1">
      <c r="A4514" s="32"/>
    </row>
    <row r="4515" spans="1:1">
      <c r="A4515" s="32"/>
    </row>
    <row r="4516" spans="1:1">
      <c r="A4516" s="32"/>
    </row>
    <row r="4517" spans="1:1">
      <c r="A4517" s="32"/>
    </row>
    <row r="4518" spans="1:1">
      <c r="A4518" s="32"/>
    </row>
    <row r="4519" spans="1:1">
      <c r="A4519" s="32"/>
    </row>
    <row r="4520" spans="1:1">
      <c r="A4520" s="32"/>
    </row>
    <row r="4521" spans="1:1">
      <c r="A4521" s="32"/>
    </row>
    <row r="4522" spans="1:1">
      <c r="A4522" s="32"/>
    </row>
    <row r="4523" spans="1:1">
      <c r="A4523" s="32"/>
    </row>
    <row r="4524" spans="1:1">
      <c r="A4524" s="32"/>
    </row>
    <row r="4525" spans="1:1">
      <c r="A4525" s="32"/>
    </row>
    <row r="4526" spans="1:1">
      <c r="A4526" s="32"/>
    </row>
    <row r="4527" spans="1:1">
      <c r="A4527" s="32"/>
    </row>
    <row r="4528" spans="1:1">
      <c r="A4528" s="32"/>
    </row>
    <row r="4529" spans="1:1">
      <c r="A4529" s="32"/>
    </row>
    <row r="4530" spans="1:1">
      <c r="A4530" s="32"/>
    </row>
    <row r="4531" spans="1:1">
      <c r="A4531" s="32"/>
    </row>
    <row r="4532" spans="1:1">
      <c r="A4532" s="32"/>
    </row>
    <row r="4533" spans="1:1">
      <c r="A4533" s="32"/>
    </row>
    <row r="4534" spans="1:1">
      <c r="A4534" s="32"/>
    </row>
    <row r="4535" spans="1:1">
      <c r="A4535" s="32"/>
    </row>
    <row r="4536" spans="1:1">
      <c r="A4536" s="32"/>
    </row>
    <row r="4537" spans="1:1">
      <c r="A4537" s="32"/>
    </row>
    <row r="4538" spans="1:1">
      <c r="A4538" s="32"/>
    </row>
    <row r="4539" spans="1:1">
      <c r="A4539" s="32"/>
    </row>
    <row r="4540" spans="1:1">
      <c r="A4540" s="32"/>
    </row>
    <row r="4541" spans="1:1">
      <c r="A4541" s="32"/>
    </row>
    <row r="4542" spans="1:1">
      <c r="A4542" s="32"/>
    </row>
    <row r="4543" spans="1:1">
      <c r="A4543" s="32"/>
    </row>
    <row r="4544" spans="1:1">
      <c r="A4544" s="32"/>
    </row>
    <row r="4545" spans="1:1">
      <c r="A4545" s="32"/>
    </row>
    <row r="4546" spans="1:1">
      <c r="A4546" s="32"/>
    </row>
    <row r="4547" spans="1:1">
      <c r="A4547" s="32"/>
    </row>
    <row r="4548" spans="1:1">
      <c r="A4548" s="32"/>
    </row>
    <row r="4549" spans="1:1">
      <c r="A4549" s="32"/>
    </row>
    <row r="4550" spans="1:1">
      <c r="A4550" s="32"/>
    </row>
    <row r="4551" spans="1:1">
      <c r="A4551" s="32"/>
    </row>
    <row r="4552" spans="1:1">
      <c r="A4552" s="32"/>
    </row>
    <row r="4553" spans="1:1">
      <c r="A4553" s="32"/>
    </row>
    <row r="4554" spans="1:1">
      <c r="A4554" s="32"/>
    </row>
    <row r="4555" spans="1:1">
      <c r="A4555" s="32"/>
    </row>
    <row r="4556" spans="1:1">
      <c r="A4556" s="32"/>
    </row>
    <row r="4557" spans="1:1">
      <c r="A4557" s="32"/>
    </row>
    <row r="4558" spans="1:1">
      <c r="A4558" s="32"/>
    </row>
    <row r="4559" spans="1:1">
      <c r="A4559" s="32"/>
    </row>
    <row r="4560" spans="1:1">
      <c r="A4560" s="32"/>
    </row>
    <row r="4561" spans="1:1">
      <c r="A4561" s="32"/>
    </row>
    <row r="4562" spans="1:1">
      <c r="A4562" s="32"/>
    </row>
    <row r="4563" spans="1:1">
      <c r="A4563" s="32"/>
    </row>
    <row r="4564" spans="1:1">
      <c r="A4564" s="32"/>
    </row>
    <row r="4565" spans="1:1">
      <c r="A4565" s="32"/>
    </row>
    <row r="4566" spans="1:1">
      <c r="A4566" s="32"/>
    </row>
    <row r="4567" spans="1:1">
      <c r="A4567" s="32"/>
    </row>
    <row r="4568" spans="1:1">
      <c r="A4568" s="32"/>
    </row>
    <row r="4569" spans="1:1">
      <c r="A4569" s="32"/>
    </row>
    <row r="4570" spans="1:1">
      <c r="A4570" s="32"/>
    </row>
    <row r="4571" spans="1:1">
      <c r="A4571" s="32"/>
    </row>
    <row r="4572" spans="1:1">
      <c r="A4572" s="32"/>
    </row>
    <row r="4573" spans="1:1">
      <c r="A4573" s="32"/>
    </row>
    <row r="4574" spans="1:1">
      <c r="A4574" s="32"/>
    </row>
    <row r="4575" spans="1:1">
      <c r="A4575" s="32"/>
    </row>
    <row r="4576" spans="1:1">
      <c r="A4576" s="32"/>
    </row>
    <row r="4577" spans="1:1">
      <c r="A4577" s="32"/>
    </row>
    <row r="4578" spans="1:1">
      <c r="A4578" s="32"/>
    </row>
    <row r="4579" spans="1:1">
      <c r="A4579" s="32"/>
    </row>
    <row r="4580" spans="1:1">
      <c r="A4580" s="32"/>
    </row>
    <row r="4581" spans="1:1">
      <c r="A4581" s="32"/>
    </row>
    <row r="4582" spans="1:1">
      <c r="A4582" s="32"/>
    </row>
    <row r="4583" spans="1:1">
      <c r="A4583" s="32"/>
    </row>
    <row r="4584" spans="1:1">
      <c r="A4584" s="32"/>
    </row>
    <row r="4585" spans="1:1">
      <c r="A4585" s="32"/>
    </row>
    <row r="4586" spans="1:1">
      <c r="A4586" s="32"/>
    </row>
    <row r="4587" spans="1:1">
      <c r="A4587" s="32"/>
    </row>
    <row r="4588" spans="1:1">
      <c r="A4588" s="32"/>
    </row>
    <row r="4589" spans="1:1">
      <c r="A4589" s="32"/>
    </row>
    <row r="4590" spans="1:1">
      <c r="A4590" s="32"/>
    </row>
    <row r="4591" spans="1:1">
      <c r="A4591" s="32"/>
    </row>
    <row r="4592" spans="1:1">
      <c r="A4592" s="32"/>
    </row>
    <row r="4593" spans="1:1">
      <c r="A4593" s="32"/>
    </row>
    <row r="4594" spans="1:1">
      <c r="A4594" s="32"/>
    </row>
    <row r="4595" spans="1:1">
      <c r="A4595" s="32"/>
    </row>
    <row r="4596" spans="1:1">
      <c r="A4596" s="32"/>
    </row>
    <row r="4597" spans="1:1">
      <c r="A4597" s="32"/>
    </row>
    <row r="4598" spans="1:1">
      <c r="A4598" s="32"/>
    </row>
    <row r="4599" spans="1:1">
      <c r="A4599" s="32"/>
    </row>
    <row r="4600" spans="1:1">
      <c r="A4600" s="32"/>
    </row>
    <row r="4601" spans="1:1">
      <c r="A4601" s="32"/>
    </row>
    <row r="4602" spans="1:1">
      <c r="A4602" s="32"/>
    </row>
    <row r="4603" spans="1:1">
      <c r="A4603" s="32"/>
    </row>
    <row r="4604" spans="1:1">
      <c r="A4604" s="32"/>
    </row>
    <row r="4605" spans="1:1">
      <c r="A4605" s="32"/>
    </row>
    <row r="4606" spans="1:1">
      <c r="A4606" s="32"/>
    </row>
    <row r="4607" spans="1:1">
      <c r="A4607" s="32"/>
    </row>
    <row r="4608" spans="1:1">
      <c r="A4608" s="32"/>
    </row>
    <row r="4609" spans="1:1">
      <c r="A4609" s="32"/>
    </row>
    <row r="4610" spans="1:1">
      <c r="A4610" s="32"/>
    </row>
    <row r="4611" spans="1:1">
      <c r="A4611" s="32"/>
    </row>
    <row r="4612" spans="1:1">
      <c r="A4612" s="32"/>
    </row>
    <row r="4613" spans="1:1">
      <c r="A4613" s="32"/>
    </row>
    <row r="4614" spans="1:1">
      <c r="A4614" s="32"/>
    </row>
    <row r="4615" spans="1:1">
      <c r="A4615" s="32"/>
    </row>
    <row r="4616" spans="1:1">
      <c r="A4616" s="32"/>
    </row>
    <row r="4617" spans="1:1">
      <c r="A4617" s="32"/>
    </row>
    <row r="4618" spans="1:1">
      <c r="A4618" s="32"/>
    </row>
    <row r="4619" spans="1:1">
      <c r="A4619" s="32"/>
    </row>
    <row r="4620" spans="1:1">
      <c r="A4620" s="32"/>
    </row>
    <row r="4621" spans="1:1">
      <c r="A4621" s="32"/>
    </row>
    <row r="4622" spans="1:1">
      <c r="A4622" s="32"/>
    </row>
    <row r="4623" spans="1:1">
      <c r="A4623" s="32"/>
    </row>
    <row r="4624" spans="1:1">
      <c r="A4624" s="32"/>
    </row>
    <row r="4625" spans="1:1">
      <c r="A4625" s="32"/>
    </row>
    <row r="4626" spans="1:1">
      <c r="A4626" s="32"/>
    </row>
    <row r="4627" spans="1:1">
      <c r="A4627" s="32"/>
    </row>
    <row r="4628" spans="1:1">
      <c r="A4628" s="32"/>
    </row>
    <row r="4629" spans="1:1">
      <c r="A4629" s="32"/>
    </row>
    <row r="4630" spans="1:1">
      <c r="A4630" s="32"/>
    </row>
    <row r="4631" spans="1:1">
      <c r="A4631" s="32"/>
    </row>
    <row r="4632" spans="1:1">
      <c r="A4632" s="32"/>
    </row>
    <row r="4633" spans="1:1">
      <c r="A4633" s="32"/>
    </row>
    <row r="4634" spans="1:1">
      <c r="A4634" s="32"/>
    </row>
    <row r="4635" spans="1:1">
      <c r="A4635" s="32"/>
    </row>
    <row r="4636" spans="1:1">
      <c r="A4636" s="32"/>
    </row>
    <row r="4637" spans="1:1">
      <c r="A4637" s="32"/>
    </row>
    <row r="4638" spans="1:1">
      <c r="A4638" s="32"/>
    </row>
    <row r="4639" spans="1:1">
      <c r="A4639" s="32"/>
    </row>
    <row r="4640" spans="1:1">
      <c r="A4640" s="32"/>
    </row>
    <row r="4641" spans="1:1">
      <c r="A4641" s="32"/>
    </row>
    <row r="4642" spans="1:1">
      <c r="A4642" s="32"/>
    </row>
    <row r="4643" spans="1:1">
      <c r="A4643" s="32"/>
    </row>
    <row r="4644" spans="1:1">
      <c r="A4644" s="32"/>
    </row>
    <row r="4645" spans="1:1">
      <c r="A4645" s="32"/>
    </row>
    <row r="4646" spans="1:1">
      <c r="A4646" s="32"/>
    </row>
    <row r="4647" spans="1:1">
      <c r="A4647" s="32"/>
    </row>
    <row r="4648" spans="1:1">
      <c r="A4648" s="32"/>
    </row>
    <row r="4649" spans="1:1">
      <c r="A4649" s="32"/>
    </row>
    <row r="4650" spans="1:1">
      <c r="A4650" s="32"/>
    </row>
    <row r="4651" spans="1:1">
      <c r="A4651" s="32"/>
    </row>
    <row r="4652" spans="1:1">
      <c r="A4652" s="32"/>
    </row>
    <row r="4653" spans="1:1">
      <c r="A4653" s="32"/>
    </row>
    <row r="4654" spans="1:1">
      <c r="A4654" s="32"/>
    </row>
    <row r="4655" spans="1:1">
      <c r="A4655" s="32"/>
    </row>
    <row r="4656" spans="1:1">
      <c r="A4656" s="32"/>
    </row>
    <row r="4657" spans="1:1">
      <c r="A4657" s="32"/>
    </row>
    <row r="4658" spans="1:1">
      <c r="A4658" s="32"/>
    </row>
    <row r="4659" spans="1:1">
      <c r="A4659" s="32"/>
    </row>
    <row r="4660" spans="1:1">
      <c r="A4660" s="32"/>
    </row>
    <row r="4661" spans="1:1">
      <c r="A4661" s="32"/>
    </row>
    <row r="4662" spans="1:1">
      <c r="A4662" s="32"/>
    </row>
    <row r="4663" spans="1:1">
      <c r="A4663" s="32"/>
    </row>
    <row r="4664" spans="1:1">
      <c r="A4664" s="32"/>
    </row>
    <row r="4665" spans="1:1">
      <c r="A4665" s="32"/>
    </row>
    <row r="4666" spans="1:1">
      <c r="A4666" s="32"/>
    </row>
    <row r="4667" spans="1:1">
      <c r="A4667" s="32"/>
    </row>
    <row r="4668" spans="1:1">
      <c r="A4668" s="32"/>
    </row>
    <row r="4669" spans="1:1">
      <c r="A4669" s="32"/>
    </row>
    <row r="4670" spans="1:1">
      <c r="A4670" s="32"/>
    </row>
    <row r="4671" spans="1:1">
      <c r="A4671" s="32"/>
    </row>
    <row r="4672" spans="1:1">
      <c r="A4672" s="32"/>
    </row>
    <row r="4673" spans="1:1">
      <c r="A4673" s="32"/>
    </row>
    <row r="4674" spans="1:1">
      <c r="A4674" s="32"/>
    </row>
    <row r="4675" spans="1:1">
      <c r="A4675" s="32"/>
    </row>
    <row r="4676" spans="1:1">
      <c r="A4676" s="32"/>
    </row>
    <row r="4677" spans="1:1">
      <c r="A4677" s="32"/>
    </row>
    <row r="4678" spans="1:1">
      <c r="A4678" s="32"/>
    </row>
    <row r="4679" spans="1:1">
      <c r="A4679" s="32"/>
    </row>
    <row r="4680" spans="1:1">
      <c r="A4680" s="32"/>
    </row>
    <row r="4681" spans="1:1">
      <c r="A4681" s="32"/>
    </row>
    <row r="4682" spans="1:1">
      <c r="A4682" s="32"/>
    </row>
    <row r="4683" spans="1:1">
      <c r="A4683" s="32"/>
    </row>
    <row r="4684" spans="1:1">
      <c r="A4684" s="32"/>
    </row>
    <row r="4685" spans="1:1">
      <c r="A4685" s="32"/>
    </row>
    <row r="4686" spans="1:1">
      <c r="A4686" s="32"/>
    </row>
    <row r="4687" spans="1:1">
      <c r="A4687" s="32"/>
    </row>
    <row r="4688" spans="1:1">
      <c r="A4688" s="32"/>
    </row>
    <row r="4689" spans="1:1">
      <c r="A4689" s="32"/>
    </row>
    <row r="4690" spans="1:1">
      <c r="A4690" s="32"/>
    </row>
    <row r="4691" spans="1:1">
      <c r="A4691" s="32"/>
    </row>
    <row r="4692" spans="1:1">
      <c r="A4692" s="32"/>
    </row>
    <row r="4693" spans="1:1">
      <c r="A4693" s="32"/>
    </row>
    <row r="4694" spans="1:1">
      <c r="A4694" s="32"/>
    </row>
    <row r="4695" spans="1:1">
      <c r="A4695" s="32"/>
    </row>
    <row r="4696" spans="1:1">
      <c r="A4696" s="32"/>
    </row>
    <row r="4697" spans="1:1">
      <c r="A4697" s="32"/>
    </row>
    <row r="4698" spans="1:1">
      <c r="A4698" s="32"/>
    </row>
    <row r="4699" spans="1:1">
      <c r="A4699" s="32"/>
    </row>
    <row r="4700" spans="1:1">
      <c r="A4700" s="32"/>
    </row>
    <row r="4701" spans="1:1">
      <c r="A4701" s="32"/>
    </row>
    <row r="4702" spans="1:1">
      <c r="A4702" s="32"/>
    </row>
    <row r="4703" spans="1:1">
      <c r="A4703" s="32"/>
    </row>
    <row r="4704" spans="1:1">
      <c r="A4704" s="32"/>
    </row>
    <row r="4705" spans="1:1">
      <c r="A4705" s="32"/>
    </row>
    <row r="4706" spans="1:1">
      <c r="A4706" s="32"/>
    </row>
    <row r="4707" spans="1:1">
      <c r="A4707" s="32"/>
    </row>
    <row r="4708" spans="1:1">
      <c r="A4708" s="32"/>
    </row>
    <row r="4709" spans="1:1">
      <c r="A4709" s="32"/>
    </row>
    <row r="4710" spans="1:1">
      <c r="A4710" s="32"/>
    </row>
    <row r="4711" spans="1:1">
      <c r="A4711" s="32"/>
    </row>
    <row r="4712" spans="1:1">
      <c r="A4712" s="32"/>
    </row>
    <row r="4713" spans="1:1">
      <c r="A4713" s="32"/>
    </row>
    <row r="4714" spans="1:1">
      <c r="A4714" s="32"/>
    </row>
    <row r="4715" spans="1:1">
      <c r="A4715" s="32"/>
    </row>
    <row r="4716" spans="1:1">
      <c r="A4716" s="32"/>
    </row>
    <row r="4717" spans="1:1">
      <c r="A4717" s="32"/>
    </row>
    <row r="4718" spans="1:1">
      <c r="A4718" s="32"/>
    </row>
    <row r="4719" spans="1:1">
      <c r="A4719" s="32"/>
    </row>
    <row r="4720" spans="1:1">
      <c r="A4720" s="32"/>
    </row>
    <row r="4721" spans="1:1">
      <c r="A4721" s="32"/>
    </row>
    <row r="4722" spans="1:1">
      <c r="A4722" s="32"/>
    </row>
    <row r="4723" spans="1:1">
      <c r="A4723" s="32"/>
    </row>
    <row r="4724" spans="1:1">
      <c r="A4724" s="32"/>
    </row>
    <row r="4725" spans="1:1">
      <c r="A4725" s="32"/>
    </row>
    <row r="4726" spans="1:1">
      <c r="A4726" s="32"/>
    </row>
    <row r="4727" spans="1:1">
      <c r="A4727" s="32"/>
    </row>
    <row r="4728" spans="1:1">
      <c r="A4728" s="32"/>
    </row>
    <row r="4729" spans="1:1">
      <c r="A4729" s="32"/>
    </row>
    <row r="4730" spans="1:1">
      <c r="A4730" s="32"/>
    </row>
    <row r="4731" spans="1:1">
      <c r="A4731" s="32"/>
    </row>
    <row r="4732" spans="1:1">
      <c r="A4732" s="32"/>
    </row>
    <row r="4733" spans="1:1">
      <c r="A4733" s="32"/>
    </row>
    <row r="4734" spans="1:1">
      <c r="A4734" s="32"/>
    </row>
    <row r="4735" spans="1:1">
      <c r="A4735" s="32"/>
    </row>
    <row r="4736" spans="1:1">
      <c r="A4736" s="32"/>
    </row>
    <row r="4737" spans="1:1">
      <c r="A4737" s="32"/>
    </row>
    <row r="4738" spans="1:1">
      <c r="A4738" s="32"/>
    </row>
    <row r="4739" spans="1:1">
      <c r="A4739" s="32"/>
    </row>
    <row r="4740" spans="1:1">
      <c r="A4740" s="32"/>
    </row>
    <row r="4741" spans="1:1">
      <c r="A4741" s="32"/>
    </row>
    <row r="4742" spans="1:1">
      <c r="A4742" s="32"/>
    </row>
    <row r="4743" spans="1:1">
      <c r="A4743" s="32"/>
    </row>
    <row r="4744" spans="1:1">
      <c r="A4744" s="32"/>
    </row>
    <row r="4745" spans="1:1">
      <c r="A4745" s="32"/>
    </row>
    <row r="4746" spans="1:1">
      <c r="A4746" s="32"/>
    </row>
    <row r="4747" spans="1:1">
      <c r="A4747" s="32"/>
    </row>
    <row r="4748" spans="1:1">
      <c r="A4748" s="32"/>
    </row>
    <row r="4749" spans="1:1">
      <c r="A4749" s="32"/>
    </row>
    <row r="4750" spans="1:1">
      <c r="A4750" s="32"/>
    </row>
    <row r="4751" spans="1:1">
      <c r="A4751" s="32"/>
    </row>
    <row r="4752" spans="1:1">
      <c r="A4752" s="32"/>
    </row>
    <row r="4753" spans="1:1">
      <c r="A4753" s="32"/>
    </row>
    <row r="4754" spans="1:1">
      <c r="A4754" s="32"/>
    </row>
    <row r="4755" spans="1:1">
      <c r="A4755" s="32"/>
    </row>
    <row r="4756" spans="1:1">
      <c r="A4756" s="32"/>
    </row>
    <row r="4757" spans="1:1">
      <c r="A4757" s="32"/>
    </row>
    <row r="4758" spans="1:1">
      <c r="A4758" s="32"/>
    </row>
    <row r="4759" spans="1:1">
      <c r="A4759" s="32"/>
    </row>
    <row r="4760" spans="1:1">
      <c r="A4760" s="32"/>
    </row>
    <row r="4761" spans="1:1">
      <c r="A4761" s="32"/>
    </row>
    <row r="4762" spans="1:1">
      <c r="A4762" s="32"/>
    </row>
    <row r="4763" spans="1:1">
      <c r="A4763" s="32"/>
    </row>
    <row r="4764" spans="1:1">
      <c r="A4764" s="32"/>
    </row>
    <row r="4765" spans="1:1">
      <c r="A4765" s="32"/>
    </row>
    <row r="4766" spans="1:1">
      <c r="A4766" s="32"/>
    </row>
    <row r="4767" spans="1:1">
      <c r="A4767" s="32"/>
    </row>
    <row r="4768" spans="1:1">
      <c r="A4768" s="32"/>
    </row>
    <row r="4769" spans="1:1">
      <c r="A4769" s="32"/>
    </row>
    <row r="4770" spans="1:1">
      <c r="A4770" s="32"/>
    </row>
    <row r="4771" spans="1:1">
      <c r="A4771" s="32"/>
    </row>
    <row r="4772" spans="1:1">
      <c r="A4772" s="32"/>
    </row>
    <row r="4773" spans="1:1">
      <c r="A4773" s="32"/>
    </row>
    <row r="4774" spans="1:1">
      <c r="A4774" s="32"/>
    </row>
    <row r="4775" spans="1:1">
      <c r="A4775" s="32"/>
    </row>
    <row r="4776" spans="1:1">
      <c r="A4776" s="32"/>
    </row>
    <row r="4777" spans="1:1">
      <c r="A4777" s="32"/>
    </row>
    <row r="4778" spans="1:1">
      <c r="A4778" s="32"/>
    </row>
    <row r="4779" spans="1:1">
      <c r="A4779" s="32"/>
    </row>
    <row r="4780" spans="1:1">
      <c r="A4780" s="32"/>
    </row>
    <row r="4781" spans="1:1">
      <c r="A4781" s="32"/>
    </row>
    <row r="4782" spans="1:1">
      <c r="A4782" s="32"/>
    </row>
    <row r="4783" spans="1:1">
      <c r="A4783" s="32"/>
    </row>
    <row r="4784" spans="1:1">
      <c r="A4784" s="32"/>
    </row>
    <row r="4785" spans="1:1">
      <c r="A4785" s="32"/>
    </row>
    <row r="4786" spans="1:1">
      <c r="A4786" s="32"/>
    </row>
    <row r="4787" spans="1:1">
      <c r="A4787" s="32"/>
    </row>
    <row r="4788" spans="1:1">
      <c r="A4788" s="32"/>
    </row>
    <row r="4789" spans="1:1">
      <c r="A4789" s="32"/>
    </row>
    <row r="4790" spans="1:1">
      <c r="A4790" s="32"/>
    </row>
    <row r="4791" spans="1:1">
      <c r="A4791" s="32"/>
    </row>
    <row r="4792" spans="1:1">
      <c r="A4792" s="32"/>
    </row>
    <row r="4793" spans="1:1">
      <c r="A4793" s="32"/>
    </row>
    <row r="4794" spans="1:1">
      <c r="A4794" s="32"/>
    </row>
    <row r="4795" spans="1:1">
      <c r="A4795" s="32"/>
    </row>
    <row r="4796" spans="1:1">
      <c r="A4796" s="32"/>
    </row>
    <row r="4797" spans="1:1">
      <c r="A4797" s="32"/>
    </row>
    <row r="4798" spans="1:1">
      <c r="A4798" s="32"/>
    </row>
    <row r="4799" spans="1:1">
      <c r="A4799" s="32"/>
    </row>
    <row r="4800" spans="1:1">
      <c r="A4800" s="32"/>
    </row>
    <row r="4801" spans="1:1">
      <c r="A4801" s="32"/>
    </row>
    <row r="4802" spans="1:1">
      <c r="A4802" s="32"/>
    </row>
    <row r="4803" spans="1:1">
      <c r="A4803" s="32"/>
    </row>
    <row r="4804" spans="1:1">
      <c r="A4804" s="32"/>
    </row>
    <row r="4805" spans="1:1">
      <c r="A4805" s="32"/>
    </row>
    <row r="4806" spans="1:1">
      <c r="A4806" s="32"/>
    </row>
    <row r="4807" spans="1:1">
      <c r="A4807" s="32"/>
    </row>
    <row r="4808" spans="1:1">
      <c r="A4808" s="32"/>
    </row>
    <row r="4809" spans="1:1">
      <c r="A4809" s="32"/>
    </row>
    <row r="4810" spans="1:1">
      <c r="A4810" s="32"/>
    </row>
    <row r="4811" spans="1:1">
      <c r="A4811" s="32"/>
    </row>
    <row r="4812" spans="1:1">
      <c r="A4812" s="32"/>
    </row>
    <row r="4813" spans="1:1">
      <c r="A4813" s="32"/>
    </row>
    <row r="4814" spans="1:1">
      <c r="A4814" s="32"/>
    </row>
    <row r="4815" spans="1:1">
      <c r="A4815" s="32"/>
    </row>
    <row r="4816" spans="1:1">
      <c r="A4816" s="32"/>
    </row>
    <row r="4817" spans="1:1">
      <c r="A4817" s="32"/>
    </row>
    <row r="4818" spans="1:1">
      <c r="A4818" s="32"/>
    </row>
    <row r="4819" spans="1:1">
      <c r="A4819" s="32"/>
    </row>
    <row r="4820" spans="1:1">
      <c r="A4820" s="32"/>
    </row>
    <row r="4821" spans="1:1">
      <c r="A4821" s="32"/>
    </row>
    <row r="4822" spans="1:1">
      <c r="A4822" s="32"/>
    </row>
    <row r="4823" spans="1:1">
      <c r="A4823" s="32"/>
    </row>
    <row r="4824" spans="1:1">
      <c r="A4824" s="32"/>
    </row>
    <row r="4825" spans="1:1">
      <c r="A4825" s="32"/>
    </row>
    <row r="4826" spans="1:1">
      <c r="A4826" s="32"/>
    </row>
    <row r="4827" spans="1:1">
      <c r="A4827" s="32"/>
    </row>
    <row r="4828" spans="1:1">
      <c r="A4828" s="32"/>
    </row>
    <row r="4829" spans="1:1">
      <c r="A4829" s="32"/>
    </row>
    <row r="4830" spans="1:1">
      <c r="A4830" s="32"/>
    </row>
    <row r="4831" spans="1:1">
      <c r="A4831" s="32"/>
    </row>
    <row r="4832" spans="1:1">
      <c r="A4832" s="32"/>
    </row>
    <row r="4833" spans="1:1">
      <c r="A4833" s="32"/>
    </row>
    <row r="4834" spans="1:1">
      <c r="A4834" s="32"/>
    </row>
    <row r="4835" spans="1:1">
      <c r="A4835" s="32"/>
    </row>
    <row r="4836" spans="1:1">
      <c r="A4836" s="32"/>
    </row>
    <row r="4837" spans="1:1">
      <c r="A4837" s="32"/>
    </row>
    <row r="4838" spans="1:1">
      <c r="A4838" s="32"/>
    </row>
    <row r="4839" spans="1:1">
      <c r="A4839" s="32"/>
    </row>
    <row r="4840" spans="1:1">
      <c r="A4840" s="32"/>
    </row>
    <row r="4841" spans="1:1">
      <c r="A4841" s="32"/>
    </row>
    <row r="4842" spans="1:1">
      <c r="A4842" s="32"/>
    </row>
    <row r="4843" spans="1:1">
      <c r="A4843" s="32"/>
    </row>
    <row r="4844" spans="1:1">
      <c r="A4844" s="32"/>
    </row>
    <row r="4845" spans="1:1">
      <c r="A4845" s="32"/>
    </row>
    <row r="4846" spans="1:1">
      <c r="A4846" s="32"/>
    </row>
    <row r="4847" spans="1:1">
      <c r="A4847" s="32"/>
    </row>
    <row r="4848" spans="1:1">
      <c r="A4848" s="32"/>
    </row>
    <row r="4849" spans="1:1">
      <c r="A4849" s="32"/>
    </row>
    <row r="4850" spans="1:1">
      <c r="A4850" s="32"/>
    </row>
    <row r="4851" spans="1:1">
      <c r="A4851" s="32"/>
    </row>
    <row r="4852" spans="1:1">
      <c r="A4852" s="32"/>
    </row>
    <row r="4853" spans="1:1">
      <c r="A4853" s="32"/>
    </row>
    <row r="4854" spans="1:1">
      <c r="A4854" s="32"/>
    </row>
    <row r="4855" spans="1:1">
      <c r="A4855" s="32"/>
    </row>
    <row r="4856" spans="1:1">
      <c r="A4856" s="32"/>
    </row>
    <row r="4857" spans="1:1">
      <c r="A4857" s="32"/>
    </row>
    <row r="4858" spans="1:1">
      <c r="A4858" s="32"/>
    </row>
    <row r="4859" spans="1:1">
      <c r="A4859" s="32"/>
    </row>
    <row r="4860" spans="1:1">
      <c r="A4860" s="32"/>
    </row>
    <row r="4861" spans="1:1">
      <c r="A4861" s="32"/>
    </row>
    <row r="4862" spans="1:1">
      <c r="A4862" s="32"/>
    </row>
    <row r="4863" spans="1:1">
      <c r="A4863" s="32"/>
    </row>
    <row r="4864" spans="1:1">
      <c r="A4864" s="32"/>
    </row>
    <row r="4865" spans="1:1">
      <c r="A4865" s="32"/>
    </row>
    <row r="4866" spans="1:1">
      <c r="A4866" s="32"/>
    </row>
    <row r="4867" spans="1:1">
      <c r="A4867" s="32"/>
    </row>
    <row r="4868" spans="1:1">
      <c r="A4868" s="32"/>
    </row>
    <row r="4869" spans="1:1">
      <c r="A4869" s="32"/>
    </row>
    <row r="4870" spans="1:1">
      <c r="A4870" s="32"/>
    </row>
    <row r="4871" spans="1:1">
      <c r="A4871" s="32"/>
    </row>
    <row r="4872" spans="1:1">
      <c r="A4872" s="32"/>
    </row>
    <row r="4873" spans="1:1">
      <c r="A4873" s="32"/>
    </row>
    <row r="4874" spans="1:1">
      <c r="A4874" s="32"/>
    </row>
    <row r="4875" spans="1:1">
      <c r="A4875" s="32"/>
    </row>
    <row r="4876" spans="1:1">
      <c r="A4876" s="32"/>
    </row>
    <row r="4877" spans="1:1">
      <c r="A4877" s="32"/>
    </row>
    <row r="4878" spans="1:1">
      <c r="A4878" s="32"/>
    </row>
    <row r="4879" spans="1:1">
      <c r="A4879" s="32"/>
    </row>
    <row r="4880" spans="1:1">
      <c r="A4880" s="32"/>
    </row>
    <row r="4881" spans="1:1">
      <c r="A4881" s="32"/>
    </row>
    <row r="4882" spans="1:1">
      <c r="A4882" s="32"/>
    </row>
    <row r="4883" spans="1:1">
      <c r="A4883" s="32"/>
    </row>
    <row r="4884" spans="1:1">
      <c r="A4884" s="32"/>
    </row>
    <row r="4885" spans="1:1">
      <c r="A4885" s="32"/>
    </row>
    <row r="4886" spans="1:1">
      <c r="A4886" s="32"/>
    </row>
    <row r="4887" spans="1:1">
      <c r="A4887" s="32"/>
    </row>
    <row r="4888" spans="1:1">
      <c r="A4888" s="32"/>
    </row>
    <row r="4889" spans="1:1">
      <c r="A4889" s="32"/>
    </row>
    <row r="4890" spans="1:1">
      <c r="A4890" s="32"/>
    </row>
    <row r="4891" spans="1:1">
      <c r="A4891" s="32"/>
    </row>
    <row r="4892" spans="1:1">
      <c r="A4892" s="32"/>
    </row>
    <row r="4893" spans="1:1">
      <c r="A4893" s="32"/>
    </row>
    <row r="4894" spans="1:1">
      <c r="A4894" s="32"/>
    </row>
    <row r="4895" spans="1:1">
      <c r="A4895" s="32"/>
    </row>
    <row r="4896" spans="1:1">
      <c r="A4896" s="32"/>
    </row>
    <row r="4897" spans="1:1">
      <c r="A4897" s="32"/>
    </row>
    <row r="4898" spans="1:1">
      <c r="A4898" s="32"/>
    </row>
    <row r="4899" spans="1:1">
      <c r="A4899" s="32"/>
    </row>
    <row r="4900" spans="1:1">
      <c r="A4900" s="32"/>
    </row>
    <row r="4901" spans="1:1">
      <c r="A4901" s="32"/>
    </row>
    <row r="4902" spans="1:1">
      <c r="A4902" s="32"/>
    </row>
    <row r="4903" spans="1:1">
      <c r="A4903" s="32"/>
    </row>
    <row r="4904" spans="1:1">
      <c r="A4904" s="32"/>
    </row>
    <row r="4905" spans="1:1">
      <c r="A4905" s="32"/>
    </row>
    <row r="4906" spans="1:1">
      <c r="A4906" s="32"/>
    </row>
    <row r="4907" spans="1:1">
      <c r="A4907" s="32"/>
    </row>
    <row r="4908" spans="1:1">
      <c r="A4908" s="32"/>
    </row>
    <row r="4909" spans="1:1">
      <c r="A4909" s="32"/>
    </row>
    <row r="4910" spans="1:1">
      <c r="A4910" s="32"/>
    </row>
    <row r="4911" spans="1:1">
      <c r="A4911" s="32"/>
    </row>
    <row r="4912" spans="1:1">
      <c r="A4912" s="32"/>
    </row>
    <row r="4913" spans="1:1">
      <c r="A4913" s="32"/>
    </row>
    <row r="4914" spans="1:1">
      <c r="A4914" s="32"/>
    </row>
    <row r="4915" spans="1:1">
      <c r="A4915" s="32"/>
    </row>
    <row r="4916" spans="1:1">
      <c r="A4916" s="32"/>
    </row>
    <row r="4917" spans="1:1">
      <c r="A4917" s="32"/>
    </row>
    <row r="4918" spans="1:1">
      <c r="A4918" s="32"/>
    </row>
    <row r="4919" spans="1:1">
      <c r="A4919" s="32"/>
    </row>
    <row r="4920" spans="1:1">
      <c r="A4920" s="32"/>
    </row>
    <row r="4921" spans="1:1">
      <c r="A4921" s="32"/>
    </row>
    <row r="4922" spans="1:1">
      <c r="A4922" s="32"/>
    </row>
    <row r="4923" spans="1:1">
      <c r="A4923" s="32"/>
    </row>
    <row r="4924" spans="1:1">
      <c r="A4924" s="32"/>
    </row>
    <row r="4925" spans="1:1">
      <c r="A4925" s="32"/>
    </row>
    <row r="4926" spans="1:1">
      <c r="A4926" s="32"/>
    </row>
    <row r="4927" spans="1:1">
      <c r="A4927" s="32"/>
    </row>
    <row r="4928" spans="1:1">
      <c r="A4928" s="32"/>
    </row>
    <row r="4929" spans="1:1">
      <c r="A4929" s="32"/>
    </row>
    <row r="4930" spans="1:1">
      <c r="A4930" s="32"/>
    </row>
    <row r="4931" spans="1:1">
      <c r="A4931" s="32"/>
    </row>
    <row r="4932" spans="1:1">
      <c r="A4932" s="32"/>
    </row>
    <row r="4933" spans="1:1">
      <c r="A4933" s="32"/>
    </row>
    <row r="4934" spans="1:1">
      <c r="A4934" s="32"/>
    </row>
    <row r="4935" spans="1:1">
      <c r="A4935" s="32"/>
    </row>
    <row r="4936" spans="1:1">
      <c r="A4936" s="32"/>
    </row>
    <row r="4937" spans="1:1">
      <c r="A4937" s="32"/>
    </row>
    <row r="4938" spans="1:1">
      <c r="A4938" s="32"/>
    </row>
    <row r="4939" spans="1:1">
      <c r="A4939" s="32"/>
    </row>
    <row r="4940" spans="1:1">
      <c r="A4940" s="32"/>
    </row>
    <row r="4941" spans="1:1">
      <c r="A4941" s="32"/>
    </row>
    <row r="4942" spans="1:1">
      <c r="A4942" s="32"/>
    </row>
    <row r="4943" spans="1:1">
      <c r="A4943" s="32"/>
    </row>
    <row r="4944" spans="1:1">
      <c r="A4944" s="32"/>
    </row>
    <row r="4945" spans="1:1">
      <c r="A4945" s="32"/>
    </row>
    <row r="4946" spans="1:1">
      <c r="A4946" s="32"/>
    </row>
    <row r="4947" spans="1:1">
      <c r="A4947" s="32"/>
    </row>
    <row r="4948" spans="1:1">
      <c r="A4948" s="32"/>
    </row>
    <row r="4949" spans="1:1">
      <c r="A4949" s="32"/>
    </row>
    <row r="4950" spans="1:1">
      <c r="A4950" s="32"/>
    </row>
    <row r="4951" spans="1:1">
      <c r="A4951" s="32"/>
    </row>
    <row r="4952" spans="1:1">
      <c r="A4952" s="32"/>
    </row>
    <row r="4953" spans="1:1">
      <c r="A4953" s="32"/>
    </row>
    <row r="4954" spans="1:1">
      <c r="A4954" s="32"/>
    </row>
    <row r="4955" spans="1:1">
      <c r="A4955" s="32"/>
    </row>
    <row r="4956" spans="1:1">
      <c r="A4956" s="32"/>
    </row>
    <row r="4957" spans="1:1">
      <c r="A4957" s="32"/>
    </row>
    <row r="4958" spans="1:1">
      <c r="A4958" s="32"/>
    </row>
    <row r="4959" spans="1:1">
      <c r="A4959" s="32"/>
    </row>
    <row r="4960" spans="1:1">
      <c r="A4960" s="32"/>
    </row>
    <row r="4961" spans="1:1">
      <c r="A4961" s="32"/>
    </row>
    <row r="4962" spans="1:1">
      <c r="A4962" s="32"/>
    </row>
    <row r="4963" spans="1:1">
      <c r="A4963" s="32"/>
    </row>
    <row r="4964" spans="1:1">
      <c r="A4964" s="32"/>
    </row>
    <row r="4965" spans="1:1">
      <c r="A4965" s="32"/>
    </row>
    <row r="4966" spans="1:1">
      <c r="A4966" s="32"/>
    </row>
    <row r="4967" spans="1:1">
      <c r="A4967" s="32"/>
    </row>
    <row r="4968" spans="1:1">
      <c r="A4968" s="32"/>
    </row>
    <row r="4969" spans="1:1">
      <c r="A4969" s="32"/>
    </row>
    <row r="4970" spans="1:1">
      <c r="A4970" s="32"/>
    </row>
    <row r="4971" spans="1:1">
      <c r="A4971" s="32"/>
    </row>
    <row r="4972" spans="1:1">
      <c r="A4972" s="32"/>
    </row>
    <row r="4973" spans="1:1">
      <c r="A4973" s="32"/>
    </row>
    <row r="4974" spans="1:1">
      <c r="A4974" s="32"/>
    </row>
    <row r="4975" spans="1:1">
      <c r="A4975" s="32"/>
    </row>
    <row r="4976" spans="1:1">
      <c r="A4976" s="32"/>
    </row>
    <row r="4977" spans="1:1">
      <c r="A4977" s="32"/>
    </row>
    <row r="4978" spans="1:1">
      <c r="A4978" s="32"/>
    </row>
    <row r="4979" spans="1:1">
      <c r="A4979" s="32"/>
    </row>
    <row r="4980" spans="1:1">
      <c r="A4980" s="32"/>
    </row>
    <row r="4981" spans="1:1">
      <c r="A4981" s="32"/>
    </row>
    <row r="4982" spans="1:1">
      <c r="A4982" s="32"/>
    </row>
    <row r="4983" spans="1:1">
      <c r="A4983" s="32"/>
    </row>
    <row r="4984" spans="1:1">
      <c r="A4984" s="32"/>
    </row>
    <row r="4985" spans="1:1">
      <c r="A4985" s="32"/>
    </row>
    <row r="4986" spans="1:1">
      <c r="A4986" s="32"/>
    </row>
    <row r="4987" spans="1:1">
      <c r="A4987" s="32"/>
    </row>
    <row r="4988" spans="1:1">
      <c r="A4988" s="32"/>
    </row>
    <row r="4989" spans="1:1">
      <c r="A4989" s="32"/>
    </row>
    <row r="4990" spans="1:1">
      <c r="A4990" s="32"/>
    </row>
    <row r="4991" spans="1:1">
      <c r="A4991" s="32"/>
    </row>
    <row r="4992" spans="1:1">
      <c r="A4992" s="32"/>
    </row>
    <row r="4993" spans="1:1">
      <c r="A4993" s="32"/>
    </row>
    <row r="4994" spans="1:1">
      <c r="A4994" s="32"/>
    </row>
    <row r="4995" spans="1:1">
      <c r="A4995" s="32"/>
    </row>
    <row r="4996" spans="1:1">
      <c r="A4996" s="32"/>
    </row>
    <row r="4997" spans="1:1">
      <c r="A4997" s="32"/>
    </row>
    <row r="4998" spans="1:1">
      <c r="A4998" s="32"/>
    </row>
    <row r="4999" spans="1:1">
      <c r="A4999" s="32"/>
    </row>
    <row r="5000" spans="1:1">
      <c r="A5000" s="32"/>
    </row>
    <row r="5001" spans="1:1">
      <c r="A5001" s="32"/>
    </row>
    <row r="5002" spans="1:1">
      <c r="A5002" s="32"/>
    </row>
    <row r="5003" spans="1:1">
      <c r="A5003" s="32"/>
    </row>
    <row r="5004" spans="1:1">
      <c r="A5004" s="32"/>
    </row>
    <row r="5005" spans="1:1">
      <c r="A5005" s="32"/>
    </row>
    <row r="5006" spans="1:1">
      <c r="A5006" s="32"/>
    </row>
    <row r="5007" spans="1:1">
      <c r="A5007" s="32"/>
    </row>
    <row r="5008" spans="1:1">
      <c r="A5008" s="32"/>
    </row>
    <row r="5009" spans="1:1">
      <c r="A5009" s="32"/>
    </row>
    <row r="5010" spans="1:1">
      <c r="A5010" s="32"/>
    </row>
    <row r="5011" spans="1:1">
      <c r="A5011" s="32"/>
    </row>
    <row r="5012" spans="1:1">
      <c r="A5012" s="32"/>
    </row>
    <row r="5013" spans="1:1">
      <c r="A5013" s="32"/>
    </row>
    <row r="5014" spans="1:1">
      <c r="A5014" s="32"/>
    </row>
    <row r="5015" spans="1:1">
      <c r="A5015" s="32"/>
    </row>
    <row r="5016" spans="1:1">
      <c r="A5016" s="32"/>
    </row>
    <row r="5017" spans="1:1">
      <c r="A5017" s="32"/>
    </row>
    <row r="5018" spans="1:1">
      <c r="A5018" s="32"/>
    </row>
    <row r="5019" spans="1:1">
      <c r="A5019" s="32"/>
    </row>
    <row r="5020" spans="1:1">
      <c r="A5020" s="32"/>
    </row>
    <row r="5021" spans="1:1">
      <c r="A5021" s="32"/>
    </row>
    <row r="5022" spans="1:1">
      <c r="A5022" s="32"/>
    </row>
    <row r="5023" spans="1:1">
      <c r="A5023" s="32"/>
    </row>
    <row r="5024" spans="1:1">
      <c r="A5024" s="32"/>
    </row>
    <row r="5025" spans="1:1">
      <c r="A5025" s="32"/>
    </row>
    <row r="5026" spans="1:1">
      <c r="A5026" s="32"/>
    </row>
    <row r="5027" spans="1:1">
      <c r="A5027" s="32"/>
    </row>
    <row r="5028" spans="1:1">
      <c r="A5028" s="32"/>
    </row>
    <row r="5029" spans="1:1">
      <c r="A5029" s="32"/>
    </row>
    <row r="5030" spans="1:1">
      <c r="A5030" s="32"/>
    </row>
    <row r="5031" spans="1:1">
      <c r="A5031" s="32"/>
    </row>
    <row r="5032" spans="1:1">
      <c r="A5032" s="32"/>
    </row>
    <row r="5033" spans="1:1">
      <c r="A5033" s="32"/>
    </row>
    <row r="5034" spans="1:1">
      <c r="A5034" s="32"/>
    </row>
    <row r="5035" spans="1:1">
      <c r="A5035" s="32"/>
    </row>
    <row r="5036" spans="1:1">
      <c r="A5036" s="32"/>
    </row>
    <row r="5037" spans="1:1">
      <c r="A5037" s="32"/>
    </row>
    <row r="5038" spans="1:1">
      <c r="A5038" s="32"/>
    </row>
    <row r="5039" spans="1:1">
      <c r="A5039" s="32"/>
    </row>
    <row r="5040" spans="1:1">
      <c r="A5040" s="32"/>
    </row>
    <row r="5041" spans="1:1">
      <c r="A5041" s="32"/>
    </row>
    <row r="5042" spans="1:1">
      <c r="A5042" s="32"/>
    </row>
    <row r="5043" spans="1:1">
      <c r="A5043" s="32"/>
    </row>
    <row r="5044" spans="1:1">
      <c r="A5044" s="32"/>
    </row>
    <row r="5045" spans="1:1">
      <c r="A5045" s="32"/>
    </row>
    <row r="5046" spans="1:1">
      <c r="A5046" s="32"/>
    </row>
    <row r="5047" spans="1:1">
      <c r="A5047" s="32"/>
    </row>
    <row r="5048" spans="1:1">
      <c r="A5048" s="32"/>
    </row>
    <row r="5049" spans="1:1">
      <c r="A5049" s="32"/>
    </row>
    <row r="5050" spans="1:1">
      <c r="A5050" s="32"/>
    </row>
    <row r="5051" spans="1:1">
      <c r="A5051" s="32"/>
    </row>
    <row r="5052" spans="1:1">
      <c r="A5052" s="32"/>
    </row>
    <row r="5053" spans="1:1">
      <c r="A5053" s="32"/>
    </row>
    <row r="5054" spans="1:1">
      <c r="A5054" s="32"/>
    </row>
    <row r="5055" spans="1:1">
      <c r="A5055" s="32"/>
    </row>
    <row r="5056" spans="1:1">
      <c r="A5056" s="32"/>
    </row>
    <row r="5057" spans="1:1">
      <c r="A5057" s="32"/>
    </row>
    <row r="5058" spans="1:1">
      <c r="A5058" s="32"/>
    </row>
    <row r="5059" spans="1:1">
      <c r="A5059" s="32"/>
    </row>
    <row r="5060" spans="1:1">
      <c r="A5060" s="32"/>
    </row>
    <row r="5061" spans="1:1">
      <c r="A5061" s="32"/>
    </row>
    <row r="5062" spans="1:1">
      <c r="A5062" s="32"/>
    </row>
    <row r="5063" spans="1:1">
      <c r="A5063" s="32"/>
    </row>
    <row r="5064" spans="1:1">
      <c r="A5064" s="32"/>
    </row>
    <row r="5065" spans="1:1">
      <c r="A5065" s="32"/>
    </row>
    <row r="5066" spans="1:1">
      <c r="A5066" s="32"/>
    </row>
    <row r="5067" spans="1:1">
      <c r="A5067" s="32"/>
    </row>
    <row r="5068" spans="1:1">
      <c r="A5068" s="32"/>
    </row>
    <row r="5069" spans="1:1">
      <c r="A5069" s="32"/>
    </row>
    <row r="5070" spans="1:1">
      <c r="A5070" s="32"/>
    </row>
    <row r="5071" spans="1:1">
      <c r="A5071" s="32"/>
    </row>
    <row r="5072" spans="1:1">
      <c r="A5072" s="32"/>
    </row>
    <row r="5073" spans="1:1">
      <c r="A5073" s="32"/>
    </row>
    <row r="5074" spans="1:1">
      <c r="A5074" s="32"/>
    </row>
    <row r="5075" spans="1:1">
      <c r="A5075" s="32"/>
    </row>
    <row r="5076" spans="1:1">
      <c r="A5076" s="32"/>
    </row>
    <row r="5077" spans="1:1">
      <c r="A5077" s="32"/>
    </row>
    <row r="5078" spans="1:1">
      <c r="A5078" s="32"/>
    </row>
    <row r="5079" spans="1:1">
      <c r="A5079" s="32"/>
    </row>
    <row r="5080" spans="1:1">
      <c r="A5080" s="32"/>
    </row>
    <row r="5081" spans="1:1">
      <c r="A5081" s="32"/>
    </row>
    <row r="5082" spans="1:1">
      <c r="A5082" s="32"/>
    </row>
    <row r="5083" spans="1:1">
      <c r="A5083" s="32"/>
    </row>
    <row r="5084" spans="1:1">
      <c r="A5084" s="32"/>
    </row>
    <row r="5085" spans="1:1">
      <c r="A5085" s="32"/>
    </row>
    <row r="5086" spans="1:1">
      <c r="A5086" s="32"/>
    </row>
    <row r="5087" spans="1:1">
      <c r="A5087" s="32"/>
    </row>
    <row r="5088" spans="1:1">
      <c r="A5088" s="32"/>
    </row>
    <row r="5089" spans="1:1">
      <c r="A5089" s="32"/>
    </row>
    <row r="5090" spans="1:1">
      <c r="A5090" s="32"/>
    </row>
    <row r="5091" spans="1:1">
      <c r="A5091" s="32"/>
    </row>
    <row r="5092" spans="1:1">
      <c r="A5092" s="32"/>
    </row>
    <row r="5093" spans="1:1">
      <c r="A5093" s="32"/>
    </row>
    <row r="5094" spans="1:1">
      <c r="A5094" s="32"/>
    </row>
    <row r="5095" spans="1:1">
      <c r="A5095" s="32"/>
    </row>
    <row r="5096" spans="1:1">
      <c r="A5096" s="32"/>
    </row>
    <row r="5097" spans="1:1">
      <c r="A5097" s="32"/>
    </row>
    <row r="5098" spans="1:1">
      <c r="A5098" s="32"/>
    </row>
    <row r="5099" spans="1:1">
      <c r="A5099" s="32"/>
    </row>
    <row r="5100" spans="1:1">
      <c r="A5100" s="32"/>
    </row>
    <row r="5101" spans="1:1">
      <c r="A5101" s="32"/>
    </row>
    <row r="5102" spans="1:1">
      <c r="A5102" s="32"/>
    </row>
    <row r="5103" spans="1:1">
      <c r="A5103" s="32"/>
    </row>
    <row r="5104" spans="1:1">
      <c r="A5104" s="32"/>
    </row>
    <row r="5105" spans="1:1">
      <c r="A5105" s="32"/>
    </row>
    <row r="5106" spans="1:1">
      <c r="A5106" s="32"/>
    </row>
    <row r="5107" spans="1:1">
      <c r="A5107" s="32"/>
    </row>
    <row r="5108" spans="1:1">
      <c r="A5108" s="32"/>
    </row>
    <row r="5109" spans="1:1">
      <c r="A5109" s="32"/>
    </row>
    <row r="5110" spans="1:1">
      <c r="A5110" s="32"/>
    </row>
    <row r="5111" spans="1:1">
      <c r="A5111" s="32"/>
    </row>
    <row r="5112" spans="1:1">
      <c r="A5112" s="32"/>
    </row>
    <row r="5113" spans="1:1">
      <c r="A5113" s="32"/>
    </row>
    <row r="5114" spans="1:1">
      <c r="A5114" s="32"/>
    </row>
    <row r="5115" spans="1:1">
      <c r="A5115" s="32"/>
    </row>
    <row r="5116" spans="1:1">
      <c r="A5116" s="32"/>
    </row>
    <row r="5117" spans="1:1">
      <c r="A5117" s="32"/>
    </row>
    <row r="5118" spans="1:1">
      <c r="A5118" s="32"/>
    </row>
    <row r="5119" spans="1:1">
      <c r="A5119" s="32"/>
    </row>
    <row r="5120" spans="1:1">
      <c r="A5120" s="32"/>
    </row>
    <row r="5121" spans="1:1">
      <c r="A5121" s="32"/>
    </row>
    <row r="5122" spans="1:1">
      <c r="A5122" s="32"/>
    </row>
    <row r="5123" spans="1:1">
      <c r="A5123" s="32"/>
    </row>
    <row r="5124" spans="1:1">
      <c r="A5124" s="32"/>
    </row>
    <row r="5125" spans="1:1">
      <c r="A5125" s="32"/>
    </row>
    <row r="5126" spans="1:1">
      <c r="A5126" s="32"/>
    </row>
    <row r="5127" spans="1:1">
      <c r="A5127" s="32"/>
    </row>
    <row r="5128" spans="1:1">
      <c r="A5128" s="32"/>
    </row>
    <row r="5129" spans="1:1">
      <c r="A5129" s="32"/>
    </row>
    <row r="5130" spans="1:1">
      <c r="A5130" s="32"/>
    </row>
    <row r="5131" spans="1:1">
      <c r="A5131" s="32"/>
    </row>
    <row r="5132" spans="1:1">
      <c r="A5132" s="32"/>
    </row>
    <row r="5133" spans="1:1">
      <c r="A5133" s="32"/>
    </row>
    <row r="5134" spans="1:1">
      <c r="A5134" s="32"/>
    </row>
    <row r="5135" spans="1:1">
      <c r="A5135" s="32"/>
    </row>
    <row r="5136" spans="1:1">
      <c r="A5136" s="32"/>
    </row>
    <row r="5137" spans="1:1">
      <c r="A5137" s="32"/>
    </row>
    <row r="5138" spans="1:1">
      <c r="A5138" s="32"/>
    </row>
    <row r="5139" spans="1:1">
      <c r="A5139" s="32"/>
    </row>
    <row r="5140" spans="1:1">
      <c r="A5140" s="32"/>
    </row>
    <row r="5141" spans="1:1">
      <c r="A5141" s="32"/>
    </row>
    <row r="5142" spans="1:1">
      <c r="A5142" s="32"/>
    </row>
    <row r="5143" spans="1:1">
      <c r="A5143" s="32"/>
    </row>
    <row r="5144" spans="1:1">
      <c r="A5144" s="32"/>
    </row>
    <row r="5145" spans="1:1">
      <c r="A5145" s="32"/>
    </row>
    <row r="5146" spans="1:1">
      <c r="A5146" s="32"/>
    </row>
    <row r="5147" spans="1:1">
      <c r="A5147" s="32"/>
    </row>
    <row r="5148" spans="1:1">
      <c r="A5148" s="32"/>
    </row>
    <row r="5149" spans="1:1">
      <c r="A5149" s="32"/>
    </row>
    <row r="5150" spans="1:1">
      <c r="A5150" s="32"/>
    </row>
    <row r="5151" spans="1:1">
      <c r="A5151" s="32"/>
    </row>
    <row r="5152" spans="1:1">
      <c r="A5152" s="32"/>
    </row>
    <row r="5153" spans="1:1">
      <c r="A5153" s="32"/>
    </row>
    <row r="5154" spans="1:1">
      <c r="A5154" s="32"/>
    </row>
    <row r="5155" spans="1:1">
      <c r="A5155" s="32"/>
    </row>
    <row r="5156" spans="1:1">
      <c r="A5156" s="32"/>
    </row>
    <row r="5157" spans="1:1">
      <c r="A5157" s="32"/>
    </row>
    <row r="5158" spans="1:1">
      <c r="A5158" s="32"/>
    </row>
    <row r="5159" spans="1:1">
      <c r="A5159" s="32"/>
    </row>
    <row r="5160" spans="1:1">
      <c r="A5160" s="32"/>
    </row>
    <row r="5161" spans="1:1">
      <c r="A5161" s="32"/>
    </row>
    <row r="5162" spans="1:1">
      <c r="A5162" s="32"/>
    </row>
    <row r="5163" spans="1:1">
      <c r="A5163" s="32"/>
    </row>
    <row r="5164" spans="1:1">
      <c r="A5164" s="32"/>
    </row>
    <row r="5165" spans="1:1">
      <c r="A5165" s="32"/>
    </row>
    <row r="5166" spans="1:1">
      <c r="A5166" s="32"/>
    </row>
    <row r="5167" spans="1:1">
      <c r="A5167" s="32"/>
    </row>
    <row r="5168" spans="1:1">
      <c r="A5168" s="32"/>
    </row>
    <row r="5169" spans="1:1">
      <c r="A5169" s="32"/>
    </row>
    <row r="5170" spans="1:1">
      <c r="A5170" s="32"/>
    </row>
    <row r="5171" spans="1:1">
      <c r="A5171" s="32"/>
    </row>
    <row r="5172" spans="1:1">
      <c r="A5172" s="32"/>
    </row>
    <row r="5173" spans="1:1">
      <c r="A5173" s="32"/>
    </row>
    <row r="5174" spans="1:1">
      <c r="A5174" s="32"/>
    </row>
    <row r="5175" spans="1:1">
      <c r="A5175" s="32"/>
    </row>
    <row r="5176" spans="1:1">
      <c r="A5176" s="32"/>
    </row>
    <row r="5177" spans="1:1">
      <c r="A5177" s="32"/>
    </row>
    <row r="5178" spans="1:1">
      <c r="A5178" s="32"/>
    </row>
    <row r="5179" spans="1:1">
      <c r="A5179" s="32"/>
    </row>
    <row r="5180" spans="1:1">
      <c r="A5180" s="32"/>
    </row>
    <row r="5181" spans="1:1">
      <c r="A5181" s="32"/>
    </row>
    <row r="5182" spans="1:1">
      <c r="A5182" s="32"/>
    </row>
    <row r="5183" spans="1:1">
      <c r="A5183" s="32"/>
    </row>
    <row r="5184" spans="1:1">
      <c r="A5184" s="32"/>
    </row>
    <row r="5185" spans="1:1">
      <c r="A5185" s="32"/>
    </row>
    <row r="5186" spans="1:1">
      <c r="A5186" s="32"/>
    </row>
    <row r="5187" spans="1:1">
      <c r="A5187" s="32"/>
    </row>
    <row r="5188" spans="1:1">
      <c r="A5188" s="32"/>
    </row>
    <row r="5189" spans="1:1">
      <c r="A5189" s="32"/>
    </row>
    <row r="5190" spans="1:1">
      <c r="A5190" s="32"/>
    </row>
    <row r="5191" spans="1:1">
      <c r="A5191" s="32"/>
    </row>
    <row r="5192" spans="1:1">
      <c r="A5192" s="32"/>
    </row>
    <row r="5193" spans="1:1">
      <c r="A5193" s="32"/>
    </row>
    <row r="5194" spans="1:1">
      <c r="A5194" s="32"/>
    </row>
    <row r="5195" spans="1:1">
      <c r="A5195" s="32"/>
    </row>
    <row r="5196" spans="1:1">
      <c r="A5196" s="32"/>
    </row>
    <row r="5197" spans="1:1">
      <c r="A5197" s="32"/>
    </row>
    <row r="5198" spans="1:1">
      <c r="A5198" s="32"/>
    </row>
    <row r="5199" spans="1:1">
      <c r="A5199" s="32"/>
    </row>
    <row r="5200" spans="1:1">
      <c r="A5200" s="32"/>
    </row>
    <row r="5201" spans="1:1">
      <c r="A5201" s="32"/>
    </row>
    <row r="5202" spans="1:1">
      <c r="A5202" s="32"/>
    </row>
    <row r="5203" spans="1:1">
      <c r="A5203" s="32"/>
    </row>
    <row r="5204" spans="1:1">
      <c r="A5204" s="32"/>
    </row>
    <row r="5205" spans="1:1">
      <c r="A5205" s="32"/>
    </row>
    <row r="5206" spans="1:1">
      <c r="A5206" s="32"/>
    </row>
    <row r="5207" spans="1:1">
      <c r="A5207" s="32"/>
    </row>
    <row r="5208" spans="1:1">
      <c r="A5208" s="32"/>
    </row>
    <row r="5209" spans="1:1">
      <c r="A5209" s="32"/>
    </row>
    <row r="5210" spans="1:1">
      <c r="A5210" s="32"/>
    </row>
    <row r="5211" spans="1:1">
      <c r="A5211" s="32"/>
    </row>
    <row r="5212" spans="1:1">
      <c r="A5212" s="32"/>
    </row>
    <row r="5213" spans="1:1">
      <c r="A5213" s="32"/>
    </row>
    <row r="5214" spans="1:1">
      <c r="A5214" s="32"/>
    </row>
    <row r="5215" spans="1:1">
      <c r="A5215" s="32"/>
    </row>
    <row r="5216" spans="1:1">
      <c r="A5216" s="32"/>
    </row>
    <row r="5217" spans="1:1">
      <c r="A5217" s="32"/>
    </row>
    <row r="5218" spans="1:1">
      <c r="A5218" s="32"/>
    </row>
    <row r="5219" spans="1:1">
      <c r="A5219" s="32"/>
    </row>
    <row r="5220" spans="1:1">
      <c r="A5220" s="32"/>
    </row>
    <row r="5221" spans="1:1">
      <c r="A5221" s="32"/>
    </row>
    <row r="5222" spans="1:1">
      <c r="A5222" s="32"/>
    </row>
    <row r="5223" spans="1:1">
      <c r="A5223" s="32"/>
    </row>
    <row r="5224" spans="1:1">
      <c r="A5224" s="32"/>
    </row>
    <row r="5225" spans="1:1">
      <c r="A5225" s="32"/>
    </row>
    <row r="5226" spans="1:1">
      <c r="A5226" s="32"/>
    </row>
    <row r="5227" spans="1:1">
      <c r="A5227" s="32"/>
    </row>
    <row r="5228" spans="1:1">
      <c r="A5228" s="32"/>
    </row>
    <row r="5229" spans="1:1">
      <c r="A5229" s="32"/>
    </row>
    <row r="5230" spans="1:1">
      <c r="A5230" s="32"/>
    </row>
    <row r="5231" spans="1:1">
      <c r="A5231" s="32"/>
    </row>
    <row r="5232" spans="1:1">
      <c r="A5232" s="32"/>
    </row>
    <row r="5233" spans="1:1">
      <c r="A5233" s="32"/>
    </row>
    <row r="5234" spans="1:1">
      <c r="A5234" s="32"/>
    </row>
    <row r="5235" spans="1:1">
      <c r="A5235" s="32"/>
    </row>
    <row r="5236" spans="1:1">
      <c r="A5236" s="32"/>
    </row>
    <row r="5237" spans="1:1">
      <c r="A5237" s="32"/>
    </row>
    <row r="5238" spans="1:1">
      <c r="A5238" s="32"/>
    </row>
    <row r="5239" spans="1:1">
      <c r="A5239" s="32"/>
    </row>
    <row r="5240" spans="1:1">
      <c r="A5240" s="32"/>
    </row>
    <row r="5241" spans="1:1">
      <c r="A5241" s="32"/>
    </row>
    <row r="5242" spans="1:1">
      <c r="A5242" s="32"/>
    </row>
    <row r="5243" spans="1:1">
      <c r="A5243" s="32"/>
    </row>
    <row r="5244" spans="1:1">
      <c r="A5244" s="32"/>
    </row>
    <row r="5245" spans="1:1">
      <c r="A5245" s="32"/>
    </row>
    <row r="5246" spans="1:1">
      <c r="A5246" s="32"/>
    </row>
    <row r="5247" spans="1:1">
      <c r="A5247" s="32"/>
    </row>
    <row r="5248" spans="1:1">
      <c r="A5248" s="32"/>
    </row>
    <row r="5249" spans="1:1">
      <c r="A5249" s="32"/>
    </row>
    <row r="5250" spans="1:1">
      <c r="A5250" s="32"/>
    </row>
    <row r="5251" spans="1:1">
      <c r="A5251" s="32"/>
    </row>
    <row r="5252" spans="1:1">
      <c r="A5252" s="32"/>
    </row>
    <row r="5253" spans="1:1">
      <c r="A5253" s="32"/>
    </row>
    <row r="5254" spans="1:1">
      <c r="A5254" s="32"/>
    </row>
    <row r="5255" spans="1:1">
      <c r="A5255" s="32"/>
    </row>
    <row r="5256" spans="1:1">
      <c r="A5256" s="32"/>
    </row>
    <row r="5257" spans="1:1">
      <c r="A5257" s="32"/>
    </row>
    <row r="5258" spans="1:1">
      <c r="A5258" s="32"/>
    </row>
    <row r="5259" spans="1:1">
      <c r="A5259" s="32"/>
    </row>
    <row r="5260" spans="1:1">
      <c r="A5260" s="32"/>
    </row>
    <row r="5261" spans="1:1">
      <c r="A5261" s="32"/>
    </row>
    <row r="5262" spans="1:1">
      <c r="A5262" s="32"/>
    </row>
    <row r="5263" spans="1:1">
      <c r="A5263" s="32"/>
    </row>
    <row r="5264" spans="1:1">
      <c r="A5264" s="32"/>
    </row>
    <row r="5265" spans="1:1">
      <c r="A5265" s="32"/>
    </row>
    <row r="5266" spans="1:1">
      <c r="A5266" s="32"/>
    </row>
    <row r="5267" spans="1:1">
      <c r="A5267" s="32"/>
    </row>
    <row r="5268" spans="1:1">
      <c r="A5268" s="32"/>
    </row>
    <row r="5269" spans="1:1">
      <c r="A5269" s="32"/>
    </row>
    <row r="5270" spans="1:1">
      <c r="A5270" s="32"/>
    </row>
    <row r="5271" spans="1:1">
      <c r="A5271" s="32"/>
    </row>
    <row r="5272" spans="1:1">
      <c r="A5272" s="32"/>
    </row>
    <row r="5273" spans="1:1">
      <c r="A5273" s="32"/>
    </row>
    <row r="5274" spans="1:1">
      <c r="A5274" s="32"/>
    </row>
    <row r="5275" spans="1:1">
      <c r="A5275" s="32"/>
    </row>
    <row r="5276" spans="1:1">
      <c r="A5276" s="32"/>
    </row>
    <row r="5277" spans="1:1">
      <c r="A5277" s="32"/>
    </row>
    <row r="5278" spans="1:1">
      <c r="A5278" s="32"/>
    </row>
    <row r="5279" spans="1:1">
      <c r="A5279" s="32"/>
    </row>
    <row r="5280" spans="1:1">
      <c r="A5280" s="32"/>
    </row>
    <row r="5281" spans="1:1">
      <c r="A5281" s="32"/>
    </row>
    <row r="5282" spans="1:1">
      <c r="A5282" s="32"/>
    </row>
    <row r="5283" spans="1:1">
      <c r="A5283" s="32"/>
    </row>
    <row r="5284" spans="1:1">
      <c r="A5284" s="32"/>
    </row>
    <row r="5285" spans="1:1">
      <c r="A5285" s="32"/>
    </row>
    <row r="5286" spans="1:1">
      <c r="A5286" s="32"/>
    </row>
    <row r="5287" spans="1:1">
      <c r="A5287" s="32"/>
    </row>
    <row r="5288" spans="1:1">
      <c r="A5288" s="32"/>
    </row>
    <row r="5289" spans="1:1">
      <c r="A5289" s="32"/>
    </row>
    <row r="5290" spans="1:1">
      <c r="A5290" s="32"/>
    </row>
    <row r="5291" spans="1:1">
      <c r="A5291" s="32"/>
    </row>
    <row r="5292" spans="1:1">
      <c r="A5292" s="32"/>
    </row>
    <row r="5293" spans="1:1">
      <c r="A5293" s="32"/>
    </row>
    <row r="5294" spans="1:1">
      <c r="A5294" s="32"/>
    </row>
    <row r="5295" spans="1:1">
      <c r="A5295" s="32"/>
    </row>
    <row r="5296" spans="1:1">
      <c r="A5296" s="32"/>
    </row>
    <row r="5297" spans="1:1">
      <c r="A5297" s="32"/>
    </row>
    <row r="5298" spans="1:1">
      <c r="A5298" s="32"/>
    </row>
    <row r="5299" spans="1:1">
      <c r="A5299" s="32"/>
    </row>
    <row r="5300" spans="1:1">
      <c r="A5300" s="32"/>
    </row>
    <row r="5301" spans="1:1">
      <c r="A5301" s="32"/>
    </row>
    <row r="5302" spans="1:1">
      <c r="A5302" s="32"/>
    </row>
    <row r="5303" spans="1:1">
      <c r="A5303" s="32"/>
    </row>
    <row r="5304" spans="1:1">
      <c r="A5304" s="32"/>
    </row>
    <row r="5305" spans="1:1">
      <c r="A5305" s="32"/>
    </row>
    <row r="5306" spans="1:1">
      <c r="A5306" s="32"/>
    </row>
    <row r="5307" spans="1:1">
      <c r="A5307" s="32"/>
    </row>
    <row r="5308" spans="1:1">
      <c r="A5308" s="32"/>
    </row>
    <row r="5309" spans="1:1">
      <c r="A5309" s="32"/>
    </row>
    <row r="5310" spans="1:1">
      <c r="A5310" s="32"/>
    </row>
    <row r="5311" spans="1:1">
      <c r="A5311" s="32"/>
    </row>
    <row r="5312" spans="1:1">
      <c r="A5312" s="32"/>
    </row>
    <row r="5313" spans="1:1">
      <c r="A5313" s="32"/>
    </row>
    <row r="5314" spans="1:1">
      <c r="A5314" s="32"/>
    </row>
    <row r="5315" spans="1:1">
      <c r="A5315" s="32"/>
    </row>
    <row r="5316" spans="1:1">
      <c r="A5316" s="32"/>
    </row>
    <row r="5317" spans="1:1">
      <c r="A5317" s="32"/>
    </row>
    <row r="5318" spans="1:1">
      <c r="A5318" s="32"/>
    </row>
    <row r="5319" spans="1:1">
      <c r="A5319" s="32"/>
    </row>
    <row r="5320" spans="1:1">
      <c r="A5320" s="32"/>
    </row>
    <row r="5321" spans="1:1">
      <c r="A5321" s="32"/>
    </row>
    <row r="5322" spans="1:1">
      <c r="A5322" s="32"/>
    </row>
    <row r="5323" spans="1:1">
      <c r="A5323" s="32"/>
    </row>
    <row r="5324" spans="1:1">
      <c r="A5324" s="32"/>
    </row>
    <row r="5325" spans="1:1">
      <c r="A5325" s="32"/>
    </row>
    <row r="5326" spans="1:1">
      <c r="A5326" s="32"/>
    </row>
    <row r="5327" spans="1:1">
      <c r="A5327" s="32"/>
    </row>
    <row r="5328" spans="1:1">
      <c r="A5328" s="32"/>
    </row>
    <row r="5329" spans="1:1">
      <c r="A5329" s="32"/>
    </row>
    <row r="5330" spans="1:1">
      <c r="A5330" s="32"/>
    </row>
    <row r="5331" spans="1:1">
      <c r="A5331" s="32"/>
    </row>
    <row r="5332" spans="1:1">
      <c r="A5332" s="32"/>
    </row>
    <row r="5333" spans="1:1">
      <c r="A5333" s="32"/>
    </row>
    <row r="5334" spans="1:1">
      <c r="A5334" s="32"/>
    </row>
    <row r="5335" spans="1:1">
      <c r="A5335" s="32"/>
    </row>
    <row r="5336" spans="1:1">
      <c r="A5336" s="32"/>
    </row>
    <row r="5337" spans="1:1">
      <c r="A5337" s="32"/>
    </row>
    <row r="5338" spans="1:1">
      <c r="A5338" s="32"/>
    </row>
    <row r="5339" spans="1:1">
      <c r="A5339" s="32"/>
    </row>
    <row r="5340" spans="1:1">
      <c r="A5340" s="32"/>
    </row>
    <row r="5341" spans="1:1">
      <c r="A5341" s="32"/>
    </row>
    <row r="5342" spans="1:1">
      <c r="A5342" s="32"/>
    </row>
    <row r="5343" spans="1:1">
      <c r="A5343" s="32"/>
    </row>
    <row r="5344" spans="1:1">
      <c r="A5344" s="32"/>
    </row>
    <row r="5345" spans="1:1">
      <c r="A5345" s="32"/>
    </row>
    <row r="5346" spans="1:1">
      <c r="A5346" s="32"/>
    </row>
    <row r="5347" spans="1:1">
      <c r="A5347" s="32"/>
    </row>
    <row r="5348" spans="1:1">
      <c r="A5348" s="32"/>
    </row>
    <row r="5349" spans="1:1">
      <c r="A5349" s="32"/>
    </row>
    <row r="5350" spans="1:1">
      <c r="A5350" s="32"/>
    </row>
    <row r="5351" spans="1:1">
      <c r="A5351" s="32"/>
    </row>
    <row r="5352" spans="1:1">
      <c r="A5352" s="32"/>
    </row>
    <row r="5353" spans="1:1">
      <c r="A5353" s="32"/>
    </row>
    <row r="5354" spans="1:1">
      <c r="A5354" s="32"/>
    </row>
    <row r="5355" spans="1:1">
      <c r="A5355" s="32"/>
    </row>
    <row r="5356" spans="1:1">
      <c r="A5356" s="32"/>
    </row>
    <row r="5357" spans="1:1">
      <c r="A5357" s="32"/>
    </row>
    <row r="5358" spans="1:1">
      <c r="A5358" s="32"/>
    </row>
    <row r="5359" spans="1:1">
      <c r="A5359" s="32"/>
    </row>
    <row r="5360" spans="1:1">
      <c r="A5360" s="32"/>
    </row>
    <row r="5361" spans="1:1">
      <c r="A5361" s="32"/>
    </row>
    <row r="5362" spans="1:1">
      <c r="A5362" s="32"/>
    </row>
    <row r="5363" spans="1:1">
      <c r="A5363" s="32"/>
    </row>
    <row r="5364" spans="1:1">
      <c r="A5364" s="32"/>
    </row>
    <row r="5365" spans="1:1">
      <c r="A5365" s="32"/>
    </row>
    <row r="5366" spans="1:1">
      <c r="A5366" s="32"/>
    </row>
    <row r="5367" spans="1:1">
      <c r="A5367" s="32"/>
    </row>
    <row r="5368" spans="1:1">
      <c r="A5368" s="32"/>
    </row>
    <row r="5369" spans="1:1">
      <c r="A5369" s="32"/>
    </row>
    <row r="5370" spans="1:1">
      <c r="A5370" s="32"/>
    </row>
    <row r="5371" spans="1:1">
      <c r="A5371" s="32"/>
    </row>
    <row r="5372" spans="1:1">
      <c r="A5372" s="32"/>
    </row>
    <row r="5373" spans="1:1">
      <c r="A5373" s="32"/>
    </row>
    <row r="5374" spans="1:1">
      <c r="A5374" s="32"/>
    </row>
    <row r="5375" spans="1:1">
      <c r="A5375" s="32"/>
    </row>
    <row r="5376" spans="1:1">
      <c r="A5376" s="32"/>
    </row>
    <row r="5377" spans="1:1">
      <c r="A5377" s="32"/>
    </row>
    <row r="5378" spans="1:1">
      <c r="A5378" s="32"/>
    </row>
    <row r="5379" spans="1:1">
      <c r="A5379" s="32"/>
    </row>
    <row r="5380" spans="1:1">
      <c r="A5380" s="32"/>
    </row>
    <row r="5381" spans="1:1">
      <c r="A5381" s="32"/>
    </row>
    <row r="5382" spans="1:1">
      <c r="A5382" s="32"/>
    </row>
    <row r="5383" spans="1:1">
      <c r="A5383" s="32"/>
    </row>
    <row r="5384" spans="1:1">
      <c r="A5384" s="32"/>
    </row>
    <row r="5385" spans="1:1">
      <c r="A5385" s="32"/>
    </row>
    <row r="5386" spans="1:1">
      <c r="A5386" s="32"/>
    </row>
    <row r="5387" spans="1:1">
      <c r="A5387" s="32"/>
    </row>
    <row r="5388" spans="1:1">
      <c r="A5388" s="32"/>
    </row>
    <row r="5389" spans="1:1">
      <c r="A5389" s="32"/>
    </row>
    <row r="5390" spans="1:1">
      <c r="A5390" s="32"/>
    </row>
    <row r="5391" spans="1:1">
      <c r="A5391" s="32"/>
    </row>
    <row r="5392" spans="1:1">
      <c r="A5392" s="32"/>
    </row>
    <row r="5393" spans="1:1">
      <c r="A5393" s="32"/>
    </row>
    <row r="5394" spans="1:1">
      <c r="A5394" s="32"/>
    </row>
    <row r="5395" spans="1:1">
      <c r="A5395" s="32"/>
    </row>
    <row r="5396" spans="1:1">
      <c r="A5396" s="32"/>
    </row>
    <row r="5397" spans="1:1">
      <c r="A5397" s="32"/>
    </row>
    <row r="5398" spans="1:1">
      <c r="A5398" s="32"/>
    </row>
    <row r="5399" spans="1:1">
      <c r="A5399" s="32"/>
    </row>
    <row r="5400" spans="1:1">
      <c r="A5400" s="32"/>
    </row>
    <row r="5401" spans="1:1">
      <c r="A5401" s="32"/>
    </row>
    <row r="5402" spans="1:1">
      <c r="A5402" s="32"/>
    </row>
    <row r="5403" spans="1:1">
      <c r="A5403" s="32"/>
    </row>
    <row r="5404" spans="1:1">
      <c r="A5404" s="32"/>
    </row>
    <row r="5405" spans="1:1">
      <c r="A5405" s="32"/>
    </row>
    <row r="5406" spans="1:1">
      <c r="A5406" s="32"/>
    </row>
    <row r="5407" spans="1:1">
      <c r="A5407" s="32"/>
    </row>
    <row r="5408" spans="1:1">
      <c r="A5408" s="32"/>
    </row>
    <row r="5409" spans="1:1">
      <c r="A5409" s="32"/>
    </row>
    <row r="5410" spans="1:1">
      <c r="A5410" s="32"/>
    </row>
    <row r="5411" spans="1:1">
      <c r="A5411" s="32"/>
    </row>
    <row r="5412" spans="1:1">
      <c r="A5412" s="32"/>
    </row>
    <row r="5413" spans="1:1">
      <c r="A5413" s="32"/>
    </row>
    <row r="5414" spans="1:1">
      <c r="A5414" s="32"/>
    </row>
    <row r="5415" spans="1:1">
      <c r="A5415" s="32"/>
    </row>
    <row r="5416" spans="1:1">
      <c r="A5416" s="32"/>
    </row>
    <row r="5417" spans="1:1">
      <c r="A5417" s="32"/>
    </row>
    <row r="5418" spans="1:1">
      <c r="A5418" s="32"/>
    </row>
    <row r="5419" spans="1:1">
      <c r="A5419" s="32"/>
    </row>
    <row r="5420" spans="1:1">
      <c r="A5420" s="32"/>
    </row>
    <row r="5421" spans="1:1">
      <c r="A5421" s="32"/>
    </row>
    <row r="5422" spans="1:1">
      <c r="A5422" s="32"/>
    </row>
    <row r="5423" spans="1:1">
      <c r="A5423" s="32"/>
    </row>
    <row r="5424" spans="1:1">
      <c r="A5424" s="32"/>
    </row>
    <row r="5425" spans="1:1">
      <c r="A5425" s="32"/>
    </row>
    <row r="5426" spans="1:1">
      <c r="A5426" s="32"/>
    </row>
    <row r="5427" spans="1:1">
      <c r="A5427" s="32"/>
    </row>
    <row r="5428" spans="1:1">
      <c r="A5428" s="32"/>
    </row>
    <row r="5429" spans="1:1">
      <c r="A5429" s="32"/>
    </row>
    <row r="5430" spans="1:1">
      <c r="A5430" s="32"/>
    </row>
    <row r="5431" spans="1:1">
      <c r="A5431" s="32"/>
    </row>
    <row r="5432" spans="1:1">
      <c r="A5432" s="32"/>
    </row>
    <row r="5433" spans="1:1">
      <c r="A5433" s="32"/>
    </row>
    <row r="5434" spans="1:1">
      <c r="A5434" s="32"/>
    </row>
    <row r="5435" spans="1:1">
      <c r="A5435" s="32"/>
    </row>
    <row r="5436" spans="1:1">
      <c r="A5436" s="32"/>
    </row>
    <row r="5437" spans="1:1">
      <c r="A5437" s="32"/>
    </row>
    <row r="5438" spans="1:1">
      <c r="A5438" s="32"/>
    </row>
    <row r="5439" spans="1:1">
      <c r="A5439" s="32"/>
    </row>
    <row r="5440" spans="1:1">
      <c r="A5440" s="32"/>
    </row>
    <row r="5441" spans="1:1">
      <c r="A5441" s="32"/>
    </row>
    <row r="5442" spans="1:1">
      <c r="A5442" s="32"/>
    </row>
    <row r="5443" spans="1:1">
      <c r="A5443" s="32"/>
    </row>
    <row r="5444" spans="1:1">
      <c r="A5444" s="32"/>
    </row>
    <row r="5445" spans="1:1">
      <c r="A5445" s="32"/>
    </row>
    <row r="5446" spans="1:1">
      <c r="A5446" s="32"/>
    </row>
    <row r="5447" spans="1:1">
      <c r="A5447" s="32"/>
    </row>
    <row r="5448" spans="1:1">
      <c r="A5448" s="32"/>
    </row>
    <row r="5449" spans="1:1">
      <c r="A5449" s="32"/>
    </row>
    <row r="5450" spans="1:1">
      <c r="A5450" s="32"/>
    </row>
    <row r="5451" spans="1:1">
      <c r="A5451" s="32"/>
    </row>
    <row r="5452" spans="1:1">
      <c r="A5452" s="32"/>
    </row>
    <row r="5453" spans="1:1">
      <c r="A5453" s="32"/>
    </row>
    <row r="5454" spans="1:1">
      <c r="A5454" s="32"/>
    </row>
    <row r="5455" spans="1:1">
      <c r="A5455" s="32"/>
    </row>
    <row r="5456" spans="1:1">
      <c r="A5456" s="32"/>
    </row>
    <row r="5457" spans="1:1">
      <c r="A5457" s="32"/>
    </row>
    <row r="5458" spans="1:1">
      <c r="A5458" s="32"/>
    </row>
    <row r="5459" spans="1:1">
      <c r="A5459" s="32"/>
    </row>
    <row r="5460" spans="1:1">
      <c r="A5460" s="32"/>
    </row>
    <row r="5461" spans="1:1">
      <c r="A5461" s="32"/>
    </row>
    <row r="5462" spans="1:1">
      <c r="A5462" s="32"/>
    </row>
    <row r="5463" spans="1:1">
      <c r="A5463" s="32"/>
    </row>
    <row r="5464" spans="1:1">
      <c r="A5464" s="32"/>
    </row>
    <row r="5465" spans="1:1">
      <c r="A5465" s="32"/>
    </row>
    <row r="5466" spans="1:1">
      <c r="A5466" s="32"/>
    </row>
    <row r="5467" spans="1:1">
      <c r="A5467" s="32"/>
    </row>
    <row r="5468" spans="1:1">
      <c r="A5468" s="32"/>
    </row>
    <row r="5469" spans="1:1">
      <c r="A5469" s="32"/>
    </row>
    <row r="5470" spans="1:1">
      <c r="A5470" s="32"/>
    </row>
    <row r="5471" spans="1:1">
      <c r="A5471" s="32"/>
    </row>
    <row r="5472" spans="1:1">
      <c r="A5472" s="32"/>
    </row>
    <row r="5473" spans="1:1">
      <c r="A5473" s="32"/>
    </row>
    <row r="5474" spans="1:1">
      <c r="A5474" s="32"/>
    </row>
    <row r="5475" spans="1:1">
      <c r="A5475" s="32"/>
    </row>
    <row r="5476" spans="1:1">
      <c r="A5476" s="32"/>
    </row>
    <row r="5477" spans="1:1">
      <c r="A5477" s="32"/>
    </row>
    <row r="5478" spans="1:1">
      <c r="A5478" s="32"/>
    </row>
    <row r="5479" spans="1:1">
      <c r="A5479" s="32"/>
    </row>
    <row r="5480" spans="1:1">
      <c r="A5480" s="32"/>
    </row>
    <row r="5481" spans="1:1">
      <c r="A5481" s="32"/>
    </row>
    <row r="5482" spans="1:1">
      <c r="A5482" s="32"/>
    </row>
    <row r="5483" spans="1:1">
      <c r="A5483" s="32"/>
    </row>
    <row r="5484" spans="1:1">
      <c r="A5484" s="32"/>
    </row>
    <row r="5485" spans="1:1">
      <c r="A5485" s="32"/>
    </row>
    <row r="5486" spans="1:1">
      <c r="A5486" s="32"/>
    </row>
    <row r="5487" spans="1:1">
      <c r="A5487" s="32"/>
    </row>
    <row r="5488" spans="1:1">
      <c r="A5488" s="32"/>
    </row>
    <row r="5489" spans="1:1">
      <c r="A5489" s="32"/>
    </row>
    <row r="5490" spans="1:1">
      <c r="A5490" s="32"/>
    </row>
    <row r="5491" spans="1:1">
      <c r="A5491" s="32"/>
    </row>
    <row r="5492" spans="1:1">
      <c r="A5492" s="32"/>
    </row>
    <row r="5493" spans="1:1">
      <c r="A5493" s="32"/>
    </row>
    <row r="5494" spans="1:1">
      <c r="A5494" s="32"/>
    </row>
    <row r="5495" spans="1:1">
      <c r="A5495" s="32"/>
    </row>
    <row r="5496" spans="1:1">
      <c r="A5496" s="32"/>
    </row>
    <row r="5497" spans="1:1">
      <c r="A5497" s="32"/>
    </row>
    <row r="5498" spans="1:1">
      <c r="A5498" s="32"/>
    </row>
    <row r="5499" spans="1:1">
      <c r="A5499" s="32"/>
    </row>
    <row r="5500" spans="1:1">
      <c r="A5500" s="32"/>
    </row>
    <row r="5501" spans="1:1">
      <c r="A5501" s="32"/>
    </row>
    <row r="5502" spans="1:1">
      <c r="A5502" s="32"/>
    </row>
    <row r="5503" spans="1:1">
      <c r="A5503" s="32"/>
    </row>
    <row r="5504" spans="1:1">
      <c r="A5504" s="32"/>
    </row>
    <row r="5505" spans="1:1">
      <c r="A5505" s="32"/>
    </row>
    <row r="5506" spans="1:1">
      <c r="A5506" s="32"/>
    </row>
    <row r="5507" spans="1:1">
      <c r="A5507" s="32"/>
    </row>
    <row r="5508" spans="1:1">
      <c r="A5508" s="32"/>
    </row>
    <row r="5509" spans="1:1">
      <c r="A5509" s="32"/>
    </row>
    <row r="5510" spans="1:1">
      <c r="A5510" s="32"/>
    </row>
    <row r="5511" spans="1:1">
      <c r="A5511" s="32"/>
    </row>
    <row r="5512" spans="1:1">
      <c r="A5512" s="32"/>
    </row>
    <row r="5513" spans="1:1">
      <c r="A5513" s="32"/>
    </row>
    <row r="5514" spans="1:1">
      <c r="A5514" s="32"/>
    </row>
    <row r="5515" spans="1:1">
      <c r="A5515" s="32"/>
    </row>
    <row r="5516" spans="1:1">
      <c r="A5516" s="32"/>
    </row>
    <row r="5517" spans="1:1">
      <c r="A5517" s="32"/>
    </row>
    <row r="5518" spans="1:1">
      <c r="A5518" s="32"/>
    </row>
    <row r="5519" spans="1:1">
      <c r="A5519" s="32"/>
    </row>
    <row r="5520" spans="1:1">
      <c r="A5520" s="32"/>
    </row>
    <row r="5521" spans="1:1">
      <c r="A5521" s="32"/>
    </row>
    <row r="5522" spans="1:1">
      <c r="A5522" s="32"/>
    </row>
    <row r="5523" spans="1:1">
      <c r="A5523" s="32"/>
    </row>
    <row r="5524" spans="1:1">
      <c r="A5524" s="32"/>
    </row>
    <row r="5525" spans="1:1">
      <c r="A5525" s="32"/>
    </row>
    <row r="5526" spans="1:1">
      <c r="A5526" s="32"/>
    </row>
    <row r="5527" spans="1:1">
      <c r="A5527" s="32"/>
    </row>
    <row r="5528" spans="1:1">
      <c r="A5528" s="32"/>
    </row>
    <row r="5529" spans="1:1">
      <c r="A5529" s="32"/>
    </row>
    <row r="5530" spans="1:1">
      <c r="A5530" s="32"/>
    </row>
    <row r="5531" spans="1:1">
      <c r="A5531" s="32"/>
    </row>
    <row r="5532" spans="1:1">
      <c r="A5532" s="32"/>
    </row>
    <row r="5533" spans="1:1">
      <c r="A5533" s="32"/>
    </row>
    <row r="5534" spans="1:1">
      <c r="A5534" s="32"/>
    </row>
    <row r="5535" spans="1:1">
      <c r="A5535" s="32"/>
    </row>
    <row r="5536" spans="1:1">
      <c r="A5536" s="32"/>
    </row>
    <row r="5537" spans="1:1">
      <c r="A5537" s="32"/>
    </row>
    <row r="5538" spans="1:1">
      <c r="A5538" s="32"/>
    </row>
    <row r="5539" spans="1:1">
      <c r="A5539" s="32"/>
    </row>
    <row r="5540" spans="1:1">
      <c r="A5540" s="32"/>
    </row>
    <row r="5541" spans="1:1">
      <c r="A5541" s="32"/>
    </row>
    <row r="5542" spans="1:1">
      <c r="A5542" s="32"/>
    </row>
    <row r="5543" spans="1:1">
      <c r="A5543" s="32"/>
    </row>
    <row r="5544" spans="1:1">
      <c r="A5544" s="32"/>
    </row>
    <row r="5545" spans="1:1">
      <c r="A5545" s="32"/>
    </row>
    <row r="5546" spans="1:1">
      <c r="A5546" s="32"/>
    </row>
    <row r="5547" spans="1:1">
      <c r="A5547" s="32"/>
    </row>
    <row r="5548" spans="1:1">
      <c r="A5548" s="32"/>
    </row>
    <row r="5549" spans="1:1">
      <c r="A5549" s="32"/>
    </row>
    <row r="5550" spans="1:1">
      <c r="A5550" s="32"/>
    </row>
    <row r="5551" spans="1:1">
      <c r="A5551" s="32"/>
    </row>
    <row r="5552" spans="1:1">
      <c r="A5552" s="32"/>
    </row>
    <row r="5553" spans="1:1">
      <c r="A5553" s="32"/>
    </row>
    <row r="5554" spans="1:1">
      <c r="A5554" s="32"/>
    </row>
    <row r="5555" spans="1:1">
      <c r="A5555" s="32"/>
    </row>
    <row r="5556" spans="1:1">
      <c r="A5556" s="32"/>
    </row>
    <row r="5557" spans="1:1">
      <c r="A5557" s="32"/>
    </row>
    <row r="5558" spans="1:1">
      <c r="A5558" s="32"/>
    </row>
    <row r="5559" spans="1:1">
      <c r="A5559" s="32"/>
    </row>
    <row r="5560" spans="1:1">
      <c r="A5560" s="32"/>
    </row>
    <row r="5561" spans="1:1">
      <c r="A5561" s="32"/>
    </row>
    <row r="5562" spans="1:1">
      <c r="A5562" s="32"/>
    </row>
    <row r="5563" spans="1:1">
      <c r="A5563" s="32"/>
    </row>
    <row r="5564" spans="1:1">
      <c r="A5564" s="32"/>
    </row>
    <row r="5565" spans="1:1">
      <c r="A5565" s="32"/>
    </row>
    <row r="5566" spans="1:1">
      <c r="A5566" s="32"/>
    </row>
    <row r="5567" spans="1:1">
      <c r="A5567" s="32"/>
    </row>
    <row r="5568" spans="1:1">
      <c r="A5568" s="32"/>
    </row>
    <row r="5569" spans="1:1">
      <c r="A5569" s="32"/>
    </row>
    <row r="5570" spans="1:1">
      <c r="A5570" s="32"/>
    </row>
    <row r="5571" spans="1:1">
      <c r="A5571" s="32"/>
    </row>
    <row r="5572" spans="1:1">
      <c r="A5572" s="32"/>
    </row>
    <row r="5573" spans="1:1">
      <c r="A5573" s="32"/>
    </row>
    <row r="5574" spans="1:1">
      <c r="A5574" s="32"/>
    </row>
    <row r="5575" spans="1:1">
      <c r="A5575" s="32"/>
    </row>
    <row r="5576" spans="1:1">
      <c r="A5576" s="32"/>
    </row>
    <row r="5577" spans="1:1">
      <c r="A5577" s="32"/>
    </row>
    <row r="5578" spans="1:1">
      <c r="A5578" s="32"/>
    </row>
    <row r="5579" spans="1:1">
      <c r="A5579" s="32"/>
    </row>
    <row r="5580" spans="1:1">
      <c r="A5580" s="32"/>
    </row>
    <row r="5581" spans="1:1">
      <c r="A5581" s="32"/>
    </row>
    <row r="5582" spans="1:1">
      <c r="A5582" s="32"/>
    </row>
    <row r="5583" spans="1:1">
      <c r="A5583" s="32"/>
    </row>
    <row r="5584" spans="1:1">
      <c r="A5584" s="32"/>
    </row>
    <row r="5585" spans="1:1">
      <c r="A5585" s="32"/>
    </row>
    <row r="5586" spans="1:1">
      <c r="A5586" s="32"/>
    </row>
    <row r="5587" spans="1:1">
      <c r="A5587" s="32"/>
    </row>
    <row r="5588" spans="1:1">
      <c r="A5588" s="32"/>
    </row>
    <row r="5589" spans="1:1">
      <c r="A5589" s="32"/>
    </row>
    <row r="5590" spans="1:1">
      <c r="A5590" s="32"/>
    </row>
    <row r="5591" spans="1:1">
      <c r="A5591" s="32"/>
    </row>
    <row r="5592" spans="1:1">
      <c r="A5592" s="32"/>
    </row>
    <row r="5593" spans="1:1">
      <c r="A5593" s="32"/>
    </row>
    <row r="5594" spans="1:1">
      <c r="A5594" s="32"/>
    </row>
    <row r="5595" spans="1:1">
      <c r="A5595" s="32"/>
    </row>
    <row r="5596" spans="1:1">
      <c r="A5596" s="32"/>
    </row>
    <row r="5597" spans="1:1">
      <c r="A5597" s="32"/>
    </row>
    <row r="5598" spans="1:1">
      <c r="A5598" s="32"/>
    </row>
    <row r="5599" spans="1:1">
      <c r="A5599" s="32"/>
    </row>
    <row r="5600" spans="1:1">
      <c r="A5600" s="32"/>
    </row>
    <row r="5601" spans="1:1">
      <c r="A5601" s="32"/>
    </row>
    <row r="5602" spans="1:1">
      <c r="A5602" s="32"/>
    </row>
    <row r="5603" spans="1:1">
      <c r="A5603" s="32"/>
    </row>
    <row r="5604" spans="1:1">
      <c r="A5604" s="32"/>
    </row>
    <row r="5605" spans="1:1">
      <c r="A5605" s="32"/>
    </row>
    <row r="5606" spans="1:1">
      <c r="A5606" s="32"/>
    </row>
    <row r="5607" spans="1:1">
      <c r="A5607" s="32"/>
    </row>
    <row r="5608" spans="1:1">
      <c r="A5608" s="32"/>
    </row>
    <row r="5609" spans="1:1">
      <c r="A5609" s="32"/>
    </row>
    <row r="5610" spans="1:1">
      <c r="A5610" s="32"/>
    </row>
    <row r="5611" spans="1:1">
      <c r="A5611" s="32"/>
    </row>
    <row r="5612" spans="1:1">
      <c r="A5612" s="32"/>
    </row>
    <row r="5613" spans="1:1">
      <c r="A5613" s="32"/>
    </row>
    <row r="5614" spans="1:1">
      <c r="A5614" s="32"/>
    </row>
    <row r="5615" spans="1:1">
      <c r="A5615" s="32"/>
    </row>
    <row r="5616" spans="1:1">
      <c r="A5616" s="32"/>
    </row>
    <row r="5617" spans="1:1">
      <c r="A5617" s="32"/>
    </row>
    <row r="5618" spans="1:1">
      <c r="A5618" s="32"/>
    </row>
    <row r="5619" spans="1:1">
      <c r="A5619" s="32"/>
    </row>
    <row r="5620" spans="1:1">
      <c r="A5620" s="32"/>
    </row>
    <row r="5621" spans="1:1">
      <c r="A5621" s="32"/>
    </row>
    <row r="5622" spans="1:1">
      <c r="A5622" s="32"/>
    </row>
    <row r="5623" spans="1:1">
      <c r="A5623" s="32"/>
    </row>
    <row r="5624" spans="1:1">
      <c r="A5624" s="32"/>
    </row>
    <row r="5625" spans="1:1">
      <c r="A5625" s="32"/>
    </row>
    <row r="5626" spans="1:1">
      <c r="A5626" s="32"/>
    </row>
    <row r="5627" spans="1:1">
      <c r="A5627" s="32"/>
    </row>
    <row r="5628" spans="1:1">
      <c r="A5628" s="32"/>
    </row>
    <row r="5629" spans="1:1">
      <c r="A5629" s="32"/>
    </row>
    <row r="5630" spans="1:1">
      <c r="A5630" s="32"/>
    </row>
    <row r="5631" spans="1:1">
      <c r="A5631" s="32"/>
    </row>
    <row r="5632" spans="1:1">
      <c r="A5632" s="32"/>
    </row>
    <row r="5633" spans="1:1">
      <c r="A5633" s="32"/>
    </row>
    <row r="5634" spans="1:1">
      <c r="A5634" s="32"/>
    </row>
    <row r="5635" spans="1:1">
      <c r="A5635" s="32"/>
    </row>
    <row r="5636" spans="1:1">
      <c r="A5636" s="32"/>
    </row>
    <row r="5637" spans="1:1">
      <c r="A5637" s="32"/>
    </row>
    <row r="5638" spans="1:1">
      <c r="A5638" s="32"/>
    </row>
    <row r="5639" spans="1:1">
      <c r="A5639" s="32"/>
    </row>
    <row r="5640" spans="1:1">
      <c r="A5640" s="32"/>
    </row>
    <row r="5641" spans="1:1">
      <c r="A5641" s="32"/>
    </row>
    <row r="5642" spans="1:1">
      <c r="A5642" s="32"/>
    </row>
    <row r="5643" spans="1:1">
      <c r="A5643" s="32"/>
    </row>
    <row r="5644" spans="1:1">
      <c r="A5644" s="32"/>
    </row>
    <row r="5645" spans="1:1">
      <c r="A5645" s="32"/>
    </row>
    <row r="5646" spans="1:1">
      <c r="A5646" s="32"/>
    </row>
    <row r="5647" spans="1:1">
      <c r="A5647" s="32"/>
    </row>
    <row r="5648" spans="1:1">
      <c r="A5648" s="32"/>
    </row>
    <row r="5649" spans="1:1">
      <c r="A5649" s="32"/>
    </row>
    <row r="5650" spans="1:1">
      <c r="A5650" s="32"/>
    </row>
    <row r="5651" spans="1:1">
      <c r="A5651" s="32"/>
    </row>
    <row r="5652" spans="1:1">
      <c r="A5652" s="32"/>
    </row>
    <row r="5653" spans="1:1">
      <c r="A5653" s="32"/>
    </row>
    <row r="5654" spans="1:1">
      <c r="A5654" s="32"/>
    </row>
    <row r="5655" spans="1:1">
      <c r="A5655" s="32"/>
    </row>
    <row r="5656" spans="1:1">
      <c r="A5656" s="32"/>
    </row>
    <row r="5657" spans="1:1">
      <c r="A5657" s="32"/>
    </row>
    <row r="5658" spans="1:1">
      <c r="A5658" s="32"/>
    </row>
    <row r="5659" spans="1:1">
      <c r="A5659" s="32"/>
    </row>
    <row r="5660" spans="1:1">
      <c r="A5660" s="32"/>
    </row>
    <row r="5661" spans="1:1">
      <c r="A5661" s="32"/>
    </row>
    <row r="5662" spans="1:1">
      <c r="A5662" s="32"/>
    </row>
    <row r="5663" spans="1:1">
      <c r="A5663" s="32"/>
    </row>
    <row r="5664" spans="1:1">
      <c r="A5664" s="32"/>
    </row>
    <row r="5665" spans="1:1">
      <c r="A5665" s="32"/>
    </row>
    <row r="5666" spans="1:1">
      <c r="A5666" s="32"/>
    </row>
    <row r="5667" spans="1:1">
      <c r="A5667" s="32"/>
    </row>
    <row r="5668" spans="1:1">
      <c r="A5668" s="32"/>
    </row>
    <row r="5669" spans="1:1">
      <c r="A5669" s="32"/>
    </row>
    <row r="5670" spans="1:1">
      <c r="A5670" s="32"/>
    </row>
    <row r="5671" spans="1:1">
      <c r="A5671" s="32"/>
    </row>
    <row r="5672" spans="1:1">
      <c r="A5672" s="32"/>
    </row>
    <row r="5673" spans="1:1">
      <c r="A5673" s="32"/>
    </row>
    <row r="5674" spans="1:1">
      <c r="A5674" s="32"/>
    </row>
    <row r="5675" spans="1:1">
      <c r="A5675" s="32"/>
    </row>
    <row r="5676" spans="1:1">
      <c r="A5676" s="32"/>
    </row>
    <row r="5677" spans="1:1">
      <c r="A5677" s="32"/>
    </row>
    <row r="5678" spans="1:1">
      <c r="A5678" s="32"/>
    </row>
    <row r="5679" spans="1:1">
      <c r="A5679" s="32"/>
    </row>
    <row r="5680" spans="1:1">
      <c r="A5680" s="32"/>
    </row>
    <row r="5681" spans="1:1">
      <c r="A5681" s="32"/>
    </row>
    <row r="5682" spans="1:1">
      <c r="A5682" s="32"/>
    </row>
    <row r="5683" spans="1:1">
      <c r="A5683" s="32"/>
    </row>
    <row r="5684" spans="1:1">
      <c r="A5684" s="32"/>
    </row>
    <row r="5685" spans="1:1">
      <c r="A5685" s="32"/>
    </row>
    <row r="5686" spans="1:1">
      <c r="A5686" s="32"/>
    </row>
    <row r="5687" spans="1:1">
      <c r="A5687" s="32"/>
    </row>
    <row r="5688" spans="1:1">
      <c r="A5688" s="32"/>
    </row>
    <row r="5689" spans="1:1">
      <c r="A5689" s="32"/>
    </row>
    <row r="5690" spans="1:1">
      <c r="A5690" s="32"/>
    </row>
    <row r="5691" spans="1:1">
      <c r="A5691" s="32"/>
    </row>
    <row r="5692" spans="1:1">
      <c r="A5692" s="32"/>
    </row>
    <row r="5693" spans="1:1">
      <c r="A5693" s="32"/>
    </row>
    <row r="5694" spans="1:1">
      <c r="A5694" s="32"/>
    </row>
    <row r="5695" spans="1:1">
      <c r="A5695" s="32"/>
    </row>
    <row r="5696" spans="1:1">
      <c r="A5696" s="32"/>
    </row>
    <row r="5697" spans="1:1">
      <c r="A5697" s="32"/>
    </row>
    <row r="5698" spans="1:1">
      <c r="A5698" s="32"/>
    </row>
    <row r="5699" spans="1:1">
      <c r="A5699" s="32"/>
    </row>
    <row r="5700" spans="1:1">
      <c r="A5700" s="32"/>
    </row>
    <row r="5701" spans="1:1">
      <c r="A5701" s="32"/>
    </row>
    <row r="5702" spans="1:1">
      <c r="A5702" s="32"/>
    </row>
    <row r="5703" spans="1:1">
      <c r="A5703" s="32"/>
    </row>
    <row r="5704" spans="1:1">
      <c r="A5704" s="32"/>
    </row>
    <row r="5705" spans="1:1">
      <c r="A5705" s="32"/>
    </row>
    <row r="5706" spans="1:1">
      <c r="A5706" s="32"/>
    </row>
    <row r="5707" spans="1:1">
      <c r="A5707" s="32"/>
    </row>
    <row r="5708" spans="1:1">
      <c r="A5708" s="32"/>
    </row>
    <row r="5709" spans="1:1">
      <c r="A5709" s="32"/>
    </row>
    <row r="5710" spans="1:1">
      <c r="A5710" s="32"/>
    </row>
    <row r="5711" spans="1:1">
      <c r="A5711" s="32"/>
    </row>
    <row r="5712" spans="1:1">
      <c r="A5712" s="32"/>
    </row>
    <row r="5713" spans="1:1">
      <c r="A5713" s="32"/>
    </row>
    <row r="5714" spans="1:1">
      <c r="A5714" s="32"/>
    </row>
    <row r="5715" spans="1:1">
      <c r="A5715" s="32"/>
    </row>
    <row r="5716" spans="1:1">
      <c r="A5716" s="32"/>
    </row>
    <row r="5717" spans="1:1">
      <c r="A5717" s="32"/>
    </row>
    <row r="5718" spans="1:1">
      <c r="A5718" s="32"/>
    </row>
    <row r="5719" spans="1:1">
      <c r="A5719" s="32"/>
    </row>
    <row r="5720" spans="1:1">
      <c r="A5720" s="32"/>
    </row>
    <row r="5721" spans="1:1">
      <c r="A5721" s="32"/>
    </row>
    <row r="5722" spans="1:1">
      <c r="A5722" s="32"/>
    </row>
    <row r="5723" spans="1:1">
      <c r="A5723" s="32"/>
    </row>
    <row r="5724" spans="1:1">
      <c r="A5724" s="32"/>
    </row>
    <row r="5725" spans="1:1">
      <c r="A5725" s="32"/>
    </row>
    <row r="5726" spans="1:1">
      <c r="A5726" s="32"/>
    </row>
    <row r="5727" spans="1:1">
      <c r="A5727" s="32"/>
    </row>
    <row r="5728" spans="1:1">
      <c r="A5728" s="32"/>
    </row>
    <row r="5729" spans="1:1">
      <c r="A5729" s="32"/>
    </row>
    <row r="5730" spans="1:1">
      <c r="A5730" s="32"/>
    </row>
    <row r="5731" spans="1:1">
      <c r="A5731" s="32"/>
    </row>
    <row r="5732" spans="1:1">
      <c r="A5732" s="32"/>
    </row>
    <row r="5733" spans="1:1">
      <c r="A5733" s="32"/>
    </row>
    <row r="5734" spans="1:1">
      <c r="A5734" s="32"/>
    </row>
    <row r="5735" spans="1:1">
      <c r="A5735" s="32"/>
    </row>
    <row r="5736" spans="1:1">
      <c r="A5736" s="32"/>
    </row>
    <row r="5737" spans="1:1">
      <c r="A5737" s="32"/>
    </row>
    <row r="5738" spans="1:1">
      <c r="A5738" s="32"/>
    </row>
    <row r="5739" spans="1:1">
      <c r="A5739" s="32"/>
    </row>
    <row r="5740" spans="1:1">
      <c r="A5740" s="32"/>
    </row>
    <row r="5741" spans="1:1">
      <c r="A5741" s="32"/>
    </row>
    <row r="5742" spans="1:1">
      <c r="A5742" s="32"/>
    </row>
    <row r="5743" spans="1:1">
      <c r="A5743" s="32"/>
    </row>
    <row r="5744" spans="1:1">
      <c r="A5744" s="32"/>
    </row>
    <row r="5745" spans="1:1">
      <c r="A5745" s="32"/>
    </row>
    <row r="5746" spans="1:1">
      <c r="A5746" s="32"/>
    </row>
    <row r="5747" spans="1:1">
      <c r="A5747" s="32"/>
    </row>
    <row r="5748" spans="1:1">
      <c r="A5748" s="32"/>
    </row>
    <row r="5749" spans="1:1">
      <c r="A5749" s="32"/>
    </row>
    <row r="5750" spans="1:1">
      <c r="A5750" s="32"/>
    </row>
    <row r="5751" spans="1:1">
      <c r="A5751" s="32"/>
    </row>
    <row r="5752" spans="1:1">
      <c r="A5752" s="32"/>
    </row>
    <row r="5753" spans="1:1">
      <c r="A5753" s="32"/>
    </row>
    <row r="5754" spans="1:1">
      <c r="A5754" s="32"/>
    </row>
    <row r="5755" spans="1:1">
      <c r="A5755" s="32"/>
    </row>
    <row r="5756" spans="1:1">
      <c r="A5756" s="32"/>
    </row>
    <row r="5757" spans="1:1">
      <c r="A5757" s="32"/>
    </row>
    <row r="5758" spans="1:1">
      <c r="A5758" s="32"/>
    </row>
    <row r="5759" spans="1:1">
      <c r="A5759" s="32"/>
    </row>
    <row r="5760" spans="1:1">
      <c r="A5760" s="32"/>
    </row>
    <row r="5761" spans="1:1">
      <c r="A5761" s="32"/>
    </row>
    <row r="5762" spans="1:1">
      <c r="A5762" s="32"/>
    </row>
    <row r="5763" spans="1:1">
      <c r="A5763" s="32"/>
    </row>
    <row r="5764" spans="1:1">
      <c r="A5764" s="32"/>
    </row>
    <row r="5765" spans="1:1">
      <c r="A5765" s="32"/>
    </row>
    <row r="5766" spans="1:1">
      <c r="A5766" s="32"/>
    </row>
    <row r="5767" spans="1:1">
      <c r="A5767" s="32"/>
    </row>
    <row r="5768" spans="1:1">
      <c r="A5768" s="32"/>
    </row>
    <row r="5769" spans="1:1">
      <c r="A5769" s="32"/>
    </row>
    <row r="5770" spans="1:1">
      <c r="A5770" s="32"/>
    </row>
    <row r="5771" spans="1:1">
      <c r="A5771" s="32"/>
    </row>
    <row r="5772" spans="1:1">
      <c r="A5772" s="32"/>
    </row>
    <row r="5773" spans="1:1">
      <c r="A5773" s="32"/>
    </row>
    <row r="5774" spans="1:1">
      <c r="A5774" s="32"/>
    </row>
    <row r="5775" spans="1:1">
      <c r="A5775" s="32"/>
    </row>
    <row r="5776" spans="1:1">
      <c r="A5776" s="32"/>
    </row>
    <row r="5777" spans="1:1">
      <c r="A5777" s="32"/>
    </row>
    <row r="5778" spans="1:1">
      <c r="A5778" s="32"/>
    </row>
    <row r="5779" spans="1:1">
      <c r="A5779" s="32"/>
    </row>
    <row r="5780" spans="1:1">
      <c r="A5780" s="32"/>
    </row>
    <row r="5781" spans="1:1">
      <c r="A5781" s="32"/>
    </row>
    <row r="5782" spans="1:1">
      <c r="A5782" s="32"/>
    </row>
    <row r="5783" spans="1:1">
      <c r="A5783" s="32"/>
    </row>
    <row r="5784" spans="1:1">
      <c r="A5784" s="32"/>
    </row>
    <row r="5785" spans="1:1">
      <c r="A5785" s="32"/>
    </row>
    <row r="5786" spans="1:1">
      <c r="A5786" s="32"/>
    </row>
    <row r="5787" spans="1:1">
      <c r="A5787" s="32"/>
    </row>
    <row r="5788" spans="1:1">
      <c r="A5788" s="32"/>
    </row>
    <row r="5789" spans="1:1">
      <c r="A5789" s="32"/>
    </row>
    <row r="5790" spans="1:1">
      <c r="A5790" s="32"/>
    </row>
    <row r="5791" spans="1:1">
      <c r="A5791" s="32"/>
    </row>
    <row r="5792" spans="1:1">
      <c r="A5792" s="32"/>
    </row>
    <row r="5793" spans="1:1">
      <c r="A5793" s="32"/>
    </row>
    <row r="5794" spans="1:1">
      <c r="A5794" s="32"/>
    </row>
    <row r="5795" spans="1:1">
      <c r="A5795" s="32"/>
    </row>
    <row r="5796" spans="1:1">
      <c r="A5796" s="32"/>
    </row>
    <row r="5797" spans="1:1">
      <c r="A5797" s="32"/>
    </row>
    <row r="5798" spans="1:1">
      <c r="A5798" s="32"/>
    </row>
    <row r="5799" spans="1:1">
      <c r="A5799" s="32"/>
    </row>
    <row r="5800" spans="1:1">
      <c r="A5800" s="32"/>
    </row>
    <row r="5801" spans="1:1">
      <c r="A5801" s="32"/>
    </row>
    <row r="5802" spans="1:1">
      <c r="A5802" s="32"/>
    </row>
    <row r="5803" spans="1:1">
      <c r="A5803" s="32"/>
    </row>
    <row r="5804" spans="1:1">
      <c r="A5804" s="32"/>
    </row>
    <row r="5805" spans="1:1">
      <c r="A5805" s="32"/>
    </row>
    <row r="5806" spans="1:1">
      <c r="A5806" s="32"/>
    </row>
    <row r="5807" spans="1:1">
      <c r="A5807" s="32"/>
    </row>
    <row r="5808" spans="1:1">
      <c r="A5808" s="32"/>
    </row>
    <row r="5809" spans="1:1">
      <c r="A5809" s="32"/>
    </row>
    <row r="5810" spans="1:1">
      <c r="A5810" s="32"/>
    </row>
    <row r="5811" spans="1:1">
      <c r="A5811" s="32"/>
    </row>
    <row r="5812" spans="1:1">
      <c r="A5812" s="32"/>
    </row>
    <row r="5813" spans="1:1">
      <c r="A5813" s="32"/>
    </row>
    <row r="5814" spans="1:1">
      <c r="A5814" s="32"/>
    </row>
    <row r="5815" spans="1:1">
      <c r="A5815" s="32"/>
    </row>
    <row r="5816" spans="1:1">
      <c r="A5816" s="32"/>
    </row>
    <row r="5817" spans="1:1">
      <c r="A5817" s="32"/>
    </row>
    <row r="5818" spans="1:1">
      <c r="A5818" s="32"/>
    </row>
    <row r="5819" spans="1:1">
      <c r="A5819" s="32"/>
    </row>
    <row r="5820" spans="1:1">
      <c r="A5820" s="32"/>
    </row>
    <row r="5821" spans="1:1">
      <c r="A5821" s="32"/>
    </row>
    <row r="5822" spans="1:1">
      <c r="A5822" s="32"/>
    </row>
    <row r="5823" spans="1:1">
      <c r="A5823" s="32"/>
    </row>
    <row r="5824" spans="1:1">
      <c r="A5824" s="32"/>
    </row>
    <row r="5825" spans="1:1">
      <c r="A5825" s="32"/>
    </row>
    <row r="5826" spans="1:1">
      <c r="A5826" s="32"/>
    </row>
    <row r="5827" spans="1:1">
      <c r="A5827" s="32"/>
    </row>
    <row r="5828" spans="1:1">
      <c r="A5828" s="32"/>
    </row>
    <row r="5829" spans="1:1">
      <c r="A5829" s="32"/>
    </row>
    <row r="5830" spans="1:1">
      <c r="A5830" s="32"/>
    </row>
    <row r="5831" spans="1:1">
      <c r="A5831" s="32"/>
    </row>
    <row r="5832" spans="1:1">
      <c r="A5832" s="32"/>
    </row>
    <row r="5833" spans="1:1">
      <c r="A5833" s="32"/>
    </row>
    <row r="5834" spans="1:1">
      <c r="A5834" s="32"/>
    </row>
    <row r="5835" spans="1:1">
      <c r="A5835" s="32"/>
    </row>
    <row r="5836" spans="1:1">
      <c r="A5836" s="32"/>
    </row>
    <row r="5837" spans="1:1">
      <c r="A5837" s="32"/>
    </row>
    <row r="5838" spans="1:1">
      <c r="A5838" s="32"/>
    </row>
    <row r="5839" spans="1:1">
      <c r="A5839" s="32"/>
    </row>
    <row r="5840" spans="1:1">
      <c r="A5840" s="32"/>
    </row>
    <row r="5841" spans="1:1">
      <c r="A5841" s="32"/>
    </row>
    <row r="5842" spans="1:1">
      <c r="A5842" s="32"/>
    </row>
    <row r="5843" spans="1:1">
      <c r="A5843" s="32"/>
    </row>
    <row r="5844" spans="1:1">
      <c r="A5844" s="32"/>
    </row>
    <row r="5845" spans="1:1">
      <c r="A5845" s="32"/>
    </row>
    <row r="5846" spans="1:1">
      <c r="A5846" s="32"/>
    </row>
    <row r="5847" spans="1:1">
      <c r="A5847" s="32"/>
    </row>
    <row r="5848" spans="1:1">
      <c r="A5848" s="32"/>
    </row>
    <row r="5849" spans="1:1">
      <c r="A5849" s="32"/>
    </row>
    <row r="5850" spans="1:1">
      <c r="A5850" s="32"/>
    </row>
    <row r="5851" spans="1:1">
      <c r="A5851" s="32"/>
    </row>
    <row r="5852" spans="1:1">
      <c r="A5852" s="32"/>
    </row>
    <row r="5853" spans="1:1">
      <c r="A5853" s="32"/>
    </row>
    <row r="5854" spans="1:1">
      <c r="A5854" s="32"/>
    </row>
    <row r="5855" spans="1:1">
      <c r="A5855" s="32"/>
    </row>
    <row r="5856" spans="1:1">
      <c r="A5856" s="32"/>
    </row>
    <row r="5857" spans="1:1">
      <c r="A5857" s="32"/>
    </row>
    <row r="5858" spans="1:1">
      <c r="A5858" s="32"/>
    </row>
    <row r="5859" spans="1:1">
      <c r="A5859" s="32"/>
    </row>
    <row r="5860" spans="1:1">
      <c r="A5860" s="32"/>
    </row>
    <row r="5861" spans="1:1">
      <c r="A5861" s="32"/>
    </row>
    <row r="5862" spans="1:1">
      <c r="A5862" s="32"/>
    </row>
    <row r="5863" spans="1:1">
      <c r="A5863" s="32"/>
    </row>
    <row r="5864" spans="1:1">
      <c r="A5864" s="32"/>
    </row>
    <row r="5865" spans="1:1">
      <c r="A5865" s="32"/>
    </row>
    <row r="5866" spans="1:1">
      <c r="A5866" s="32"/>
    </row>
    <row r="5867" spans="1:1">
      <c r="A5867" s="32"/>
    </row>
    <row r="5868" spans="1:1">
      <c r="A5868" s="32"/>
    </row>
    <row r="5869" spans="1:1">
      <c r="A5869" s="32"/>
    </row>
    <row r="5870" spans="1:1">
      <c r="A5870" s="32"/>
    </row>
    <row r="5871" spans="1:1">
      <c r="A5871" s="32"/>
    </row>
    <row r="5872" spans="1:1">
      <c r="A5872" s="32"/>
    </row>
    <row r="5873" spans="1:1">
      <c r="A5873" s="32"/>
    </row>
    <row r="5874" spans="1:1">
      <c r="A5874" s="32"/>
    </row>
    <row r="5875" spans="1:1">
      <c r="A5875" s="32"/>
    </row>
    <row r="5876" spans="1:1">
      <c r="A5876" s="32"/>
    </row>
    <row r="5877" spans="1:1">
      <c r="A5877" s="32"/>
    </row>
    <row r="5878" spans="1:1">
      <c r="A5878" s="32"/>
    </row>
    <row r="5879" spans="1:1">
      <c r="A5879" s="32"/>
    </row>
    <row r="5880" spans="1:1">
      <c r="A5880" s="32"/>
    </row>
    <row r="5881" spans="1:1">
      <c r="A5881" s="32"/>
    </row>
    <row r="5882" spans="1:1">
      <c r="A5882" s="32"/>
    </row>
    <row r="5883" spans="1:1">
      <c r="A5883" s="32"/>
    </row>
    <row r="5884" spans="1:1">
      <c r="A5884" s="32"/>
    </row>
    <row r="5885" spans="1:1">
      <c r="A5885" s="32"/>
    </row>
    <row r="5886" spans="1:1">
      <c r="A5886" s="32"/>
    </row>
    <row r="5887" spans="1:1">
      <c r="A5887" s="32"/>
    </row>
    <row r="5888" spans="1:1">
      <c r="A5888" s="32"/>
    </row>
    <row r="5889" spans="1:1">
      <c r="A5889" s="32"/>
    </row>
    <row r="5890" spans="1:1">
      <c r="A5890" s="32"/>
    </row>
    <row r="5891" spans="1:1">
      <c r="A5891" s="32"/>
    </row>
    <row r="5892" spans="1:1">
      <c r="A5892" s="32"/>
    </row>
    <row r="5893" spans="1:1">
      <c r="A5893" s="32"/>
    </row>
    <row r="5894" spans="1:1">
      <c r="A5894" s="32"/>
    </row>
    <row r="5895" spans="1:1">
      <c r="A5895" s="32"/>
    </row>
    <row r="5896" spans="1:1">
      <c r="A5896" s="32"/>
    </row>
    <row r="5897" spans="1:1">
      <c r="A5897" s="32"/>
    </row>
    <row r="5898" spans="1:1">
      <c r="A5898" s="32"/>
    </row>
    <row r="5899" spans="1:1">
      <c r="A5899" s="32"/>
    </row>
    <row r="5900" spans="1:1">
      <c r="A5900" s="32"/>
    </row>
    <row r="5901" spans="1:1">
      <c r="A5901" s="32"/>
    </row>
    <row r="5902" spans="1:1">
      <c r="A5902" s="32"/>
    </row>
    <row r="5903" spans="1:1">
      <c r="A5903" s="32"/>
    </row>
    <row r="5904" spans="1:1">
      <c r="A5904" s="32"/>
    </row>
    <row r="5905" spans="1:1">
      <c r="A5905" s="32"/>
    </row>
    <row r="5906" spans="1:1">
      <c r="A5906" s="32"/>
    </row>
    <row r="5907" spans="1:1">
      <c r="A5907" s="32"/>
    </row>
    <row r="5908" spans="1:1">
      <c r="A5908" s="32"/>
    </row>
    <row r="5909" spans="1:1">
      <c r="A5909" s="32"/>
    </row>
    <row r="5910" spans="1:1">
      <c r="A5910" s="32"/>
    </row>
    <row r="5911" spans="1:1">
      <c r="A5911" s="32"/>
    </row>
    <row r="5912" spans="1:1">
      <c r="A5912" s="32"/>
    </row>
    <row r="5913" spans="1:1">
      <c r="A5913" s="32"/>
    </row>
    <row r="5914" spans="1:1">
      <c r="A5914" s="32"/>
    </row>
    <row r="5915" spans="1:1">
      <c r="A5915" s="32"/>
    </row>
    <row r="5916" spans="1:1">
      <c r="A5916" s="32"/>
    </row>
    <row r="5917" spans="1:1">
      <c r="A5917" s="32"/>
    </row>
    <row r="5918" spans="1:1">
      <c r="A5918" s="32"/>
    </row>
    <row r="5919" spans="1:1">
      <c r="A5919" s="32"/>
    </row>
    <row r="5920" spans="1:1">
      <c r="A5920" s="32"/>
    </row>
    <row r="5921" spans="1:1">
      <c r="A5921" s="32"/>
    </row>
    <row r="5922" spans="1:1">
      <c r="A5922" s="32"/>
    </row>
    <row r="5923" spans="1:1">
      <c r="A5923" s="32"/>
    </row>
    <row r="5924" spans="1:1">
      <c r="A5924" s="32"/>
    </row>
    <row r="5925" spans="1:1">
      <c r="A5925" s="32"/>
    </row>
    <row r="5926" spans="1:1">
      <c r="A5926" s="32"/>
    </row>
    <row r="5927" spans="1:1">
      <c r="A5927" s="32"/>
    </row>
    <row r="5928" spans="1:1">
      <c r="A5928" s="32"/>
    </row>
    <row r="5929" spans="1:1">
      <c r="A5929" s="32"/>
    </row>
    <row r="5930" spans="1:1">
      <c r="A5930" s="32"/>
    </row>
    <row r="5931" spans="1:1">
      <c r="A5931" s="32"/>
    </row>
    <row r="5932" spans="1:1">
      <c r="A5932" s="32"/>
    </row>
    <row r="5933" spans="1:1">
      <c r="A5933" s="32"/>
    </row>
    <row r="5934" spans="1:1">
      <c r="A5934" s="32"/>
    </row>
    <row r="5935" spans="1:1">
      <c r="A5935" s="32"/>
    </row>
    <row r="5936" spans="1:1">
      <c r="A5936" s="32"/>
    </row>
    <row r="5937" spans="1:1">
      <c r="A5937" s="32"/>
    </row>
    <row r="5938" spans="1:1">
      <c r="A5938" s="32"/>
    </row>
    <row r="5939" spans="1:1">
      <c r="A5939" s="32"/>
    </row>
    <row r="5940" spans="1:1">
      <c r="A5940" s="32"/>
    </row>
    <row r="5941" spans="1:1">
      <c r="A5941" s="32"/>
    </row>
    <row r="5942" spans="1:1">
      <c r="A5942" s="32"/>
    </row>
    <row r="5943" spans="1:1">
      <c r="A5943" s="32"/>
    </row>
    <row r="5944" spans="1:1">
      <c r="A5944" s="32"/>
    </row>
    <row r="5945" spans="1:1">
      <c r="A5945" s="32"/>
    </row>
    <row r="5946" spans="1:1">
      <c r="A5946" s="32"/>
    </row>
    <row r="5947" spans="1:1">
      <c r="A5947" s="32"/>
    </row>
    <row r="5948" spans="1:1">
      <c r="A5948" s="32"/>
    </row>
    <row r="5949" spans="1:1">
      <c r="A5949" s="32"/>
    </row>
    <row r="5950" spans="1:1">
      <c r="A5950" s="32"/>
    </row>
    <row r="5951" spans="1:1">
      <c r="A5951" s="32"/>
    </row>
    <row r="5952" spans="1:1">
      <c r="A5952" s="32"/>
    </row>
    <row r="5953" spans="1:1">
      <c r="A5953" s="32"/>
    </row>
    <row r="5954" spans="1:1">
      <c r="A5954" s="32"/>
    </row>
    <row r="5955" spans="1:1">
      <c r="A5955" s="32"/>
    </row>
    <row r="5956" spans="1:1">
      <c r="A5956" s="32"/>
    </row>
    <row r="5957" spans="1:1">
      <c r="A5957" s="32"/>
    </row>
    <row r="5958" spans="1:1">
      <c r="A5958" s="32"/>
    </row>
    <row r="5959" spans="1:1">
      <c r="A5959" s="32"/>
    </row>
    <row r="5960" spans="1:1">
      <c r="A5960" s="32"/>
    </row>
    <row r="5961" spans="1:1">
      <c r="A5961" s="32"/>
    </row>
    <row r="5962" spans="1:1">
      <c r="A5962" s="32"/>
    </row>
    <row r="5963" spans="1:1">
      <c r="A5963" s="32"/>
    </row>
    <row r="5964" spans="1:1">
      <c r="A5964" s="32"/>
    </row>
    <row r="5965" spans="1:1">
      <c r="A5965" s="32"/>
    </row>
    <row r="5966" spans="1:1">
      <c r="A5966" s="32"/>
    </row>
    <row r="5967" spans="1:1">
      <c r="A5967" s="32"/>
    </row>
    <row r="5968" spans="1:1">
      <c r="A5968" s="32"/>
    </row>
    <row r="5969" spans="1:1">
      <c r="A5969" s="32"/>
    </row>
    <row r="5970" spans="1:1">
      <c r="A5970" s="32"/>
    </row>
    <row r="5971" spans="1:1">
      <c r="A5971" s="32"/>
    </row>
    <row r="5972" spans="1:1">
      <c r="A5972" s="32"/>
    </row>
    <row r="5973" spans="1:1">
      <c r="A5973" s="32"/>
    </row>
    <row r="5974" spans="1:1">
      <c r="A5974" s="32"/>
    </row>
    <row r="5975" spans="1:1">
      <c r="A5975" s="32"/>
    </row>
    <row r="5976" spans="1:1">
      <c r="A5976" s="32"/>
    </row>
    <row r="5977" spans="1:1">
      <c r="A5977" s="32"/>
    </row>
    <row r="5978" spans="1:1">
      <c r="A5978" s="32"/>
    </row>
    <row r="5979" spans="1:1">
      <c r="A5979" s="32"/>
    </row>
    <row r="5980" spans="1:1">
      <c r="A5980" s="32"/>
    </row>
    <row r="5981" spans="1:1">
      <c r="A5981" s="32"/>
    </row>
    <row r="5982" spans="1:1">
      <c r="A5982" s="32"/>
    </row>
    <row r="5983" spans="1:1">
      <c r="A5983" s="32"/>
    </row>
    <row r="5984" spans="1:1">
      <c r="A5984" s="32"/>
    </row>
    <row r="5985" spans="1:1">
      <c r="A5985" s="32"/>
    </row>
    <row r="5986" spans="1:1">
      <c r="A5986" s="32"/>
    </row>
    <row r="5987" spans="1:1">
      <c r="A5987" s="32"/>
    </row>
    <row r="5988" spans="1:1">
      <c r="A5988" s="32"/>
    </row>
    <row r="5989" spans="1:1">
      <c r="A5989" s="32"/>
    </row>
    <row r="5990" spans="1:1">
      <c r="A5990" s="32"/>
    </row>
    <row r="5991" spans="1:1">
      <c r="A5991" s="32"/>
    </row>
    <row r="5992" spans="1:1">
      <c r="A5992" s="32"/>
    </row>
    <row r="5993" spans="1:1">
      <c r="A5993" s="32"/>
    </row>
    <row r="5994" spans="1:1">
      <c r="A5994" s="32"/>
    </row>
    <row r="5995" spans="1:1">
      <c r="A5995" s="32"/>
    </row>
    <row r="5996" spans="1:1">
      <c r="A5996" s="32"/>
    </row>
    <row r="5997" spans="1:1">
      <c r="A5997" s="32"/>
    </row>
    <row r="5998" spans="1:1">
      <c r="A5998" s="32"/>
    </row>
    <row r="5999" spans="1:1">
      <c r="A5999" s="32"/>
    </row>
    <row r="6000" spans="1:1">
      <c r="A6000" s="32"/>
    </row>
    <row r="6001" spans="1:1">
      <c r="A6001" s="32"/>
    </row>
    <row r="6002" spans="1:1">
      <c r="A6002" s="32"/>
    </row>
    <row r="6003" spans="1:1">
      <c r="A6003" s="32"/>
    </row>
    <row r="6004" spans="1:1">
      <c r="A6004" s="32"/>
    </row>
    <row r="6005" spans="1:1">
      <c r="A6005" s="32"/>
    </row>
    <row r="6006" spans="1:1">
      <c r="A6006" s="32"/>
    </row>
    <row r="6007" spans="1:1">
      <c r="A6007" s="32"/>
    </row>
    <row r="6008" spans="1:1">
      <c r="A6008" s="32"/>
    </row>
    <row r="6009" spans="1:1">
      <c r="A6009" s="32"/>
    </row>
    <row r="6010" spans="1:1">
      <c r="A6010" s="32"/>
    </row>
    <row r="6011" spans="1:1">
      <c r="A6011" s="32"/>
    </row>
    <row r="6012" spans="1:1">
      <c r="A6012" s="32"/>
    </row>
    <row r="6013" spans="1:1">
      <c r="A6013" s="32"/>
    </row>
    <row r="6014" spans="1:1">
      <c r="A6014" s="32"/>
    </row>
    <row r="6015" spans="1:1">
      <c r="A6015" s="32"/>
    </row>
    <row r="6016" spans="1:1">
      <c r="A6016" s="32"/>
    </row>
    <row r="6017" spans="1:1">
      <c r="A6017" s="32"/>
    </row>
    <row r="6018" spans="1:1">
      <c r="A6018" s="32"/>
    </row>
    <row r="6019" spans="1:1">
      <c r="A6019" s="32"/>
    </row>
    <row r="6020" spans="1:1">
      <c r="A6020" s="32"/>
    </row>
    <row r="6021" spans="1:1">
      <c r="A6021" s="32"/>
    </row>
    <row r="6022" spans="1:1">
      <c r="A6022" s="32"/>
    </row>
    <row r="6023" spans="1:1">
      <c r="A6023" s="32"/>
    </row>
    <row r="6024" spans="1:1">
      <c r="A6024" s="32"/>
    </row>
    <row r="6025" spans="1:1">
      <c r="A6025" s="32"/>
    </row>
    <row r="6026" spans="1:1">
      <c r="A6026" s="32"/>
    </row>
    <row r="6027" spans="1:1">
      <c r="A6027" s="32"/>
    </row>
    <row r="6028" spans="1:1">
      <c r="A6028" s="32"/>
    </row>
    <row r="6029" spans="1:1">
      <c r="A6029" s="32"/>
    </row>
    <row r="6030" spans="1:1">
      <c r="A6030" s="32"/>
    </row>
    <row r="6031" spans="1:1">
      <c r="A6031" s="32"/>
    </row>
    <row r="6032" spans="1:1">
      <c r="A6032" s="32"/>
    </row>
    <row r="6033" spans="1:1">
      <c r="A6033" s="32"/>
    </row>
    <row r="6034" spans="1:1">
      <c r="A6034" s="32"/>
    </row>
    <row r="6035" spans="1:1">
      <c r="A6035" s="32"/>
    </row>
    <row r="6036" spans="1:1">
      <c r="A6036" s="32"/>
    </row>
    <row r="6037" spans="1:1">
      <c r="A6037" s="32"/>
    </row>
    <row r="6038" spans="1:1">
      <c r="A6038" s="32"/>
    </row>
    <row r="6039" spans="1:1">
      <c r="A6039" s="32"/>
    </row>
    <row r="6040" spans="1:1">
      <c r="A6040" s="32"/>
    </row>
    <row r="6041" spans="1:1">
      <c r="A6041" s="32"/>
    </row>
    <row r="6042" spans="1:1">
      <c r="A6042" s="32"/>
    </row>
    <row r="6043" spans="1:1">
      <c r="A6043" s="32"/>
    </row>
    <row r="6044" spans="1:1">
      <c r="A6044" s="32"/>
    </row>
    <row r="6045" spans="1:1">
      <c r="A6045" s="32"/>
    </row>
    <row r="6046" spans="1:1">
      <c r="A6046" s="32"/>
    </row>
    <row r="6047" spans="1:1">
      <c r="A6047" s="32"/>
    </row>
    <row r="6048" spans="1:1">
      <c r="A6048" s="32"/>
    </row>
    <row r="6049" spans="1:1">
      <c r="A6049" s="32"/>
    </row>
    <row r="6050" spans="1:1">
      <c r="A6050" s="32"/>
    </row>
    <row r="6051" spans="1:1">
      <c r="A6051" s="32"/>
    </row>
    <row r="6052" spans="1:1">
      <c r="A6052" s="32"/>
    </row>
    <row r="6053" spans="1:1">
      <c r="A6053" s="32"/>
    </row>
    <row r="6054" spans="1:1">
      <c r="A6054" s="32"/>
    </row>
    <row r="6055" spans="1:1">
      <c r="A6055" s="32"/>
    </row>
    <row r="6056" spans="1:1">
      <c r="A6056" s="32"/>
    </row>
    <row r="6057" spans="1:1">
      <c r="A6057" s="32"/>
    </row>
    <row r="6058" spans="1:1">
      <c r="A6058" s="32"/>
    </row>
    <row r="6059" spans="1:1">
      <c r="A6059" s="32"/>
    </row>
    <row r="6060" spans="1:1">
      <c r="A6060" s="32"/>
    </row>
    <row r="6061" spans="1:1">
      <c r="A6061" s="32"/>
    </row>
    <row r="6062" spans="1:1">
      <c r="A6062" s="32"/>
    </row>
    <row r="6063" spans="1:1">
      <c r="A6063" s="32"/>
    </row>
    <row r="6064" spans="1:1">
      <c r="A6064" s="32"/>
    </row>
    <row r="6065" spans="1:1">
      <c r="A6065" s="32"/>
    </row>
    <row r="6066" spans="1:1">
      <c r="A6066" s="32"/>
    </row>
    <row r="6067" spans="1:1">
      <c r="A6067" s="32"/>
    </row>
    <row r="6068" spans="1:1">
      <c r="A6068" s="32"/>
    </row>
    <row r="6069" spans="1:1">
      <c r="A6069" s="32"/>
    </row>
    <row r="6070" spans="1:1">
      <c r="A6070" s="32"/>
    </row>
    <row r="6071" spans="1:1">
      <c r="A6071" s="32"/>
    </row>
    <row r="6072" spans="1:1">
      <c r="A6072" s="32"/>
    </row>
    <row r="6073" spans="1:1">
      <c r="A6073" s="32"/>
    </row>
    <row r="6074" spans="1:1">
      <c r="A6074" s="32"/>
    </row>
    <row r="6075" spans="1:1">
      <c r="A6075" s="32"/>
    </row>
    <row r="6076" spans="1:1">
      <c r="A6076" s="32"/>
    </row>
    <row r="6077" spans="1:1">
      <c r="A6077" s="32"/>
    </row>
    <row r="6078" spans="1:1">
      <c r="A6078" s="32"/>
    </row>
    <row r="6079" spans="1:1">
      <c r="A6079" s="32"/>
    </row>
    <row r="6080" spans="1:1">
      <c r="A6080" s="32"/>
    </row>
    <row r="6081" spans="1:1">
      <c r="A6081" s="32"/>
    </row>
    <row r="6082" spans="1:1">
      <c r="A6082" s="32"/>
    </row>
    <row r="6083" spans="1:1">
      <c r="A6083" s="32"/>
    </row>
    <row r="6084" spans="1:1">
      <c r="A6084" s="32"/>
    </row>
    <row r="6085" spans="1:1">
      <c r="A6085" s="32"/>
    </row>
    <row r="6086" spans="1:1">
      <c r="A6086" s="32"/>
    </row>
    <row r="6087" spans="1:1">
      <c r="A6087" s="32"/>
    </row>
    <row r="6088" spans="1:1">
      <c r="A6088" s="32"/>
    </row>
    <row r="6089" spans="1:1">
      <c r="A6089" s="32"/>
    </row>
    <row r="6090" spans="1:1">
      <c r="A6090" s="32"/>
    </row>
    <row r="6091" spans="1:1">
      <c r="A6091" s="32"/>
    </row>
    <row r="6092" spans="1:1">
      <c r="A6092" s="32"/>
    </row>
    <row r="6093" spans="1:1">
      <c r="A6093" s="32"/>
    </row>
    <row r="6094" spans="1:1">
      <c r="A6094" s="32"/>
    </row>
    <row r="6095" spans="1:1">
      <c r="A6095" s="32"/>
    </row>
    <row r="6096" spans="1:1">
      <c r="A6096" s="32"/>
    </row>
    <row r="6097" spans="1:1">
      <c r="A6097" s="32"/>
    </row>
    <row r="6098" spans="1:1">
      <c r="A6098" s="32"/>
    </row>
    <row r="6099" spans="1:1">
      <c r="A6099" s="32"/>
    </row>
    <row r="6100" spans="1:1">
      <c r="A6100" s="32"/>
    </row>
    <row r="6101" spans="1:1">
      <c r="A6101" s="32"/>
    </row>
    <row r="6102" spans="1:1">
      <c r="A6102" s="32"/>
    </row>
    <row r="6103" spans="1:1">
      <c r="A6103" s="32"/>
    </row>
    <row r="6104" spans="1:1">
      <c r="A6104" s="32"/>
    </row>
    <row r="6105" spans="1:1">
      <c r="A6105" s="32"/>
    </row>
    <row r="6106" spans="1:1">
      <c r="A6106" s="32"/>
    </row>
    <row r="6107" spans="1:1">
      <c r="A6107" s="32"/>
    </row>
    <row r="6108" spans="1:1">
      <c r="A6108" s="32"/>
    </row>
    <row r="6109" spans="1:1">
      <c r="A6109" s="32"/>
    </row>
    <row r="6110" spans="1:1">
      <c r="A6110" s="32"/>
    </row>
    <row r="6111" spans="1:1">
      <c r="A6111" s="32"/>
    </row>
    <row r="6112" spans="1:1">
      <c r="A6112" s="32"/>
    </row>
    <row r="6113" spans="1:1">
      <c r="A6113" s="32"/>
    </row>
    <row r="6114" spans="1:1">
      <c r="A6114" s="32"/>
    </row>
    <row r="6115" spans="1:1">
      <c r="A6115" s="32"/>
    </row>
    <row r="6116" spans="1:1">
      <c r="A6116" s="32"/>
    </row>
    <row r="6117" spans="1:1">
      <c r="A6117" s="32"/>
    </row>
    <row r="6118" spans="1:1">
      <c r="A6118" s="32"/>
    </row>
    <row r="6119" spans="1:1">
      <c r="A6119" s="32"/>
    </row>
    <row r="6120" spans="1:1">
      <c r="A6120" s="32"/>
    </row>
    <row r="6121" spans="1:1">
      <c r="A6121" s="32"/>
    </row>
    <row r="6122" spans="1:1">
      <c r="A6122" s="32"/>
    </row>
    <row r="6123" spans="1:1">
      <c r="A6123" s="32"/>
    </row>
    <row r="6124" spans="1:1">
      <c r="A6124" s="32"/>
    </row>
    <row r="6125" spans="1:1">
      <c r="A6125" s="32"/>
    </row>
    <row r="6126" spans="1:1">
      <c r="A6126" s="32"/>
    </row>
    <row r="6127" spans="1:1">
      <c r="A6127" s="32"/>
    </row>
    <row r="6128" spans="1:1">
      <c r="A6128" s="32"/>
    </row>
    <row r="6129" spans="1:1">
      <c r="A6129" s="32"/>
    </row>
    <row r="6130" spans="1:1">
      <c r="A6130" s="32"/>
    </row>
    <row r="6131" spans="1:1">
      <c r="A6131" s="32"/>
    </row>
    <row r="6132" spans="1:1">
      <c r="A6132" s="32"/>
    </row>
    <row r="6133" spans="1:1">
      <c r="A6133" s="32"/>
    </row>
    <row r="6134" spans="1:1">
      <c r="A6134" s="32"/>
    </row>
    <row r="6135" spans="1:1">
      <c r="A6135" s="32"/>
    </row>
    <row r="6136" spans="1:1">
      <c r="A6136" s="32"/>
    </row>
    <row r="6137" spans="1:1">
      <c r="A6137" s="32"/>
    </row>
    <row r="6138" spans="1:1">
      <c r="A6138" s="32"/>
    </row>
    <row r="6139" spans="1:1">
      <c r="A6139" s="32"/>
    </row>
    <row r="6140" spans="1:1">
      <c r="A6140" s="32"/>
    </row>
    <row r="6141" spans="1:1">
      <c r="A6141" s="32"/>
    </row>
    <row r="6142" spans="1:1">
      <c r="A6142" s="32"/>
    </row>
    <row r="6143" spans="1:1">
      <c r="A6143" s="32"/>
    </row>
    <row r="6144" spans="1:1">
      <c r="A6144" s="32"/>
    </row>
    <row r="6145" spans="1:1">
      <c r="A6145" s="32"/>
    </row>
    <row r="6146" spans="1:1">
      <c r="A6146" s="32"/>
    </row>
    <row r="6147" spans="1:1">
      <c r="A6147" s="32"/>
    </row>
    <row r="6148" spans="1:1">
      <c r="A6148" s="32"/>
    </row>
    <row r="6149" spans="1:1">
      <c r="A6149" s="32"/>
    </row>
    <row r="6150" spans="1:1">
      <c r="A6150" s="32"/>
    </row>
    <row r="6151" spans="1:1">
      <c r="A6151" s="32"/>
    </row>
    <row r="6152" spans="1:1">
      <c r="A6152" s="32"/>
    </row>
    <row r="6153" spans="1:1">
      <c r="A6153" s="32"/>
    </row>
    <row r="6154" spans="1:1">
      <c r="A6154" s="32"/>
    </row>
    <row r="6155" spans="1:1">
      <c r="A6155" s="32"/>
    </row>
    <row r="6156" spans="1:1">
      <c r="A6156" s="32"/>
    </row>
    <row r="6157" spans="1:1">
      <c r="A6157" s="32"/>
    </row>
    <row r="6158" spans="1:1">
      <c r="A6158" s="32"/>
    </row>
    <row r="6159" spans="1:1">
      <c r="A6159" s="32"/>
    </row>
    <row r="6160" spans="1:1">
      <c r="A6160" s="32"/>
    </row>
    <row r="6161" spans="1:1">
      <c r="A6161" s="32"/>
    </row>
    <row r="6162" spans="1:1">
      <c r="A6162" s="32"/>
    </row>
    <row r="6163" spans="1:1">
      <c r="A6163" s="32"/>
    </row>
    <row r="6164" spans="1:1">
      <c r="A6164" s="32"/>
    </row>
    <row r="6165" spans="1:1">
      <c r="A6165" s="32"/>
    </row>
    <row r="6166" spans="1:1">
      <c r="A6166" s="32"/>
    </row>
    <row r="6167" spans="1:1">
      <c r="A6167" s="32"/>
    </row>
    <row r="6168" spans="1:1">
      <c r="A6168" s="32"/>
    </row>
    <row r="6169" spans="1:1">
      <c r="A6169" s="32"/>
    </row>
    <row r="6170" spans="1:1">
      <c r="A6170" s="32"/>
    </row>
    <row r="6171" spans="1:1">
      <c r="A6171" s="32"/>
    </row>
    <row r="6172" spans="1:1">
      <c r="A6172" s="32"/>
    </row>
    <row r="6173" spans="1:1">
      <c r="A6173" s="32"/>
    </row>
    <row r="6174" spans="1:1">
      <c r="A6174" s="32"/>
    </row>
    <row r="6175" spans="1:1">
      <c r="A6175" s="32"/>
    </row>
    <row r="6176" spans="1:1">
      <c r="A6176" s="32"/>
    </row>
    <row r="6177" spans="1:1">
      <c r="A6177" s="32"/>
    </row>
    <row r="6178" spans="1:1">
      <c r="A6178" s="32"/>
    </row>
    <row r="6179" spans="1:1">
      <c r="A6179" s="32"/>
    </row>
    <row r="6180" spans="1:1">
      <c r="A6180" s="32"/>
    </row>
    <row r="6181" spans="1:1">
      <c r="A6181" s="32"/>
    </row>
    <row r="6182" spans="1:1">
      <c r="A6182" s="32"/>
    </row>
    <row r="6183" spans="1:1">
      <c r="A6183" s="32"/>
    </row>
    <row r="6184" spans="1:1">
      <c r="A6184" s="32"/>
    </row>
    <row r="6185" spans="1:1">
      <c r="A6185" s="32"/>
    </row>
    <row r="6186" spans="1:1">
      <c r="A6186" s="32"/>
    </row>
    <row r="6187" spans="1:1">
      <c r="A6187" s="32"/>
    </row>
    <row r="6188" spans="1:1">
      <c r="A6188" s="32"/>
    </row>
    <row r="6189" spans="1:1">
      <c r="A6189" s="32"/>
    </row>
    <row r="6190" spans="1:1">
      <c r="A6190" s="32"/>
    </row>
    <row r="6191" spans="1:1">
      <c r="A6191" s="32"/>
    </row>
    <row r="6192" spans="1:1">
      <c r="A6192" s="32"/>
    </row>
    <row r="6193" spans="1:1">
      <c r="A6193" s="32"/>
    </row>
    <row r="6194" spans="1:1">
      <c r="A6194" s="32"/>
    </row>
    <row r="6195" spans="1:1">
      <c r="A6195" s="32"/>
    </row>
    <row r="6196" spans="1:1">
      <c r="A6196" s="32"/>
    </row>
    <row r="6197" spans="1:1">
      <c r="A6197" s="32"/>
    </row>
    <row r="6198" spans="1:1">
      <c r="A6198" s="32"/>
    </row>
    <row r="6199" spans="1:1">
      <c r="A6199" s="32"/>
    </row>
    <row r="6200" spans="1:1">
      <c r="A6200" s="32"/>
    </row>
    <row r="6201" spans="1:1">
      <c r="A6201" s="32"/>
    </row>
    <row r="6202" spans="1:1">
      <c r="A6202" s="32"/>
    </row>
    <row r="6203" spans="1:1">
      <c r="A6203" s="32"/>
    </row>
    <row r="6204" spans="1:1">
      <c r="A6204" s="32"/>
    </row>
    <row r="6205" spans="1:1">
      <c r="A6205" s="32"/>
    </row>
    <row r="6206" spans="1:1">
      <c r="A6206" s="32"/>
    </row>
    <row r="6207" spans="1:1">
      <c r="A6207" s="32"/>
    </row>
    <row r="6208" spans="1:1">
      <c r="A6208" s="32"/>
    </row>
    <row r="6209" spans="1:1">
      <c r="A6209" s="32"/>
    </row>
    <row r="6210" spans="1:1">
      <c r="A6210" s="32"/>
    </row>
    <row r="6211" spans="1:1">
      <c r="A6211" s="32"/>
    </row>
    <row r="6212" spans="1:1">
      <c r="A6212" s="32"/>
    </row>
    <row r="6213" spans="1:1">
      <c r="A6213" s="32"/>
    </row>
    <row r="6214" spans="1:1">
      <c r="A6214" s="32"/>
    </row>
    <row r="6215" spans="1:1">
      <c r="A6215" s="32"/>
    </row>
    <row r="6216" spans="1:1">
      <c r="A6216" s="32"/>
    </row>
    <row r="6217" spans="1:1">
      <c r="A6217" s="32"/>
    </row>
    <row r="6218" spans="1:1">
      <c r="A6218" s="32"/>
    </row>
    <row r="6219" spans="1:1">
      <c r="A6219" s="32"/>
    </row>
    <row r="6220" spans="1:1">
      <c r="A6220" s="32"/>
    </row>
    <row r="6221" spans="1:1">
      <c r="A6221" s="32"/>
    </row>
    <row r="6222" spans="1:1">
      <c r="A6222" s="32"/>
    </row>
    <row r="6223" spans="1:1">
      <c r="A6223" s="32"/>
    </row>
    <row r="6224" spans="1:1">
      <c r="A6224" s="32"/>
    </row>
    <row r="6225" spans="1:1">
      <c r="A6225" s="32"/>
    </row>
    <row r="6226" spans="1:1">
      <c r="A6226" s="32"/>
    </row>
    <row r="6227" spans="1:1">
      <c r="A6227" s="32"/>
    </row>
    <row r="6228" spans="1:1">
      <c r="A6228" s="32"/>
    </row>
    <row r="6229" spans="1:1">
      <c r="A6229" s="32"/>
    </row>
    <row r="6230" spans="1:1">
      <c r="A6230" s="32"/>
    </row>
    <row r="6231" spans="1:1">
      <c r="A6231" s="32"/>
    </row>
    <row r="6232" spans="1:1">
      <c r="A6232" s="32"/>
    </row>
    <row r="6233" spans="1:1">
      <c r="A6233" s="32"/>
    </row>
    <row r="6234" spans="1:1">
      <c r="A6234" s="32"/>
    </row>
    <row r="6235" spans="1:1">
      <c r="A6235" s="32"/>
    </row>
    <row r="6236" spans="1:1">
      <c r="A6236" s="32"/>
    </row>
    <row r="6237" spans="1:1">
      <c r="A6237" s="32"/>
    </row>
    <row r="6238" spans="1:1">
      <c r="A6238" s="32"/>
    </row>
    <row r="6239" spans="1:1">
      <c r="A6239" s="32"/>
    </row>
    <row r="6240" spans="1:1">
      <c r="A6240" s="32"/>
    </row>
    <row r="6241" spans="1:1">
      <c r="A6241" s="32"/>
    </row>
    <row r="6242" spans="1:1">
      <c r="A6242" s="32"/>
    </row>
    <row r="6243" spans="1:1">
      <c r="A6243" s="32"/>
    </row>
    <row r="6244" spans="1:1">
      <c r="A6244" s="32"/>
    </row>
    <row r="6245" spans="1:1">
      <c r="A6245" s="32"/>
    </row>
    <row r="6246" spans="1:1">
      <c r="A6246" s="32"/>
    </row>
    <row r="6247" spans="1:1">
      <c r="A6247" s="32"/>
    </row>
    <row r="6248" spans="1:1">
      <c r="A6248" s="32"/>
    </row>
    <row r="6249" spans="1:1">
      <c r="A6249" s="32"/>
    </row>
    <row r="6250" spans="1:1">
      <c r="A6250" s="32"/>
    </row>
    <row r="6251" spans="1:1">
      <c r="A6251" s="32"/>
    </row>
    <row r="6252" spans="1:1">
      <c r="A6252" s="32"/>
    </row>
    <row r="6253" spans="1:1">
      <c r="A6253" s="32"/>
    </row>
    <row r="6254" spans="1:1">
      <c r="A6254" s="32"/>
    </row>
    <row r="6255" spans="1:1">
      <c r="A6255" s="32"/>
    </row>
    <row r="6256" spans="1:1">
      <c r="A6256" s="32"/>
    </row>
    <row r="6257" spans="1:1">
      <c r="A6257" s="32"/>
    </row>
    <row r="6258" spans="1:1">
      <c r="A6258" s="32"/>
    </row>
    <row r="6259" spans="1:1">
      <c r="A6259" s="32"/>
    </row>
    <row r="6260" spans="1:1">
      <c r="A6260" s="32"/>
    </row>
    <row r="6261" spans="1:1">
      <c r="A6261" s="32"/>
    </row>
    <row r="6262" spans="1:1">
      <c r="A6262" s="32"/>
    </row>
    <row r="6263" spans="1:1">
      <c r="A6263" s="32"/>
    </row>
    <row r="6264" spans="1:1">
      <c r="A6264" s="32"/>
    </row>
    <row r="6265" spans="1:1">
      <c r="A6265" s="32"/>
    </row>
    <row r="6266" spans="1:1">
      <c r="A6266" s="32"/>
    </row>
    <row r="6267" spans="1:1">
      <c r="A6267" s="32"/>
    </row>
    <row r="6268" spans="1:1">
      <c r="A6268" s="32"/>
    </row>
    <row r="6269" spans="1:1">
      <c r="A6269" s="32"/>
    </row>
    <row r="6270" spans="1:1">
      <c r="A6270" s="32"/>
    </row>
    <row r="6271" spans="1:1">
      <c r="A6271" s="32"/>
    </row>
    <row r="6272" spans="1:1">
      <c r="A6272" s="32"/>
    </row>
    <row r="6273" spans="1:1">
      <c r="A6273" s="32"/>
    </row>
    <row r="6274" spans="1:1">
      <c r="A6274" s="32"/>
    </row>
    <row r="6275" spans="1:1">
      <c r="A6275" s="32"/>
    </row>
    <row r="6276" spans="1:1">
      <c r="A6276" s="32"/>
    </row>
    <row r="6277" spans="1:1">
      <c r="A6277" s="32"/>
    </row>
    <row r="6278" spans="1:1">
      <c r="A6278" s="32"/>
    </row>
    <row r="6279" spans="1:1">
      <c r="A6279" s="32"/>
    </row>
    <row r="6280" spans="1:1">
      <c r="A6280" s="32"/>
    </row>
    <row r="6281" spans="1:1">
      <c r="A6281" s="32"/>
    </row>
    <row r="6282" spans="1:1">
      <c r="A6282" s="32"/>
    </row>
    <row r="6283" spans="1:1">
      <c r="A6283" s="32"/>
    </row>
    <row r="6284" spans="1:1">
      <c r="A6284" s="32"/>
    </row>
    <row r="6285" spans="1:1">
      <c r="A6285" s="32"/>
    </row>
    <row r="6286" spans="1:1">
      <c r="A6286" s="32"/>
    </row>
    <row r="6287" spans="1:1">
      <c r="A6287" s="32"/>
    </row>
    <row r="6288" spans="1:1">
      <c r="A6288" s="32"/>
    </row>
    <row r="6289" spans="1:1">
      <c r="A6289" s="32"/>
    </row>
    <row r="6290" spans="1:1">
      <c r="A6290" s="32"/>
    </row>
    <row r="6291" spans="1:1">
      <c r="A6291" s="32"/>
    </row>
    <row r="6292" spans="1:1">
      <c r="A6292" s="32"/>
    </row>
    <row r="6293" spans="1:1">
      <c r="A6293" s="32"/>
    </row>
    <row r="6294" spans="1:1">
      <c r="A6294" s="32"/>
    </row>
    <row r="6295" spans="1:1">
      <c r="A6295" s="32"/>
    </row>
    <row r="6296" spans="1:1">
      <c r="A6296" s="32"/>
    </row>
    <row r="6297" spans="1:1">
      <c r="A6297" s="32"/>
    </row>
    <row r="6298" spans="1:1">
      <c r="A6298" s="32"/>
    </row>
    <row r="6299" spans="1:1">
      <c r="A6299" s="32"/>
    </row>
    <row r="6300" spans="1:1">
      <c r="A6300" s="32"/>
    </row>
    <row r="6301" spans="1:1">
      <c r="A6301" s="32"/>
    </row>
    <row r="6302" spans="1:1">
      <c r="A6302" s="32"/>
    </row>
    <row r="6303" spans="1:1">
      <c r="A6303" s="32"/>
    </row>
    <row r="6304" spans="1:1">
      <c r="A6304" s="32"/>
    </row>
    <row r="6305" spans="1:1">
      <c r="A6305" s="32"/>
    </row>
    <row r="6306" spans="1:1">
      <c r="A6306" s="32"/>
    </row>
    <row r="6307" spans="1:1">
      <c r="A6307" s="32"/>
    </row>
    <row r="6308" spans="1:1">
      <c r="A6308" s="32"/>
    </row>
    <row r="6309" spans="1:1">
      <c r="A6309" s="32"/>
    </row>
    <row r="6310" spans="1:1">
      <c r="A6310" s="32"/>
    </row>
    <row r="6311" spans="1:1">
      <c r="A6311" s="32"/>
    </row>
    <row r="6312" spans="1:1">
      <c r="A6312" s="32"/>
    </row>
    <row r="6313" spans="1:1">
      <c r="A6313" s="32"/>
    </row>
    <row r="6314" spans="1:1">
      <c r="A6314" s="32"/>
    </row>
    <row r="6315" spans="1:1">
      <c r="A6315" s="32"/>
    </row>
    <row r="6316" spans="1:1">
      <c r="A6316" s="32"/>
    </row>
    <row r="6317" spans="1:1">
      <c r="A6317" s="32"/>
    </row>
    <row r="6318" spans="1:1">
      <c r="A6318" s="32"/>
    </row>
    <row r="6319" spans="1:1">
      <c r="A6319" s="32"/>
    </row>
    <row r="6320" spans="1:1">
      <c r="A6320" s="32"/>
    </row>
    <row r="6321" spans="1:1">
      <c r="A6321" s="32"/>
    </row>
    <row r="6322" spans="1:1">
      <c r="A6322" s="32"/>
    </row>
    <row r="6323" spans="1:1">
      <c r="A6323" s="32"/>
    </row>
    <row r="6324" spans="1:1">
      <c r="A6324" s="32"/>
    </row>
    <row r="6325" spans="1:1">
      <c r="A6325" s="32"/>
    </row>
    <row r="6326" spans="1:1">
      <c r="A6326" s="32"/>
    </row>
    <row r="6327" spans="1:1">
      <c r="A6327" s="32"/>
    </row>
    <row r="6328" spans="1:1">
      <c r="A6328" s="32"/>
    </row>
    <row r="6329" spans="1:1">
      <c r="A6329" s="32"/>
    </row>
    <row r="6330" spans="1:1">
      <c r="A6330" s="32"/>
    </row>
    <row r="6331" spans="1:1">
      <c r="A6331" s="32"/>
    </row>
    <row r="6332" spans="1:1">
      <c r="A6332" s="32"/>
    </row>
    <row r="6333" spans="1:1">
      <c r="A6333" s="32"/>
    </row>
    <row r="6334" spans="1:1">
      <c r="A6334" s="32"/>
    </row>
    <row r="6335" spans="1:1">
      <c r="A6335" s="32"/>
    </row>
    <row r="6336" spans="1:1">
      <c r="A6336" s="32"/>
    </row>
    <row r="6337" spans="1:1">
      <c r="A6337" s="32"/>
    </row>
    <row r="6338" spans="1:1">
      <c r="A6338" s="32"/>
    </row>
    <row r="6339" spans="1:1">
      <c r="A6339" s="32"/>
    </row>
    <row r="6340" spans="1:1">
      <c r="A6340" s="32"/>
    </row>
    <row r="6341" spans="1:1">
      <c r="A6341" s="32"/>
    </row>
    <row r="6342" spans="1:1">
      <c r="A6342" s="32"/>
    </row>
    <row r="6343" spans="1:1">
      <c r="A6343" s="32"/>
    </row>
    <row r="6344" spans="1:1">
      <c r="A6344" s="32"/>
    </row>
    <row r="6345" spans="1:1">
      <c r="A6345" s="32"/>
    </row>
    <row r="6346" spans="1:1">
      <c r="A6346" s="32"/>
    </row>
    <row r="6347" spans="1:1">
      <c r="A6347" s="32"/>
    </row>
    <row r="6348" spans="1:1">
      <c r="A6348" s="32"/>
    </row>
    <row r="6349" spans="1:1">
      <c r="A6349" s="32"/>
    </row>
    <row r="6350" spans="1:1">
      <c r="A6350" s="32"/>
    </row>
    <row r="6351" spans="1:1">
      <c r="A6351" s="32"/>
    </row>
    <row r="6352" spans="1:1">
      <c r="A6352" s="32"/>
    </row>
    <row r="6353" spans="1:1">
      <c r="A6353" s="32"/>
    </row>
    <row r="6354" spans="1:1">
      <c r="A6354" s="32"/>
    </row>
    <row r="6355" spans="1:1">
      <c r="A6355" s="32"/>
    </row>
    <row r="6356" spans="1:1">
      <c r="A6356" s="32"/>
    </row>
    <row r="6357" spans="1:1">
      <c r="A6357" s="32"/>
    </row>
    <row r="6358" spans="1:1">
      <c r="A6358" s="32"/>
    </row>
    <row r="6359" spans="1:1">
      <c r="A6359" s="32"/>
    </row>
    <row r="6360" spans="1:1">
      <c r="A6360" s="32"/>
    </row>
    <row r="6361" spans="1:1">
      <c r="A6361" s="32"/>
    </row>
    <row r="6362" spans="1:1">
      <c r="A6362" s="32"/>
    </row>
    <row r="6363" spans="1:1">
      <c r="A6363" s="32"/>
    </row>
    <row r="6364" spans="1:1">
      <c r="A6364" s="32"/>
    </row>
    <row r="6365" spans="1:1">
      <c r="A6365" s="32"/>
    </row>
    <row r="6366" spans="1:1">
      <c r="A6366" s="32"/>
    </row>
    <row r="6367" spans="1:1">
      <c r="A6367" s="32"/>
    </row>
    <row r="6368" spans="1:1">
      <c r="A6368" s="32"/>
    </row>
    <row r="6369" spans="1:1">
      <c r="A6369" s="32"/>
    </row>
    <row r="6370" spans="1:1">
      <c r="A6370" s="32"/>
    </row>
    <row r="6371" spans="1:1">
      <c r="A6371" s="32"/>
    </row>
    <row r="6372" spans="1:1">
      <c r="A6372" s="32"/>
    </row>
    <row r="6373" spans="1:1">
      <c r="A6373" s="32"/>
    </row>
    <row r="6374" spans="1:1">
      <c r="A6374" s="32"/>
    </row>
    <row r="6375" spans="1:1">
      <c r="A6375" s="32"/>
    </row>
    <row r="6376" spans="1:1">
      <c r="A6376" s="32"/>
    </row>
    <row r="6377" spans="1:1">
      <c r="A6377" s="32"/>
    </row>
    <row r="6378" spans="1:1">
      <c r="A6378" s="32"/>
    </row>
    <row r="6379" spans="1:1">
      <c r="A6379" s="32"/>
    </row>
    <row r="6380" spans="1:1">
      <c r="A6380" s="32"/>
    </row>
    <row r="6381" spans="1:1">
      <c r="A6381" s="32"/>
    </row>
    <row r="6382" spans="1:1">
      <c r="A6382" s="32"/>
    </row>
    <row r="6383" spans="1:1">
      <c r="A6383" s="32"/>
    </row>
    <row r="6384" spans="1:1">
      <c r="A6384" s="32"/>
    </row>
    <row r="6385" spans="1:1">
      <c r="A6385" s="32"/>
    </row>
    <row r="6386" spans="1:1">
      <c r="A6386" s="32"/>
    </row>
    <row r="6387" spans="1:1">
      <c r="A6387" s="32"/>
    </row>
    <row r="6388" spans="1:1">
      <c r="A6388" s="32"/>
    </row>
    <row r="6389" spans="1:1">
      <c r="A6389" s="32"/>
    </row>
    <row r="6390" spans="1:1">
      <c r="A6390" s="32"/>
    </row>
    <row r="6391" spans="1:1">
      <c r="A6391" s="32"/>
    </row>
    <row r="6392" spans="1:1">
      <c r="A6392" s="32"/>
    </row>
    <row r="6393" spans="1:1">
      <c r="A6393" s="32"/>
    </row>
    <row r="6394" spans="1:1">
      <c r="A6394" s="32"/>
    </row>
    <row r="6395" spans="1:1">
      <c r="A6395" s="32"/>
    </row>
    <row r="6396" spans="1:1">
      <c r="A6396" s="32"/>
    </row>
    <row r="6397" spans="1:1">
      <c r="A6397" s="32"/>
    </row>
    <row r="6398" spans="1:1">
      <c r="A6398" s="32"/>
    </row>
    <row r="6399" spans="1:1">
      <c r="A6399" s="32"/>
    </row>
    <row r="6400" spans="1:1">
      <c r="A6400" s="32"/>
    </row>
    <row r="6401" spans="1:1">
      <c r="A6401" s="32"/>
    </row>
    <row r="6402" spans="1:1">
      <c r="A6402" s="32"/>
    </row>
    <row r="6403" spans="1:1">
      <c r="A6403" s="32"/>
    </row>
    <row r="6404" spans="1:1">
      <c r="A6404" s="32"/>
    </row>
    <row r="6405" spans="1:1">
      <c r="A6405" s="32"/>
    </row>
    <row r="6406" spans="1:1">
      <c r="A6406" s="32"/>
    </row>
    <row r="6407" spans="1:1">
      <c r="A6407" s="32"/>
    </row>
    <row r="6408" spans="1:1">
      <c r="A6408" s="32"/>
    </row>
    <row r="6409" spans="1:1">
      <c r="A6409" s="32"/>
    </row>
    <row r="6410" spans="1:1">
      <c r="A6410" s="32"/>
    </row>
    <row r="6411" spans="1:1">
      <c r="A6411" s="32"/>
    </row>
    <row r="6412" spans="1:1">
      <c r="A6412" s="32"/>
    </row>
    <row r="6413" spans="1:1">
      <c r="A6413" s="32"/>
    </row>
    <row r="6414" spans="1:1">
      <c r="A6414" s="32"/>
    </row>
    <row r="6415" spans="1:1">
      <c r="A6415" s="32"/>
    </row>
    <row r="6416" spans="1:1">
      <c r="A6416" s="32"/>
    </row>
    <row r="6417" spans="1:1">
      <c r="A6417" s="32"/>
    </row>
    <row r="6418" spans="1:1">
      <c r="A6418" s="32"/>
    </row>
    <row r="6419" spans="1:1">
      <c r="A6419" s="32"/>
    </row>
    <row r="6420" spans="1:1">
      <c r="A6420" s="32"/>
    </row>
    <row r="6421" spans="1:1">
      <c r="A6421" s="32"/>
    </row>
    <row r="6422" spans="1:1">
      <c r="A6422" s="32"/>
    </row>
    <row r="6423" spans="1:1">
      <c r="A6423" s="32"/>
    </row>
    <row r="6424" spans="1:1">
      <c r="A6424" s="32"/>
    </row>
    <row r="6425" spans="1:1">
      <c r="A6425" s="32"/>
    </row>
    <row r="6426" spans="1:1">
      <c r="A6426" s="32"/>
    </row>
    <row r="6427" spans="1:1">
      <c r="A6427" s="32"/>
    </row>
    <row r="6428" spans="1:1">
      <c r="A6428" s="32"/>
    </row>
    <row r="6429" spans="1:1">
      <c r="A6429" s="32"/>
    </row>
    <row r="6430" spans="1:1">
      <c r="A6430" s="32"/>
    </row>
    <row r="6431" spans="1:1">
      <c r="A6431" s="32"/>
    </row>
    <row r="6432" spans="1:1">
      <c r="A6432" s="32"/>
    </row>
    <row r="6433" spans="1:1">
      <c r="A6433" s="32"/>
    </row>
    <row r="6434" spans="1:1">
      <c r="A6434" s="32"/>
    </row>
    <row r="6435" spans="1:1">
      <c r="A6435" s="32"/>
    </row>
    <row r="6436" spans="1:1">
      <c r="A6436" s="32"/>
    </row>
    <row r="6437" spans="1:1">
      <c r="A6437" s="32"/>
    </row>
    <row r="6438" spans="1:1">
      <c r="A6438" s="32"/>
    </row>
    <row r="6439" spans="1:1">
      <c r="A6439" s="32"/>
    </row>
    <row r="6440" spans="1:1">
      <c r="A6440" s="32"/>
    </row>
    <row r="6441" spans="1:1">
      <c r="A6441" s="32"/>
    </row>
    <row r="6442" spans="1:1">
      <c r="A6442" s="32"/>
    </row>
    <row r="6443" spans="1:1">
      <c r="A6443" s="32"/>
    </row>
    <row r="6444" spans="1:1">
      <c r="A6444" s="32"/>
    </row>
    <row r="6445" spans="1:1">
      <c r="A6445" s="32"/>
    </row>
    <row r="6446" spans="1:1">
      <c r="A6446" s="32"/>
    </row>
    <row r="6447" spans="1:1">
      <c r="A6447" s="32"/>
    </row>
    <row r="6448" spans="1:1">
      <c r="A6448" s="32"/>
    </row>
    <row r="6449" spans="1:1">
      <c r="A6449" s="32"/>
    </row>
    <row r="6450" spans="1:1">
      <c r="A6450" s="32"/>
    </row>
    <row r="6451" spans="1:1">
      <c r="A6451" s="32"/>
    </row>
    <row r="6452" spans="1:1">
      <c r="A6452" s="32"/>
    </row>
    <row r="6453" spans="1:1">
      <c r="A6453" s="32"/>
    </row>
    <row r="6454" spans="1:1">
      <c r="A6454" s="32"/>
    </row>
    <row r="6455" spans="1:1">
      <c r="A6455" s="32"/>
    </row>
    <row r="6456" spans="1:1">
      <c r="A6456" s="32"/>
    </row>
    <row r="6457" spans="1:1">
      <c r="A6457" s="32"/>
    </row>
    <row r="6458" spans="1:1">
      <c r="A6458" s="32"/>
    </row>
    <row r="6459" spans="1:1">
      <c r="A6459" s="32"/>
    </row>
    <row r="6460" spans="1:1">
      <c r="A6460" s="32"/>
    </row>
    <row r="6461" spans="1:1">
      <c r="A6461" s="32"/>
    </row>
    <row r="6462" spans="1:1">
      <c r="A6462" s="32"/>
    </row>
    <row r="6463" spans="1:1">
      <c r="A6463" s="32"/>
    </row>
    <row r="6464" spans="1:1">
      <c r="A6464" s="32"/>
    </row>
    <row r="6465" spans="1:1">
      <c r="A6465" s="32"/>
    </row>
    <row r="6466" spans="1:1">
      <c r="A6466" s="32"/>
    </row>
    <row r="6467" spans="1:1">
      <c r="A6467" s="32"/>
    </row>
    <row r="6468" spans="1:1">
      <c r="A6468" s="32"/>
    </row>
    <row r="6469" spans="1:1">
      <c r="A6469" s="32"/>
    </row>
    <row r="6470" spans="1:1">
      <c r="A6470" s="32"/>
    </row>
    <row r="6471" spans="1:1">
      <c r="A6471" s="32"/>
    </row>
    <row r="6472" spans="1:1">
      <c r="A6472" s="32"/>
    </row>
    <row r="6473" spans="1:1">
      <c r="A6473" s="32"/>
    </row>
    <row r="6474" spans="1:1">
      <c r="A6474" s="32"/>
    </row>
    <row r="6475" spans="1:1">
      <c r="A6475" s="32"/>
    </row>
    <row r="6476" spans="1:1">
      <c r="A6476" s="32"/>
    </row>
    <row r="6477" spans="1:1">
      <c r="A6477" s="32"/>
    </row>
    <row r="6478" spans="1:1">
      <c r="A6478" s="32"/>
    </row>
    <row r="6479" spans="1:1">
      <c r="A6479" s="32"/>
    </row>
    <row r="6480" spans="1:1">
      <c r="A6480" s="32"/>
    </row>
    <row r="6481" spans="1:1">
      <c r="A6481" s="32"/>
    </row>
    <row r="6482" spans="1:1">
      <c r="A6482" s="32"/>
    </row>
    <row r="6483" spans="1:1">
      <c r="A6483" s="32"/>
    </row>
    <row r="6484" spans="1:1">
      <c r="A6484" s="32"/>
    </row>
    <row r="6485" spans="1:1">
      <c r="A6485" s="32"/>
    </row>
    <row r="6486" spans="1:1">
      <c r="A6486" s="32"/>
    </row>
    <row r="6487" spans="1:1">
      <c r="A6487" s="32"/>
    </row>
    <row r="6488" spans="1:1">
      <c r="A6488" s="32"/>
    </row>
    <row r="6489" spans="1:1">
      <c r="A6489" s="32"/>
    </row>
    <row r="6490" spans="1:1">
      <c r="A6490" s="32"/>
    </row>
    <row r="6491" spans="1:1">
      <c r="A6491" s="32"/>
    </row>
    <row r="6492" spans="1:1">
      <c r="A6492" s="32"/>
    </row>
    <row r="6493" spans="1:1">
      <c r="A6493" s="32"/>
    </row>
    <row r="6494" spans="1:1">
      <c r="A6494" s="32"/>
    </row>
    <row r="6495" spans="1:1">
      <c r="A6495" s="32"/>
    </row>
    <row r="6496" spans="1:1">
      <c r="A6496" s="32"/>
    </row>
    <row r="6497" spans="1:1">
      <c r="A6497" s="32"/>
    </row>
    <row r="6498" spans="1:1">
      <c r="A6498" s="32"/>
    </row>
    <row r="6499" spans="1:1">
      <c r="A6499" s="32"/>
    </row>
    <row r="6500" spans="1:1">
      <c r="A6500" s="32"/>
    </row>
    <row r="6501" spans="1:1">
      <c r="A6501" s="32"/>
    </row>
    <row r="6502" spans="1:1">
      <c r="A6502" s="32"/>
    </row>
    <row r="6503" spans="1:1">
      <c r="A6503" s="32"/>
    </row>
    <row r="6504" spans="1:1">
      <c r="A6504" s="32"/>
    </row>
    <row r="6505" spans="1:1">
      <c r="A6505" s="32"/>
    </row>
    <row r="6506" spans="1:1">
      <c r="A6506" s="32"/>
    </row>
    <row r="6507" spans="1:1">
      <c r="A6507" s="32"/>
    </row>
    <row r="6508" spans="1:1">
      <c r="A6508" s="32"/>
    </row>
    <row r="6509" spans="1:1">
      <c r="A6509" s="32"/>
    </row>
    <row r="6510" spans="1:1">
      <c r="A6510" s="32"/>
    </row>
    <row r="6511" spans="1:1">
      <c r="A6511" s="32"/>
    </row>
    <row r="6512" spans="1:1">
      <c r="A6512" s="32"/>
    </row>
    <row r="6513" spans="1:1">
      <c r="A6513" s="32"/>
    </row>
    <row r="6514" spans="1:1">
      <c r="A6514" s="32"/>
    </row>
    <row r="6515" spans="1:1">
      <c r="A6515" s="32"/>
    </row>
    <row r="6516" spans="1:1">
      <c r="A6516" s="32"/>
    </row>
    <row r="6517" spans="1:1">
      <c r="A6517" s="32"/>
    </row>
    <row r="6518" spans="1:1">
      <c r="A6518" s="32"/>
    </row>
    <row r="6519" spans="1:1">
      <c r="A6519" s="32"/>
    </row>
    <row r="6520" spans="1:1">
      <c r="A6520" s="32"/>
    </row>
    <row r="6521" spans="1:1">
      <c r="A6521" s="32"/>
    </row>
    <row r="6522" spans="1:1">
      <c r="A6522" s="32"/>
    </row>
    <row r="6523" spans="1:1">
      <c r="A6523" s="32"/>
    </row>
    <row r="6524" spans="1:1">
      <c r="A6524" s="32"/>
    </row>
    <row r="6525" spans="1:1">
      <c r="A6525" s="32"/>
    </row>
    <row r="6526" spans="1:1">
      <c r="A6526" s="32"/>
    </row>
    <row r="6527" spans="1:1">
      <c r="A6527" s="32"/>
    </row>
    <row r="6528" spans="1:1">
      <c r="A6528" s="32"/>
    </row>
    <row r="6529" spans="1:1">
      <c r="A6529" s="32"/>
    </row>
    <row r="6530" spans="1:1">
      <c r="A6530" s="32"/>
    </row>
    <row r="6531" spans="1:1">
      <c r="A6531" s="32"/>
    </row>
    <row r="6532" spans="1:1">
      <c r="A6532" s="32"/>
    </row>
    <row r="6533" spans="1:1">
      <c r="A6533" s="32"/>
    </row>
    <row r="6534" spans="1:1">
      <c r="A6534" s="32"/>
    </row>
    <row r="6535" spans="1:1">
      <c r="A6535" s="32"/>
    </row>
    <row r="6536" spans="1:1">
      <c r="A6536" s="32"/>
    </row>
    <row r="6537" spans="1:1">
      <c r="A6537" s="32"/>
    </row>
    <row r="6538" spans="1:1">
      <c r="A6538" s="32"/>
    </row>
    <row r="6539" spans="1:1">
      <c r="A6539" s="32"/>
    </row>
    <row r="6540" spans="1:1">
      <c r="A6540" s="32"/>
    </row>
    <row r="6541" spans="1:1">
      <c r="A6541" s="32"/>
    </row>
    <row r="6542" spans="1:1">
      <c r="A6542" s="32"/>
    </row>
    <row r="6543" spans="1:1">
      <c r="A6543" s="32"/>
    </row>
    <row r="6544" spans="1:1">
      <c r="A6544" s="32"/>
    </row>
    <row r="6545" spans="1:1">
      <c r="A6545" s="32"/>
    </row>
    <row r="6546" spans="1:1">
      <c r="A6546" s="32"/>
    </row>
    <row r="6547" spans="1:1">
      <c r="A6547" s="32"/>
    </row>
    <row r="6548" spans="1:1">
      <c r="A6548" s="32"/>
    </row>
    <row r="6549" spans="1:1">
      <c r="A6549" s="32"/>
    </row>
    <row r="6550" spans="1:1">
      <c r="A6550" s="32"/>
    </row>
    <row r="6551" spans="1:1">
      <c r="A6551" s="32"/>
    </row>
    <row r="6552" spans="1:1">
      <c r="A6552" s="32"/>
    </row>
    <row r="6553" spans="1:1">
      <c r="A6553" s="32"/>
    </row>
    <row r="6554" spans="1:1">
      <c r="A6554" s="32"/>
    </row>
    <row r="6555" spans="1:1">
      <c r="A6555" s="32"/>
    </row>
    <row r="6556" spans="1:1">
      <c r="A6556" s="32"/>
    </row>
    <row r="6557" spans="1:1">
      <c r="A6557" s="32"/>
    </row>
    <row r="6558" spans="1:1">
      <c r="A6558" s="32"/>
    </row>
    <row r="6559" spans="1:1">
      <c r="A6559" s="32"/>
    </row>
    <row r="6560" spans="1:1">
      <c r="A6560" s="32"/>
    </row>
    <row r="6561" spans="1:1">
      <c r="A6561" s="32"/>
    </row>
    <row r="6562" spans="1:1">
      <c r="A6562" s="32"/>
    </row>
    <row r="6563" spans="1:1">
      <c r="A6563" s="32"/>
    </row>
    <row r="6564" spans="1:1">
      <c r="A6564" s="32"/>
    </row>
    <row r="6565" spans="1:1">
      <c r="A6565" s="32"/>
    </row>
    <row r="6566" spans="1:1">
      <c r="A6566" s="32"/>
    </row>
    <row r="6567" spans="1:1">
      <c r="A6567" s="32"/>
    </row>
    <row r="6568" spans="1:1">
      <c r="A6568" s="32"/>
    </row>
    <row r="6569" spans="1:1">
      <c r="A6569" s="32"/>
    </row>
    <row r="6570" spans="1:1">
      <c r="A6570" s="32"/>
    </row>
    <row r="6571" spans="1:1">
      <c r="A6571" s="32"/>
    </row>
    <row r="6572" spans="1:1">
      <c r="A6572" s="32"/>
    </row>
    <row r="6573" spans="1:1">
      <c r="A6573" s="32"/>
    </row>
    <row r="6574" spans="1:1">
      <c r="A6574" s="32"/>
    </row>
    <row r="6575" spans="1:1">
      <c r="A6575" s="32"/>
    </row>
    <row r="6576" spans="1:1">
      <c r="A6576" s="32"/>
    </row>
    <row r="6577" spans="1:1">
      <c r="A6577" s="32"/>
    </row>
    <row r="6578" spans="1:1">
      <c r="A6578" s="32"/>
    </row>
    <row r="6579" spans="1:1">
      <c r="A6579" s="32"/>
    </row>
    <row r="6580" spans="1:1">
      <c r="A6580" s="32"/>
    </row>
    <row r="6581" spans="1:1">
      <c r="A6581" s="32"/>
    </row>
    <row r="6582" spans="1:1">
      <c r="A6582" s="32"/>
    </row>
    <row r="6583" spans="1:1">
      <c r="A6583" s="32"/>
    </row>
    <row r="6584" spans="1:1">
      <c r="A6584" s="32"/>
    </row>
    <row r="6585" spans="1:1">
      <c r="A6585" s="32"/>
    </row>
    <row r="6586" spans="1:1">
      <c r="A6586" s="32"/>
    </row>
    <row r="6587" spans="1:1">
      <c r="A6587" s="32"/>
    </row>
    <row r="6588" spans="1:1">
      <c r="A6588" s="32"/>
    </row>
    <row r="6589" spans="1:1">
      <c r="A6589" s="32"/>
    </row>
    <row r="6590" spans="1:1">
      <c r="A6590" s="32"/>
    </row>
    <row r="6591" spans="1:1">
      <c r="A6591" s="32"/>
    </row>
    <row r="6592" spans="1:1">
      <c r="A6592" s="32"/>
    </row>
    <row r="6593" spans="1:1">
      <c r="A6593" s="32"/>
    </row>
    <row r="6594" spans="1:1">
      <c r="A6594" s="32"/>
    </row>
    <row r="6595" spans="1:1">
      <c r="A6595" s="32"/>
    </row>
    <row r="6596" spans="1:1">
      <c r="A6596" s="32"/>
    </row>
    <row r="6597" spans="1:1">
      <c r="A6597" s="32"/>
    </row>
    <row r="6598" spans="1:1">
      <c r="A6598" s="32"/>
    </row>
    <row r="6599" spans="1:1">
      <c r="A6599" s="32"/>
    </row>
    <row r="6600" spans="1:1">
      <c r="A6600" s="32"/>
    </row>
    <row r="6601" spans="1:1">
      <c r="A6601" s="32"/>
    </row>
    <row r="6602" spans="1:1">
      <c r="A6602" s="32"/>
    </row>
    <row r="6603" spans="1:1">
      <c r="A6603" s="32"/>
    </row>
    <row r="6604" spans="1:1">
      <c r="A6604" s="32"/>
    </row>
    <row r="6605" spans="1:1">
      <c r="A6605" s="32"/>
    </row>
    <row r="6606" spans="1:1">
      <c r="A6606" s="32"/>
    </row>
    <row r="6607" spans="1:1">
      <c r="A6607" s="32"/>
    </row>
    <row r="6608" spans="1:1">
      <c r="A6608" s="32"/>
    </row>
    <row r="6609" spans="1:1">
      <c r="A6609" s="32"/>
    </row>
    <row r="6610" spans="1:1">
      <c r="A6610" s="32"/>
    </row>
    <row r="6611" spans="1:1">
      <c r="A6611" s="32"/>
    </row>
    <row r="6612" spans="1:1">
      <c r="A6612" s="32"/>
    </row>
    <row r="6613" spans="1:1">
      <c r="A6613" s="32"/>
    </row>
    <row r="6614" spans="1:1">
      <c r="A6614" s="32"/>
    </row>
    <row r="6615" spans="1:1">
      <c r="A6615" s="32"/>
    </row>
    <row r="6616" spans="1:1">
      <c r="A6616" s="32"/>
    </row>
    <row r="6617" spans="1:1">
      <c r="A6617" s="32"/>
    </row>
    <row r="6618" spans="1:1">
      <c r="A6618" s="32"/>
    </row>
    <row r="6619" spans="1:1">
      <c r="A6619" s="32"/>
    </row>
    <row r="6620" spans="1:1">
      <c r="A6620" s="32"/>
    </row>
    <row r="6621" spans="1:1">
      <c r="A6621" s="32"/>
    </row>
    <row r="6622" spans="1:1">
      <c r="A6622" s="32"/>
    </row>
    <row r="6623" spans="1:1">
      <c r="A6623" s="32"/>
    </row>
    <row r="6624" spans="1:1">
      <c r="A6624" s="32"/>
    </row>
    <row r="6625" spans="1:1">
      <c r="A6625" s="32"/>
    </row>
    <row r="6626" spans="1:1">
      <c r="A6626" s="32"/>
    </row>
    <row r="6627" spans="1:1">
      <c r="A6627" s="32"/>
    </row>
    <row r="6628" spans="1:1">
      <c r="A6628" s="32"/>
    </row>
    <row r="6629" spans="1:1">
      <c r="A6629" s="32"/>
    </row>
    <row r="6630" spans="1:1">
      <c r="A6630" s="32"/>
    </row>
    <row r="6631" spans="1:1">
      <c r="A6631" s="32"/>
    </row>
    <row r="6632" spans="1:1">
      <c r="A6632" s="32"/>
    </row>
    <row r="6633" spans="1:1">
      <c r="A6633" s="32"/>
    </row>
    <row r="6634" spans="1:1">
      <c r="A6634" s="32"/>
    </row>
    <row r="6635" spans="1:1">
      <c r="A6635" s="32"/>
    </row>
    <row r="6636" spans="1:1">
      <c r="A6636" s="32"/>
    </row>
    <row r="6637" spans="1:1">
      <c r="A6637" s="32"/>
    </row>
    <row r="6638" spans="1:1">
      <c r="A6638" s="32"/>
    </row>
    <row r="6639" spans="1:1">
      <c r="A6639" s="32"/>
    </row>
    <row r="6640" spans="1:1">
      <c r="A6640" s="32"/>
    </row>
    <row r="6641" spans="1:1">
      <c r="A6641" s="32"/>
    </row>
    <row r="6642" spans="1:1">
      <c r="A6642" s="32"/>
    </row>
    <row r="6643" spans="1:1">
      <c r="A6643" s="32"/>
    </row>
    <row r="6644" spans="1:1">
      <c r="A6644" s="32"/>
    </row>
    <row r="6645" spans="1:1">
      <c r="A6645" s="32"/>
    </row>
    <row r="6646" spans="1:1">
      <c r="A6646" s="32"/>
    </row>
    <row r="6647" spans="1:1">
      <c r="A6647" s="32"/>
    </row>
    <row r="6648" spans="1:1">
      <c r="A6648" s="32"/>
    </row>
    <row r="6649" spans="1:1">
      <c r="A6649" s="32"/>
    </row>
    <row r="6650" spans="1:1">
      <c r="A6650" s="32"/>
    </row>
    <row r="6651" spans="1:1">
      <c r="A6651" s="32"/>
    </row>
    <row r="6652" spans="1:1">
      <c r="A6652" s="32"/>
    </row>
    <row r="6653" spans="1:1">
      <c r="A6653" s="32"/>
    </row>
    <row r="6654" spans="1:1">
      <c r="A6654" s="32"/>
    </row>
    <row r="6655" spans="1:1">
      <c r="A6655" s="32"/>
    </row>
    <row r="6656" spans="1:1">
      <c r="A6656" s="32"/>
    </row>
    <row r="6657" spans="1:1">
      <c r="A6657" s="32"/>
    </row>
    <row r="6658" spans="1:1">
      <c r="A6658" s="32"/>
    </row>
    <row r="6659" spans="1:1">
      <c r="A6659" s="32"/>
    </row>
    <row r="6660" spans="1:1">
      <c r="A6660" s="32"/>
    </row>
    <row r="6661" spans="1:1">
      <c r="A6661" s="32"/>
    </row>
    <row r="6662" spans="1:1">
      <c r="A6662" s="32"/>
    </row>
    <row r="6663" spans="1:1">
      <c r="A6663" s="32"/>
    </row>
    <row r="6664" spans="1:1">
      <c r="A6664" s="32"/>
    </row>
    <row r="6665" spans="1:1">
      <c r="A6665" s="32"/>
    </row>
    <row r="6666" spans="1:1">
      <c r="A6666" s="32"/>
    </row>
    <row r="6667" spans="1:1">
      <c r="A6667" s="32"/>
    </row>
    <row r="6668" spans="1:1">
      <c r="A6668" s="32"/>
    </row>
    <row r="6669" spans="1:1">
      <c r="A6669" s="32"/>
    </row>
    <row r="6670" spans="1:1">
      <c r="A6670" s="32"/>
    </row>
    <row r="6671" spans="1:1">
      <c r="A6671" s="32"/>
    </row>
    <row r="6672" spans="1:1">
      <c r="A6672" s="32"/>
    </row>
    <row r="6673" spans="1:1">
      <c r="A6673" s="32"/>
    </row>
    <row r="6674" spans="1:1">
      <c r="A6674" s="32"/>
    </row>
    <row r="6675" spans="1:1">
      <c r="A6675" s="32"/>
    </row>
    <row r="6676" spans="1:1">
      <c r="A6676" s="32"/>
    </row>
    <row r="6677" spans="1:1">
      <c r="A6677" s="32"/>
    </row>
    <row r="6678" spans="1:1">
      <c r="A6678" s="32"/>
    </row>
    <row r="6679" spans="1:1">
      <c r="A6679" s="32"/>
    </row>
    <row r="6680" spans="1:1">
      <c r="A6680" s="32"/>
    </row>
    <row r="6681" spans="1:1">
      <c r="A6681" s="32"/>
    </row>
    <row r="6682" spans="1:1">
      <c r="A6682" s="32"/>
    </row>
    <row r="6683" spans="1:1">
      <c r="A6683" s="32"/>
    </row>
    <row r="6684" spans="1:1">
      <c r="A6684" s="32"/>
    </row>
    <row r="6685" spans="1:1">
      <c r="A6685" s="32"/>
    </row>
    <row r="6686" spans="1:1">
      <c r="A6686" s="32"/>
    </row>
    <row r="6687" spans="1:1">
      <c r="A6687" s="32"/>
    </row>
    <row r="6688" spans="1:1">
      <c r="A6688" s="32"/>
    </row>
    <row r="6689" spans="1:1">
      <c r="A6689" s="32"/>
    </row>
    <row r="6690" spans="1:1">
      <c r="A6690" s="32"/>
    </row>
    <row r="6691" spans="1:1">
      <c r="A6691" s="32"/>
    </row>
    <row r="6692" spans="1:1">
      <c r="A6692" s="32"/>
    </row>
    <row r="6693" spans="1:1">
      <c r="A6693" s="32"/>
    </row>
    <row r="6694" spans="1:1">
      <c r="A6694" s="32"/>
    </row>
    <row r="6695" spans="1:1">
      <c r="A6695" s="32"/>
    </row>
    <row r="6696" spans="1:1">
      <c r="A6696" s="32"/>
    </row>
    <row r="6697" spans="1:1">
      <c r="A6697" s="32"/>
    </row>
    <row r="6698" spans="1:1">
      <c r="A6698" s="32"/>
    </row>
    <row r="6699" spans="1:1">
      <c r="A6699" s="32"/>
    </row>
    <row r="6700" spans="1:1">
      <c r="A6700" s="32"/>
    </row>
    <row r="6701" spans="1:1">
      <c r="A6701" s="32"/>
    </row>
    <row r="6702" spans="1:1">
      <c r="A6702" s="32"/>
    </row>
    <row r="6703" spans="1:1">
      <c r="A6703" s="32"/>
    </row>
    <row r="6704" spans="1:1">
      <c r="A6704" s="32"/>
    </row>
    <row r="6705" spans="1:1">
      <c r="A6705" s="32"/>
    </row>
    <row r="6706" spans="1:1">
      <c r="A6706" s="32"/>
    </row>
    <row r="6707" spans="1:1">
      <c r="A6707" s="32"/>
    </row>
    <row r="6708" spans="1:1">
      <c r="A6708" s="32"/>
    </row>
    <row r="6709" spans="1:1">
      <c r="A6709" s="32"/>
    </row>
    <row r="6710" spans="1:1">
      <c r="A6710" s="32"/>
    </row>
    <row r="6711" spans="1:1">
      <c r="A6711" s="32"/>
    </row>
    <row r="6712" spans="1:1">
      <c r="A6712" s="32"/>
    </row>
    <row r="6713" spans="1:1">
      <c r="A6713" s="32"/>
    </row>
    <row r="6714" spans="1:1">
      <c r="A6714" s="32"/>
    </row>
    <row r="6715" spans="1:1">
      <c r="A6715" s="32"/>
    </row>
    <row r="6716" spans="1:1">
      <c r="A6716" s="32"/>
    </row>
    <row r="6717" spans="1:1">
      <c r="A6717" s="32"/>
    </row>
    <row r="6718" spans="1:1">
      <c r="A6718" s="32"/>
    </row>
    <row r="6719" spans="1:1">
      <c r="A6719" s="32"/>
    </row>
    <row r="6720" spans="1:1">
      <c r="A6720" s="32"/>
    </row>
    <row r="6721" spans="1:1">
      <c r="A6721" s="32"/>
    </row>
    <row r="6722" spans="1:1">
      <c r="A6722" s="32"/>
    </row>
    <row r="6723" spans="1:1">
      <c r="A6723" s="32"/>
    </row>
    <row r="6724" spans="1:1">
      <c r="A6724" s="32"/>
    </row>
    <row r="6725" spans="1:1">
      <c r="A6725" s="32"/>
    </row>
    <row r="6726" spans="1:1">
      <c r="A6726" s="32"/>
    </row>
    <row r="6727" spans="1:1">
      <c r="A6727" s="32"/>
    </row>
    <row r="6728" spans="1:1">
      <c r="A6728" s="32"/>
    </row>
    <row r="6729" spans="1:1">
      <c r="A6729" s="32"/>
    </row>
    <row r="6730" spans="1:1">
      <c r="A6730" s="32"/>
    </row>
    <row r="6731" spans="1:1">
      <c r="A6731" s="32"/>
    </row>
    <row r="6732" spans="1:1">
      <c r="A6732" s="32"/>
    </row>
    <row r="6733" spans="1:1">
      <c r="A6733" s="32"/>
    </row>
    <row r="6734" spans="1:1">
      <c r="A6734" s="32"/>
    </row>
    <row r="6735" spans="1:1">
      <c r="A6735" s="32"/>
    </row>
    <row r="6736" spans="1:1">
      <c r="A6736" s="32"/>
    </row>
    <row r="6737" spans="1:1">
      <c r="A6737" s="32"/>
    </row>
    <row r="6738" spans="1:1">
      <c r="A6738" s="32"/>
    </row>
    <row r="6739" spans="1:1">
      <c r="A6739" s="32"/>
    </row>
    <row r="6740" spans="1:1">
      <c r="A6740" s="32"/>
    </row>
    <row r="6741" spans="1:1">
      <c r="A6741" s="32"/>
    </row>
    <row r="6742" spans="1:1">
      <c r="A6742" s="32"/>
    </row>
    <row r="6743" spans="1:1">
      <c r="A6743" s="32"/>
    </row>
    <row r="6744" spans="1:1">
      <c r="A6744" s="32"/>
    </row>
    <row r="6745" spans="1:1">
      <c r="A6745" s="32"/>
    </row>
    <row r="6746" spans="1:1">
      <c r="A6746" s="32"/>
    </row>
    <row r="6747" spans="1:1">
      <c r="A6747" s="32"/>
    </row>
    <row r="6748" spans="1:1">
      <c r="A6748" s="32"/>
    </row>
    <row r="6749" spans="1:1">
      <c r="A6749" s="32"/>
    </row>
    <row r="6750" spans="1:1">
      <c r="A6750" s="32"/>
    </row>
    <row r="6751" spans="1:1">
      <c r="A6751" s="32"/>
    </row>
    <row r="6752" spans="1:1">
      <c r="A6752" s="32"/>
    </row>
    <row r="6753" spans="1:1">
      <c r="A6753" s="32"/>
    </row>
    <row r="6754" spans="1:1">
      <c r="A6754" s="32"/>
    </row>
    <row r="6755" spans="1:1">
      <c r="A6755" s="32"/>
    </row>
    <row r="6756" spans="1:1">
      <c r="A6756" s="32"/>
    </row>
    <row r="6757" spans="1:1">
      <c r="A6757" s="32"/>
    </row>
    <row r="6758" spans="1:1">
      <c r="A6758" s="32"/>
    </row>
    <row r="6759" spans="1:1">
      <c r="A6759" s="32"/>
    </row>
    <row r="6760" spans="1:1">
      <c r="A6760" s="32"/>
    </row>
    <row r="6761" spans="1:1">
      <c r="A6761" s="32"/>
    </row>
    <row r="6762" spans="1:1">
      <c r="A6762" s="32"/>
    </row>
    <row r="6763" spans="1:1">
      <c r="A6763" s="32"/>
    </row>
    <row r="6764" spans="1:1">
      <c r="A6764" s="32"/>
    </row>
    <row r="6765" spans="1:1">
      <c r="A6765" s="32"/>
    </row>
    <row r="6766" spans="1:1">
      <c r="A6766" s="32"/>
    </row>
    <row r="6767" spans="1:1">
      <c r="A6767" s="32"/>
    </row>
    <row r="6768" spans="1:1">
      <c r="A6768" s="32"/>
    </row>
    <row r="6769" spans="1:1">
      <c r="A6769" s="32"/>
    </row>
    <row r="6770" spans="1:1">
      <c r="A6770" s="32"/>
    </row>
    <row r="6771" spans="1:1">
      <c r="A6771" s="32"/>
    </row>
    <row r="6772" spans="1:1">
      <c r="A6772" s="32"/>
    </row>
    <row r="6773" spans="1:1">
      <c r="A6773" s="32"/>
    </row>
    <row r="6774" spans="1:1">
      <c r="A6774" s="32"/>
    </row>
    <row r="6775" spans="1:1">
      <c r="A6775" s="32"/>
    </row>
    <row r="6776" spans="1:1">
      <c r="A6776" s="32"/>
    </row>
    <row r="6777" spans="1:1">
      <c r="A6777" s="32"/>
    </row>
    <row r="6778" spans="1:1">
      <c r="A6778" s="32"/>
    </row>
    <row r="6779" spans="1:1">
      <c r="A6779" s="32"/>
    </row>
    <row r="6780" spans="1:1">
      <c r="A6780" s="32"/>
    </row>
    <row r="6781" spans="1:1">
      <c r="A6781" s="32"/>
    </row>
    <row r="6782" spans="1:1">
      <c r="A6782" s="32"/>
    </row>
    <row r="6783" spans="1:1">
      <c r="A6783" s="32"/>
    </row>
    <row r="6784" spans="1:1">
      <c r="A6784" s="32"/>
    </row>
    <row r="6785" spans="1:1">
      <c r="A6785" s="32"/>
    </row>
    <row r="6786" spans="1:1">
      <c r="A6786" s="32"/>
    </row>
    <row r="6787" spans="1:1">
      <c r="A6787" s="32"/>
    </row>
    <row r="6788" spans="1:1">
      <c r="A6788" s="32"/>
    </row>
    <row r="6789" spans="1:1">
      <c r="A6789" s="32"/>
    </row>
    <row r="6790" spans="1:1">
      <c r="A6790" s="32"/>
    </row>
    <row r="6791" spans="1:1">
      <c r="A6791" s="32"/>
    </row>
    <row r="6792" spans="1:1">
      <c r="A6792" s="32"/>
    </row>
    <row r="6793" spans="1:1">
      <c r="A6793" s="32"/>
    </row>
    <row r="6794" spans="1:1">
      <c r="A6794" s="32"/>
    </row>
    <row r="6795" spans="1:1">
      <c r="A6795" s="32"/>
    </row>
    <row r="6796" spans="1:1">
      <c r="A6796" s="32"/>
    </row>
    <row r="6797" spans="1:1">
      <c r="A6797" s="32"/>
    </row>
    <row r="6798" spans="1:1">
      <c r="A6798" s="32"/>
    </row>
    <row r="6799" spans="1:1">
      <c r="A6799" s="32"/>
    </row>
    <row r="6800" spans="1:1">
      <c r="A6800" s="32"/>
    </row>
    <row r="6801" spans="1:1">
      <c r="A6801" s="32"/>
    </row>
    <row r="6802" spans="1:1">
      <c r="A6802" s="32"/>
    </row>
    <row r="6803" spans="1:1">
      <c r="A6803" s="32"/>
    </row>
    <row r="6804" spans="1:1">
      <c r="A6804" s="32"/>
    </row>
    <row r="6805" spans="1:1">
      <c r="A6805" s="32"/>
    </row>
    <row r="6806" spans="1:1">
      <c r="A6806" s="32"/>
    </row>
    <row r="6807" spans="1:1">
      <c r="A6807" s="32"/>
    </row>
    <row r="6808" spans="1:1">
      <c r="A6808" s="32"/>
    </row>
    <row r="6809" spans="1:1">
      <c r="A6809" s="32"/>
    </row>
    <row r="6810" spans="1:1">
      <c r="A6810" s="32"/>
    </row>
    <row r="6811" spans="1:1">
      <c r="A6811" s="32"/>
    </row>
    <row r="6812" spans="1:1">
      <c r="A6812" s="32"/>
    </row>
    <row r="6813" spans="1:1">
      <c r="A6813" s="32"/>
    </row>
    <row r="6814" spans="1:1">
      <c r="A6814" s="32"/>
    </row>
    <row r="6815" spans="1:1">
      <c r="A6815" s="32"/>
    </row>
    <row r="6816" spans="1:1">
      <c r="A6816" s="32"/>
    </row>
    <row r="6817" spans="1:1">
      <c r="A6817" s="32"/>
    </row>
    <row r="6818" spans="1:1">
      <c r="A6818" s="32"/>
    </row>
    <row r="6819" spans="1:1">
      <c r="A6819" s="32"/>
    </row>
    <row r="6820" spans="1:1">
      <c r="A6820" s="32"/>
    </row>
    <row r="6821" spans="1:1">
      <c r="A6821" s="32"/>
    </row>
    <row r="6822" spans="1:1">
      <c r="A6822" s="32"/>
    </row>
    <row r="6823" spans="1:1">
      <c r="A6823" s="32"/>
    </row>
    <row r="6824" spans="1:1">
      <c r="A6824" s="32"/>
    </row>
    <row r="6825" spans="1:1">
      <c r="A6825" s="32"/>
    </row>
    <row r="6826" spans="1:1">
      <c r="A6826" s="32"/>
    </row>
    <row r="6827" spans="1:1">
      <c r="A6827" s="32"/>
    </row>
    <row r="6828" spans="1:1">
      <c r="A6828" s="32"/>
    </row>
    <row r="6829" spans="1:1">
      <c r="A6829" s="32"/>
    </row>
    <row r="6830" spans="1:1">
      <c r="A6830" s="32"/>
    </row>
    <row r="6831" spans="1:1">
      <c r="A6831" s="32"/>
    </row>
    <row r="6832" spans="1:1">
      <c r="A6832" s="32"/>
    </row>
    <row r="6833" spans="1:1">
      <c r="A6833" s="32"/>
    </row>
    <row r="6834" spans="1:1">
      <c r="A6834" s="32"/>
    </row>
    <row r="6835" spans="1:1">
      <c r="A6835" s="32"/>
    </row>
    <row r="6836" spans="1:1">
      <c r="A6836" s="32"/>
    </row>
    <row r="6837" spans="1:1">
      <c r="A6837" s="32"/>
    </row>
    <row r="6838" spans="1:1">
      <c r="A6838" s="32"/>
    </row>
    <row r="6839" spans="1:1">
      <c r="A6839" s="32"/>
    </row>
    <row r="6840" spans="1:1">
      <c r="A6840" s="32"/>
    </row>
    <row r="6841" spans="1:1">
      <c r="A6841" s="32"/>
    </row>
    <row r="6842" spans="1:1">
      <c r="A6842" s="32"/>
    </row>
    <row r="6843" spans="1:1">
      <c r="A6843" s="32"/>
    </row>
    <row r="6844" spans="1:1">
      <c r="A6844" s="32"/>
    </row>
    <row r="6845" spans="1:1">
      <c r="A6845" s="32"/>
    </row>
    <row r="6846" spans="1:1">
      <c r="A6846" s="32"/>
    </row>
    <row r="6847" spans="1:1">
      <c r="A6847" s="32"/>
    </row>
    <row r="6848" spans="1:1">
      <c r="A6848" s="32"/>
    </row>
    <row r="6849" spans="1:1">
      <c r="A6849" s="32"/>
    </row>
    <row r="6850" spans="1:1">
      <c r="A6850" s="32"/>
    </row>
    <row r="6851" spans="1:1">
      <c r="A6851" s="32"/>
    </row>
    <row r="6852" spans="1:1">
      <c r="A6852" s="32"/>
    </row>
    <row r="6853" spans="1:1">
      <c r="A6853" s="32"/>
    </row>
    <row r="6854" spans="1:1">
      <c r="A6854" s="32"/>
    </row>
    <row r="6855" spans="1:1">
      <c r="A6855" s="32"/>
    </row>
    <row r="6856" spans="1:1">
      <c r="A6856" s="32"/>
    </row>
    <row r="6857" spans="1:1">
      <c r="A6857" s="32"/>
    </row>
    <row r="6858" spans="1:1">
      <c r="A6858" s="32"/>
    </row>
    <row r="6859" spans="1:1">
      <c r="A6859" s="32"/>
    </row>
    <row r="6860" spans="1:1">
      <c r="A6860" s="32"/>
    </row>
    <row r="6861" spans="1:1">
      <c r="A6861" s="32"/>
    </row>
    <row r="6862" spans="1:1">
      <c r="A6862" s="32"/>
    </row>
    <row r="6863" spans="1:1">
      <c r="A6863" s="32"/>
    </row>
    <row r="6864" spans="1:1">
      <c r="A6864" s="32"/>
    </row>
    <row r="6865" spans="1:1">
      <c r="A6865" s="32"/>
    </row>
    <row r="6866" spans="1:1">
      <c r="A6866" s="32"/>
    </row>
    <row r="6867" spans="1:1">
      <c r="A6867" s="32"/>
    </row>
    <row r="6868" spans="1:1">
      <c r="A6868" s="32"/>
    </row>
    <row r="6869" spans="1:1">
      <c r="A6869" s="32"/>
    </row>
    <row r="6870" spans="1:1">
      <c r="A6870" s="32"/>
    </row>
    <row r="6871" spans="1:1">
      <c r="A6871" s="32"/>
    </row>
    <row r="6872" spans="1:1">
      <c r="A6872" s="32"/>
    </row>
    <row r="6873" spans="1:1">
      <c r="A6873" s="32"/>
    </row>
    <row r="6874" spans="1:1">
      <c r="A6874" s="32"/>
    </row>
    <row r="6875" spans="1:1">
      <c r="A6875" s="32"/>
    </row>
    <row r="6876" spans="1:1">
      <c r="A6876" s="32"/>
    </row>
    <row r="6877" spans="1:1">
      <c r="A6877" s="32"/>
    </row>
    <row r="6878" spans="1:1">
      <c r="A6878" s="32"/>
    </row>
    <row r="6879" spans="1:1">
      <c r="A6879" s="32"/>
    </row>
    <row r="6880" spans="1:1">
      <c r="A6880" s="32"/>
    </row>
    <row r="6881" spans="1:1">
      <c r="A6881" s="32"/>
    </row>
    <row r="6882" spans="1:1">
      <c r="A6882" s="32"/>
    </row>
    <row r="6883" spans="1:1">
      <c r="A6883" s="32"/>
    </row>
    <row r="6884" spans="1:1">
      <c r="A6884" s="32"/>
    </row>
    <row r="6885" spans="1:1">
      <c r="A6885" s="32"/>
    </row>
    <row r="6886" spans="1:1">
      <c r="A6886" s="32"/>
    </row>
    <row r="6887" spans="1:1">
      <c r="A6887" s="32"/>
    </row>
    <row r="6888" spans="1:1">
      <c r="A6888" s="32"/>
    </row>
    <row r="6889" spans="1:1">
      <c r="A6889" s="32"/>
    </row>
    <row r="6890" spans="1:1">
      <c r="A6890" s="32"/>
    </row>
    <row r="6891" spans="1:1">
      <c r="A6891" s="32"/>
    </row>
    <row r="6892" spans="1:1">
      <c r="A6892" s="32"/>
    </row>
    <row r="6893" spans="1:1">
      <c r="A6893" s="32"/>
    </row>
    <row r="6894" spans="1:1">
      <c r="A6894" s="32"/>
    </row>
    <row r="6895" spans="1:1">
      <c r="A6895" s="32"/>
    </row>
    <row r="6896" spans="1:1">
      <c r="A6896" s="32"/>
    </row>
    <row r="6897" spans="1:1">
      <c r="A6897" s="32"/>
    </row>
    <row r="6898" spans="1:1">
      <c r="A6898" s="32"/>
    </row>
    <row r="6899" spans="1:1">
      <c r="A6899" s="32"/>
    </row>
    <row r="6900" spans="1:1">
      <c r="A6900" s="32"/>
    </row>
    <row r="6901" spans="1:1">
      <c r="A6901" s="32"/>
    </row>
    <row r="6902" spans="1:1">
      <c r="A6902" s="32"/>
    </row>
    <row r="6903" spans="1:1">
      <c r="A6903" s="32"/>
    </row>
    <row r="6904" spans="1:1">
      <c r="A6904" s="32"/>
    </row>
    <row r="6905" spans="1:1">
      <c r="A6905" s="32"/>
    </row>
    <row r="6906" spans="1:1">
      <c r="A6906" s="32"/>
    </row>
    <row r="6907" spans="1:1">
      <c r="A6907" s="32"/>
    </row>
    <row r="6908" spans="1:1">
      <c r="A6908" s="32"/>
    </row>
    <row r="6909" spans="1:1">
      <c r="A6909" s="32"/>
    </row>
    <row r="6910" spans="1:1">
      <c r="A6910" s="32"/>
    </row>
    <row r="6911" spans="1:1">
      <c r="A6911" s="32"/>
    </row>
    <row r="6912" spans="1:1">
      <c r="A6912" s="32"/>
    </row>
    <row r="6913" spans="1:1">
      <c r="A6913" s="32"/>
    </row>
    <row r="6914" spans="1:1">
      <c r="A6914" s="32"/>
    </row>
    <row r="6915" spans="1:1">
      <c r="A6915" s="32"/>
    </row>
    <row r="6916" spans="1:1">
      <c r="A6916" s="32"/>
    </row>
    <row r="6917" spans="1:1">
      <c r="A6917" s="32"/>
    </row>
    <row r="6918" spans="1:1">
      <c r="A6918" s="32"/>
    </row>
    <row r="6919" spans="1:1">
      <c r="A6919" s="32"/>
    </row>
    <row r="6920" spans="1:1">
      <c r="A6920" s="32"/>
    </row>
    <row r="6921" spans="1:1">
      <c r="A6921" s="32"/>
    </row>
    <row r="6922" spans="1:1">
      <c r="A6922" s="32"/>
    </row>
    <row r="6923" spans="1:1">
      <c r="A6923" s="32"/>
    </row>
    <row r="6924" spans="1:1">
      <c r="A6924" s="32"/>
    </row>
    <row r="6925" spans="1:1">
      <c r="A6925" s="32"/>
    </row>
    <row r="6926" spans="1:1">
      <c r="A6926" s="32"/>
    </row>
    <row r="6927" spans="1:1">
      <c r="A6927" s="32"/>
    </row>
    <row r="6928" spans="1:1">
      <c r="A6928" s="32"/>
    </row>
    <row r="6929" spans="1:1">
      <c r="A6929" s="32"/>
    </row>
    <row r="6930" spans="1:1">
      <c r="A6930" s="32"/>
    </row>
    <row r="6931" spans="1:1">
      <c r="A6931" s="32"/>
    </row>
    <row r="6932" spans="1:1">
      <c r="A6932" s="32"/>
    </row>
    <row r="6933" spans="1:1">
      <c r="A6933" s="32"/>
    </row>
    <row r="6934" spans="1:1">
      <c r="A6934" s="32"/>
    </row>
    <row r="6935" spans="1:1">
      <c r="A6935" s="32"/>
    </row>
    <row r="6936" spans="1:1">
      <c r="A6936" s="32"/>
    </row>
    <row r="6937" spans="1:1">
      <c r="A6937" s="32"/>
    </row>
    <row r="6938" spans="1:1">
      <c r="A6938" s="32"/>
    </row>
    <row r="6939" spans="1:1">
      <c r="A6939" s="32"/>
    </row>
    <row r="6940" spans="1:1">
      <c r="A6940" s="32"/>
    </row>
    <row r="6941" spans="1:1">
      <c r="A6941" s="32"/>
    </row>
    <row r="6942" spans="1:1">
      <c r="A6942" s="32"/>
    </row>
    <row r="6943" spans="1:1">
      <c r="A6943" s="32"/>
    </row>
    <row r="6944" spans="1:1">
      <c r="A6944" s="32"/>
    </row>
    <row r="6945" spans="1:1">
      <c r="A6945" s="32"/>
    </row>
    <row r="6946" spans="1:1">
      <c r="A6946" s="32"/>
    </row>
    <row r="6947" spans="1:1">
      <c r="A6947" s="32"/>
    </row>
    <row r="6948" spans="1:1">
      <c r="A6948" s="32"/>
    </row>
    <row r="6949" spans="1:1">
      <c r="A6949" s="32"/>
    </row>
    <row r="6950" spans="1:1">
      <c r="A6950" s="32"/>
    </row>
    <row r="6951" spans="1:1">
      <c r="A6951" s="32"/>
    </row>
    <row r="6952" spans="1:1">
      <c r="A6952" s="32"/>
    </row>
    <row r="6953" spans="1:1">
      <c r="A6953" s="32"/>
    </row>
    <row r="6954" spans="1:1">
      <c r="A6954" s="32"/>
    </row>
    <row r="6955" spans="1:1">
      <c r="A6955" s="32"/>
    </row>
    <row r="6956" spans="1:1">
      <c r="A6956" s="32"/>
    </row>
    <row r="6957" spans="1:1">
      <c r="A6957" s="32"/>
    </row>
    <row r="6958" spans="1:1">
      <c r="A6958" s="32"/>
    </row>
    <row r="6959" spans="1:1">
      <c r="A6959" s="32"/>
    </row>
    <row r="6960" spans="1:1">
      <c r="A6960" s="32"/>
    </row>
    <row r="6961" spans="1:1">
      <c r="A6961" s="32"/>
    </row>
    <row r="6962" spans="1:1">
      <c r="A6962" s="32"/>
    </row>
    <row r="6963" spans="1:1">
      <c r="A6963" s="32"/>
    </row>
    <row r="6964" spans="1:1">
      <c r="A6964" s="32"/>
    </row>
    <row r="6965" spans="1:1">
      <c r="A6965" s="32"/>
    </row>
    <row r="6966" spans="1:1">
      <c r="A6966" s="32"/>
    </row>
    <row r="6967" spans="1:1">
      <c r="A6967" s="32"/>
    </row>
    <row r="6968" spans="1:1">
      <c r="A6968" s="32"/>
    </row>
    <row r="6969" spans="1:1">
      <c r="A6969" s="32"/>
    </row>
    <row r="6970" spans="1:1">
      <c r="A6970" s="32"/>
    </row>
    <row r="6971" spans="1:1">
      <c r="A6971" s="32"/>
    </row>
    <row r="6972" spans="1:1">
      <c r="A6972" s="32"/>
    </row>
    <row r="6973" spans="1:1">
      <c r="A6973" s="32"/>
    </row>
    <row r="6974" spans="1:1">
      <c r="A6974" s="32"/>
    </row>
    <row r="6975" spans="1:1">
      <c r="A6975" s="32"/>
    </row>
    <row r="6976" spans="1:1">
      <c r="A6976" s="32"/>
    </row>
    <row r="6977" spans="1:1">
      <c r="A6977" s="32"/>
    </row>
    <row r="6978" spans="1:1">
      <c r="A6978" s="32"/>
    </row>
    <row r="6979" spans="1:1">
      <c r="A6979" s="32"/>
    </row>
    <row r="6980" spans="1:1">
      <c r="A6980" s="32"/>
    </row>
    <row r="6981" spans="1:1">
      <c r="A6981" s="32"/>
    </row>
  </sheetData>
  <mergeCells count="1">
    <mergeCell ref="B2:V2"/>
  </mergeCells>
  <conditionalFormatting sqref="B10:V2998">
    <cfRule type="expression" dxfId="157" priority="590">
      <formula>$D10="Cancel-Decline"</formula>
    </cfRule>
    <cfRule type="expression" dxfId="156" priority="591">
      <formula>$D10="Funded"</formula>
    </cfRule>
    <cfRule type="expression" dxfId="155" priority="592">
      <formula>$D10="Conditionally Approved"</formula>
    </cfRule>
    <cfRule type="expression" dxfId="154" priority="593">
      <formula>$D10="Quote Sent"</formula>
    </cfRule>
    <cfRule type="expression" dxfId="153" priority="594">
      <formula>$D10="Potential Cancel"</formula>
    </cfRule>
    <cfRule type="expression" dxfId="152" priority="595">
      <formula>$D10="Suspended-Restructure"</formula>
    </cfRule>
    <cfRule type="expression" dxfId="151" priority="596">
      <formula>$D10="Clear to Close"</formula>
    </cfRule>
    <cfRule type="expression" dxfId="150" priority="597">
      <formula>$D10="Submitted to Underwriting"</formula>
    </cfRule>
    <cfRule type="expression" dxfId="149" priority="598">
      <formula>$D10="Responded"</formula>
    </cfRule>
    <cfRule type="expression" dxfId="148" priority="599">
      <formula>$D10="Locked!"</formula>
    </cfRule>
    <cfRule type="expression" dxfId="147" priority="600">
      <formula>$D10="E-signed!"</formula>
    </cfRule>
    <cfRule type="expression" dxfId="146" priority="601">
      <formula>$D10="Docs Received!"</formula>
    </cfRule>
    <cfRule type="expression" dxfId="145" priority="602">
      <formula>$D10="Disclosures Going Out..."</formula>
    </cfRule>
    <cfRule type="expression" dxfId="144" priority="603">
      <formula>$D10="Disclosures Sent!"</formula>
    </cfRule>
    <cfRule type="expression" dxfId="143" priority="604">
      <formula>$D10="FIGURE - Link Sent!"</formula>
    </cfRule>
    <cfRule type="expression" dxfId="142" priority="605">
      <formula>$D10="Hard Money Opportunity"</formula>
    </cfRule>
    <cfRule type="expression" dxfId="141" priority="606">
      <formula>$D10="Communicating..."</formula>
    </cfRule>
    <cfRule type="expression" dxfId="140" priority="607">
      <formula>$D10="Not Interested"</formula>
    </cfRule>
    <cfRule type="expression" dxfId="139" priority="608">
      <formula>$D10="APP - Pitched &gt; Follow up"</formula>
    </cfRule>
    <cfRule type="expression" dxfId="138" priority="609">
      <formula>$D10="Appt Scheduled"</formula>
    </cfRule>
    <cfRule type="expression" dxfId="137" priority="610">
      <formula>$D10="Reverse Mortgage Opportunity"</formula>
    </cfRule>
    <cfRule type="expression" dxfId="136" priority="611">
      <formula>$D10="Purchase"</formula>
    </cfRule>
    <cfRule type="expression" dxfId="135" priority="612">
      <formula>$D10="Verified Approval Letter"</formula>
    </cfRule>
    <cfRule type="expression" dxfId="134" priority="613">
      <formula>$D10="*Thinking about it*"</formula>
    </cfRule>
    <cfRule type="expression" dxfId="133" priority="614">
      <formula>$D10="DNQ"</formula>
    </cfRule>
    <cfRule type="expression" dxfId="132" priority="615">
      <formula>$D10="Commercial/Business Loan"</formula>
    </cfRule>
    <cfRule type="expression" dxfId="131" priority="616">
      <formula>$D10="Credit - Wayfinder"</formula>
    </cfRule>
    <cfRule type="expression" dxfId="130" priority="617">
      <formula>$D10="Match or Beat"</formula>
    </cfRule>
    <cfRule type="expression" dxfId="129" priority="618">
      <formula>$D10="Future Deal"</formula>
    </cfRule>
    <cfRule type="expression" dxfId="128" priority="619">
      <formula>$D10="Prospect -Email Sent"</formula>
    </cfRule>
    <cfRule type="expression" dxfId="127" priority="620">
      <formula>$D10="STOP!"</formula>
    </cfRule>
    <cfRule type="expression" dxfId="126" priority="621">
      <formula>$D10="No Benefit"</formula>
    </cfRule>
    <cfRule type="expression" dxfId="125" priority="622">
      <formula>$D10="Went With Another Lender"</formula>
    </cfRule>
    <cfRule type="expression" dxfId="124" priority="623">
      <formula>$D10="LOCKED!"</formula>
    </cfRule>
    <cfRule type="expression" dxfId="123" priority="624">
      <formula>$D10="APP - Pitched &gt; Follow Up!"</formula>
    </cfRule>
    <cfRule type="expression" dxfId="122" priority="625">
      <formula>$D10="Prospect - Appt Scheduled"</formula>
    </cfRule>
    <cfRule type="expression" dxfId="121" priority="626">
      <formula>$D10="Appt Scheduled"</formula>
    </cfRule>
  </conditionalFormatting>
  <conditionalFormatting sqref="B4:V8">
    <cfRule type="expression" dxfId="120" priority="1">
      <formula>$D4="Cancel-Decline"</formula>
    </cfRule>
    <cfRule type="expression" dxfId="119" priority="2">
      <formula>$D4="Funded"</formula>
    </cfRule>
    <cfRule type="expression" dxfId="118" priority="3">
      <formula>$D4="Conditionally Approved"</formula>
    </cfRule>
    <cfRule type="expression" dxfId="117" priority="4">
      <formula>$D4="Quote Sent"</formula>
    </cfRule>
    <cfRule type="expression" dxfId="116" priority="5">
      <formula>$D4="Potential Cancel"</formula>
    </cfRule>
    <cfRule type="expression" dxfId="115" priority="6">
      <formula>$D4="Suspended-Restructure"</formula>
    </cfRule>
    <cfRule type="expression" dxfId="114" priority="7">
      <formula>$D4="Clear to Close"</formula>
    </cfRule>
    <cfRule type="expression" dxfId="113" priority="8">
      <formula>$D4="Submitted to Underwriting"</formula>
    </cfRule>
    <cfRule type="expression" dxfId="112" priority="9">
      <formula>$D4="Responded"</formula>
    </cfRule>
    <cfRule type="expression" dxfId="111" priority="10">
      <formula>$D4="Locked!"</formula>
    </cfRule>
    <cfRule type="expression" dxfId="110" priority="11">
      <formula>$D4="E-signed!"</formula>
    </cfRule>
    <cfRule type="expression" dxfId="109" priority="12">
      <formula>$D4="Docs Received!"</formula>
    </cfRule>
    <cfRule type="expression" dxfId="108" priority="13">
      <formula>$D4="Disclosures Going Out..."</formula>
    </cfRule>
    <cfRule type="expression" dxfId="107" priority="14">
      <formula>$D4="Disclosures Sent!"</formula>
    </cfRule>
    <cfRule type="expression" dxfId="106" priority="15">
      <formula>$D4="FIGURE - Link Sent!"</formula>
    </cfRule>
    <cfRule type="expression" dxfId="105" priority="16">
      <formula>$D4="Hard Money Opportunity"</formula>
    </cfRule>
    <cfRule type="expression" dxfId="104" priority="17">
      <formula>$D4="Communicating..."</formula>
    </cfRule>
    <cfRule type="expression" dxfId="103" priority="18">
      <formula>$D4="Not Interested"</formula>
    </cfRule>
    <cfRule type="expression" dxfId="102" priority="19">
      <formula>$D4="APP - Pitched &gt; Follow up"</formula>
    </cfRule>
    <cfRule type="expression" dxfId="101" priority="20">
      <formula>$D4="Appt Scheduled"</formula>
    </cfRule>
    <cfRule type="expression" dxfId="100" priority="21">
      <formula>$D4="Reverse Mortgage Opportunity"</formula>
    </cfRule>
    <cfRule type="expression" dxfId="99" priority="22">
      <formula>$D4="Purchase"</formula>
    </cfRule>
    <cfRule type="expression" dxfId="98" priority="23">
      <formula>$D4="Verified Approval Letter"</formula>
    </cfRule>
    <cfRule type="expression" dxfId="97" priority="24">
      <formula>$D4="*Thinking about it*"</formula>
    </cfRule>
    <cfRule type="expression" dxfId="96" priority="25">
      <formula>$D4="DNQ"</formula>
    </cfRule>
    <cfRule type="expression" dxfId="95" priority="26">
      <formula>$D4="Commercial/Business Loan"</formula>
    </cfRule>
    <cfRule type="expression" dxfId="94" priority="27">
      <formula>$D4="Credit - Wayfinder"</formula>
    </cfRule>
    <cfRule type="expression" dxfId="93" priority="28">
      <formula>$D4="Match or Beat"</formula>
    </cfRule>
    <cfRule type="expression" dxfId="92" priority="29">
      <formula>$D4="Future Deal"</formula>
    </cfRule>
    <cfRule type="expression" dxfId="91" priority="30">
      <formula>$D4="Prospect -Email Sent"</formula>
    </cfRule>
    <cfRule type="expression" dxfId="90" priority="31">
      <formula>$D4="STOP!"</formula>
    </cfRule>
    <cfRule type="expression" dxfId="89" priority="32">
      <formula>$D4="No Benefit"</formula>
    </cfRule>
    <cfRule type="expression" dxfId="88" priority="33">
      <formula>$D4="Went With Another Lender"</formula>
    </cfRule>
    <cfRule type="expression" dxfId="87" priority="34">
      <formula>$D4="LOCKED!"</formula>
    </cfRule>
    <cfRule type="expression" dxfId="86" priority="35">
      <formula>$D4="APP - Pitched &gt; Follow Up!"</formula>
    </cfRule>
    <cfRule type="expression" dxfId="85" priority="36">
      <formula>$D4="Prospect - Appt Scheduled"</formula>
    </cfRule>
    <cfRule type="expression" dxfId="84" priority="37">
      <formula>$D4="Appt Scheduled"</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0000000}">
          <x14:formula1>
            <xm:f>WCL!$B$1:$B$47</xm:f>
          </x14:formula1>
          <xm:sqref>D4:D8 D10:D3043</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3"/>
  <dimension ref="A1:U1000"/>
  <sheetViews>
    <sheetView topLeftCell="A2" zoomScaleNormal="100" workbookViewId="0">
      <selection activeCell="F20" sqref="F20"/>
    </sheetView>
  </sheetViews>
  <sheetFormatPr defaultRowHeight="14.4"/>
  <cols>
    <col min="1" max="1" width="27.6640625" style="135" customWidth="1"/>
    <col min="2" max="2" width="1.44140625" style="138" customWidth="1"/>
    <col min="3" max="3" width="1.6640625" hidden="1" customWidth="1"/>
    <col min="4" max="4" width="19.44140625" style="136" customWidth="1"/>
    <col min="5" max="5" width="11.33203125" style="136" bestFit="1" customWidth="1"/>
    <col min="6" max="6" width="12" style="136" bestFit="1" customWidth="1"/>
    <col min="7" max="7" width="9.44140625" style="136" bestFit="1" customWidth="1"/>
    <col min="8" max="8" width="13.33203125" style="136" bestFit="1" customWidth="1"/>
    <col min="9" max="9" width="11" customWidth="1"/>
    <col min="12" max="17" width="0" hidden="1" customWidth="1"/>
    <col min="18" max="18" width="32.109375" bestFit="1" customWidth="1"/>
    <col min="19" max="19" width="4.6640625" hidden="1" customWidth="1"/>
    <col min="20" max="20" width="12.6640625" customWidth="1"/>
    <col min="21" max="21" width="12.88671875" customWidth="1"/>
  </cols>
  <sheetData>
    <row r="1" spans="1:21" ht="15" hidden="1" thickBot="1">
      <c r="A1"/>
      <c r="D1"/>
      <c r="E1"/>
      <c r="F1"/>
      <c r="G1"/>
      <c r="H1"/>
      <c r="J1" t="s">
        <v>174</v>
      </c>
      <c r="K1" t="s">
        <v>175</v>
      </c>
    </row>
    <row r="2" spans="1:21" ht="27.6" thickBot="1">
      <c r="A2" s="133"/>
      <c r="C2" s="130" t="s">
        <v>0</v>
      </c>
      <c r="D2" s="130" t="s">
        <v>162</v>
      </c>
      <c r="E2" s="130" t="s">
        <v>163</v>
      </c>
      <c r="F2" s="130" t="s">
        <v>132</v>
      </c>
      <c r="G2" s="130" t="s">
        <v>165</v>
      </c>
      <c r="H2" s="137" t="s">
        <v>201</v>
      </c>
      <c r="I2" s="97" t="s">
        <v>133</v>
      </c>
      <c r="R2" s="139" t="s">
        <v>134</v>
      </c>
      <c r="S2" s="139"/>
      <c r="T2" s="139" t="s">
        <v>132</v>
      </c>
      <c r="U2" s="139" t="s">
        <v>135</v>
      </c>
    </row>
    <row r="3" spans="1:21" ht="15.6">
      <c r="A3" s="225" t="s">
        <v>254</v>
      </c>
      <c r="D3" s="140" t="str">
        <f t="shared" ref="D3:D34" si="0">IF(INDEX($A$3:$A$1000, (ROW(D3)-ROW($D$3))*5+1) = "", "", INDEX($A$3:$A$1000, (ROW(D3)-ROW($D$3))*5+1))</f>
        <v>Company Name</v>
      </c>
      <c r="E3" s="140" t="str">
        <f t="shared" ref="E3:E34" si="1">IF(INDEX($A$3:$A$1000, (ROW(D3)-ROW($D$3))*5+2) = "", "", INDEX($A$3:$A$1000, (ROW(D3)-ROW($D$3))*5+2))</f>
        <v>Type</v>
      </c>
      <c r="F3" s="141" t="str">
        <f t="shared" ref="F3:F34" si="2">IF(INDEX($A$3:$A$1000, (ROW(D3)-ROW($D$3))*5+4) = "", "", INDEX($A$3:$A$1000, (ROW(D3)-ROW($D$3))*5+4))</f>
        <v>Balance</v>
      </c>
      <c r="G3" s="141" t="str">
        <f t="shared" ref="G3:G34" si="3">IF(INDEX($A$3:$A$1000, (ROW(D3)-ROW($D$3))*5+3) = "", "", INDEX($A$3:$A$1000, (ROW(D3)-ROW($D$3))*5+3))</f>
        <v>Payment</v>
      </c>
      <c r="H3" s="141" t="str">
        <f t="shared" ref="H3:H34" si="4">IF(INDEX($A$3:$A$1000, (ROW(D3)-ROW($D$3))*5+5) = "", "", INDEX($A$3:$A$1000, (ROW(D3)-ROW($D$3))*5+5))</f>
        <v>Source</v>
      </c>
      <c r="I3" s="98" t="s">
        <v>174</v>
      </c>
      <c r="R3" t="str">
        <f t="array" ref="R3">IFERROR(INDEX(D$2:D$100, SMALL(IF($I$2:$I$100="YES", ROW($I$2:$I$100)-MIN(ROW($I$2:$I$100))+1), ROW(1:1))), " ")</f>
        <v>Company Name</v>
      </c>
      <c r="S3" t="str">
        <f t="array" ref="S3">IFERROR(INDEX(E$2:E$100, SMALL(IF($I$2:$I$100="YES", ROW($I$2:$I$100)-MIN(ROW($I$2:$I$100))+1), ROW(1:1))), " ")</f>
        <v>Type</v>
      </c>
      <c r="T3" t="str">
        <f t="array" ref="T3">IFERROR(INDEX(F$2:F$100, SMALL(IF($I$2:$I$100="YES", ROW($I$2:$I$100)-MIN(ROW($I$2:$I$100))+1), ROW(1:1))), " ")</f>
        <v>Balance</v>
      </c>
      <c r="U3" t="str">
        <f t="array" ref="U3">IFERROR(INDEX(G$2:G$100, SMALL(IF($I$2:$I$100="YES", ROW($I$2:$I$100)-MIN(ROW($I$2:$I$100))+1), ROW(1:1))), " ")</f>
        <v>Payment</v>
      </c>
    </row>
    <row r="4" spans="1:21" ht="15.6">
      <c r="A4" s="225" t="s">
        <v>163</v>
      </c>
      <c r="D4" s="140" t="str">
        <f t="shared" si="0"/>
        <v>PROVIDENT CU</v>
      </c>
      <c r="E4" s="140" t="str">
        <f t="shared" si="1"/>
        <v>Auto Loan</v>
      </c>
      <c r="F4" s="141">
        <f t="shared" si="2"/>
        <v>47781</v>
      </c>
      <c r="G4" s="141">
        <f t="shared" si="3"/>
        <v>711</v>
      </c>
      <c r="H4" s="141" t="str">
        <f t="shared" si="4"/>
        <v>Credit Report</v>
      </c>
      <c r="I4" s="98" t="s">
        <v>175</v>
      </c>
      <c r="R4" t="str">
        <f t="array" ref="R4">IFERROR(INDEX(D$2:D$100, SMALL(IF($I$2:$I$100="YES", ROW($I$2:$I$100)-MIN(ROW($I$2:$I$100))+1), ROW(2:2))), " ")</f>
        <v>MOHELA/DOFED</v>
      </c>
      <c r="S4" t="str">
        <f t="array" ref="S4">IFERROR(INDEX(E$2:E$100, SMALL(IF($I$2:$I$100="YES", ROW($I$2:$I$100)-MIN(ROW($I$2:$I$100))+1), ROW(2:2))), " ")</f>
        <v>Student Loan</v>
      </c>
      <c r="T4">
        <f t="array" ref="T4">IFERROR(INDEX(F$2:F$100, SMALL(IF($I$2:$I$100="YES", ROW($I$2:$I$100)-MIN(ROW($I$2:$I$100))+1), ROW(2:2))), " ")</f>
        <v>17770</v>
      </c>
      <c r="U4">
        <f t="array" ref="U4">IFERROR(INDEX(G$2:G$100, SMALL(IF($I$2:$I$100="YES", ROW($I$2:$I$100)-MIN(ROW($I$2:$I$100))+1), ROW(2:2))), " ")</f>
        <v>177.7</v>
      </c>
    </row>
    <row r="5" spans="1:21" ht="26.4">
      <c r="A5" s="225" t="s">
        <v>135</v>
      </c>
      <c r="D5" s="140" t="str">
        <f t="shared" si="0"/>
        <v>MOHELA/DOFED</v>
      </c>
      <c r="E5" s="140" t="str">
        <f t="shared" si="1"/>
        <v>Student Loan</v>
      </c>
      <c r="F5" s="141">
        <f t="shared" si="2"/>
        <v>17770</v>
      </c>
      <c r="G5" s="141">
        <f t="shared" si="3"/>
        <v>177.7</v>
      </c>
      <c r="H5" s="141" t="str">
        <f t="shared" si="4"/>
        <v>Credit Report</v>
      </c>
      <c r="I5" s="98" t="s">
        <v>174</v>
      </c>
      <c r="R5" t="str">
        <f t="array" ref="R5">IFERROR(INDEX(D$2:D$100, SMALL(IF($I$2:$I$100="YES", ROW($I$2:$I$100)-MIN(ROW($I$2:$I$100))+1), ROW(3:3))), " ")</f>
        <v>MOHELA/DOFED</v>
      </c>
      <c r="S5" t="str">
        <f t="array" ref="S5">IFERROR(INDEX(E$2:E$100, SMALL(IF($I$2:$I$100="YES", ROW($I$2:$I$100)-MIN(ROW($I$2:$I$100))+1), ROW(3:3))), " ")</f>
        <v>Student Loan</v>
      </c>
      <c r="T5">
        <f t="array" ref="T5">IFERROR(INDEX(F$2:F$100, SMALL(IF($I$2:$I$100="YES", ROW($I$2:$I$100)-MIN(ROW($I$2:$I$100))+1), ROW(3:3))), " ")</f>
        <v>18378</v>
      </c>
      <c r="U5">
        <f t="array" ref="U5">IFERROR(INDEX(G$2:G$100, SMALL(IF($I$2:$I$100="YES", ROW($I$2:$I$100)-MIN(ROW($I$2:$I$100))+1), ROW(3:3))), " ")</f>
        <v>83.78</v>
      </c>
    </row>
    <row r="6" spans="1:21" ht="26.4">
      <c r="A6" s="225" t="s">
        <v>132</v>
      </c>
      <c r="D6" s="140" t="str">
        <f t="shared" si="0"/>
        <v>MOHELA/DOFED</v>
      </c>
      <c r="E6" s="140" t="str">
        <f t="shared" si="1"/>
        <v>Student Loan</v>
      </c>
      <c r="F6" s="141">
        <f t="shared" si="2"/>
        <v>18378</v>
      </c>
      <c r="G6" s="141">
        <f t="shared" si="3"/>
        <v>83.78</v>
      </c>
      <c r="H6" s="141" t="str">
        <f t="shared" si="4"/>
        <v>Credit Report</v>
      </c>
      <c r="I6" s="98" t="s">
        <v>174</v>
      </c>
      <c r="R6" t="str">
        <f t="array" ref="R6">IFERROR(INDEX(D$2:D$100, SMALL(IF($I$2:$I$100="YES", ROW($I$2:$I$100)-MIN(ROW($I$2:$I$100))+1), ROW(4:4))), " ")</f>
        <v xml:space="preserve"> </v>
      </c>
      <c r="S6" t="str">
        <f t="array" ref="S6">IFERROR(INDEX(E$2:E$100, SMALL(IF($I$2:$I$100="YES", ROW($I$2:$I$100)-MIN(ROW($I$2:$I$100))+1), ROW(4:4))), " ")</f>
        <v xml:space="preserve"> </v>
      </c>
      <c r="T6" t="str">
        <f t="array" ref="T6">IFERROR(INDEX(F$2:F$100, SMALL(IF($I$2:$I$100="YES", ROW($I$2:$I$100)-MIN(ROW($I$2:$I$100))+1), ROW(4:4))), " ")</f>
        <v xml:space="preserve"> </v>
      </c>
      <c r="U6" t="str">
        <f t="array" ref="U6">IFERROR(INDEX(G$2:G$100, SMALL(IF($I$2:$I$100="YES", ROW($I$2:$I$100)-MIN(ROW($I$2:$I$100))+1), ROW(4:4))), " ")</f>
        <v xml:space="preserve"> </v>
      </c>
    </row>
    <row r="7" spans="1:21" ht="15.6">
      <c r="A7" s="225" t="s">
        <v>201</v>
      </c>
      <c r="D7" s="140" t="str">
        <f t="shared" si="0"/>
        <v>JPMCB CARD</v>
      </c>
      <c r="E7" s="140" t="str">
        <f t="shared" si="1"/>
        <v>Revolving</v>
      </c>
      <c r="F7" s="141">
        <f t="shared" si="2"/>
        <v>781</v>
      </c>
      <c r="G7" s="141">
        <f t="shared" si="3"/>
        <v>40</v>
      </c>
      <c r="H7" s="141" t="str">
        <f t="shared" si="4"/>
        <v>Credit Report</v>
      </c>
      <c r="I7" s="98" t="s">
        <v>175</v>
      </c>
      <c r="R7" t="str">
        <f t="array" ref="R7">IFERROR(INDEX(D$2:D$100, SMALL(IF($I$2:$I$100="YES", ROW($I$2:$I$100)-MIN(ROW($I$2:$I$100))+1), ROW(5:5))), " ")</f>
        <v xml:space="preserve"> </v>
      </c>
      <c r="S7" t="str">
        <f t="array" ref="S7">IFERROR(INDEX(E$2:E$100, SMALL(IF($I$2:$I$100="YES", ROW($I$2:$I$100)-MIN(ROW($I$2:$I$100))+1), ROW(5:5))), " ")</f>
        <v xml:space="preserve"> </v>
      </c>
      <c r="T7" t="str">
        <f t="array" ref="T7">IFERROR(INDEX(F$2:F$100, SMALL(IF($I$2:$I$100="YES", ROW($I$2:$I$100)-MIN(ROW($I$2:$I$100))+1), ROW(5:5))), " ")</f>
        <v xml:space="preserve"> </v>
      </c>
      <c r="U7" t="str">
        <f t="array" ref="U7">IFERROR(INDEX(G$2:G$100, SMALL(IF($I$2:$I$100="YES", ROW($I$2:$I$100)-MIN(ROW($I$2:$I$100))+1), ROW(5:5))), " ")</f>
        <v xml:space="preserve"> </v>
      </c>
    </row>
    <row r="8" spans="1:21" ht="15.6">
      <c r="A8" s="225" t="s">
        <v>257</v>
      </c>
      <c r="D8" s="140" t="str">
        <f t="shared" si="0"/>
        <v>TRAVIS CU</v>
      </c>
      <c r="E8" s="140" t="str">
        <f t="shared" si="1"/>
        <v>Auto Loan</v>
      </c>
      <c r="F8" s="141">
        <f t="shared" si="2"/>
        <v>47570</v>
      </c>
      <c r="G8" s="141">
        <f t="shared" si="3"/>
        <v>838</v>
      </c>
      <c r="H8" s="141" t="str">
        <f t="shared" si="4"/>
        <v>Credit Report</v>
      </c>
      <c r="I8" s="98" t="s">
        <v>175</v>
      </c>
      <c r="R8" t="str">
        <f t="array" ref="R8">IFERROR(INDEX(D$2:D$100, SMALL(IF($I$2:$I$100="YES", ROW($I$2:$I$100)-MIN(ROW($I$2:$I$100))+1), ROW(6:6))), " ")</f>
        <v xml:space="preserve"> </v>
      </c>
      <c r="S8" t="str">
        <f t="array" ref="S8">IFERROR(INDEX(E$2:E$100, SMALL(IF($I$2:$I$100="YES", ROW($I$2:$I$100)-MIN(ROW($I$2:$I$100))+1), ROW(6:6))), " ")</f>
        <v xml:space="preserve"> </v>
      </c>
      <c r="T8" t="str">
        <f t="array" ref="T8">IFERROR(INDEX(F$2:F$100, SMALL(IF($I$2:$I$100="YES", ROW($I$2:$I$100)-MIN(ROW($I$2:$I$100))+1), ROW(6:6))), " ")</f>
        <v xml:space="preserve"> </v>
      </c>
      <c r="U8" t="str">
        <f t="array" ref="U8">IFERROR(INDEX(G$2:G$100, SMALL(IF($I$2:$I$100="YES", ROW($I$2:$I$100)-MIN(ROW($I$2:$I$100))+1), ROW(6:6))), " ")</f>
        <v xml:space="preserve"> </v>
      </c>
    </row>
    <row r="9" spans="1:21" ht="15.6">
      <c r="A9" s="225" t="s">
        <v>256</v>
      </c>
      <c r="D9" s="140" t="str">
        <f t="shared" si="0"/>
        <v>WFBNA CARD</v>
      </c>
      <c r="E9" s="140" t="str">
        <f t="shared" si="1"/>
        <v>Revolving</v>
      </c>
      <c r="F9" s="141">
        <f t="shared" si="2"/>
        <v>343</v>
      </c>
      <c r="G9" s="141">
        <f t="shared" si="3"/>
        <v>25</v>
      </c>
      <c r="H9" s="141" t="str">
        <f t="shared" si="4"/>
        <v>Credit Report</v>
      </c>
      <c r="I9" s="98" t="s">
        <v>175</v>
      </c>
      <c r="R9" t="str">
        <f t="array" ref="R9">IFERROR(INDEX(D$2:D$100, SMALL(IF($I$2:$I$100="YES", ROW($I$2:$I$100)-MIN(ROW($I$2:$I$100))+1), ROW(7:7))), " ")</f>
        <v xml:space="preserve"> </v>
      </c>
      <c r="S9" t="str">
        <f t="array" ref="S9">IFERROR(INDEX(E$2:E$100, SMALL(IF($I$2:$I$100="YES", ROW($I$2:$I$100)-MIN(ROW($I$2:$I$100))+1), ROW(7:7))), " ")</f>
        <v xml:space="preserve"> </v>
      </c>
      <c r="T9" t="str">
        <f t="array" ref="T9">IFERROR(INDEX(F$2:F$100, SMALL(IF($I$2:$I$100="YES", ROW($I$2:$I$100)-MIN(ROW($I$2:$I$100))+1), ROW(7:7))), " ")</f>
        <v xml:space="preserve"> </v>
      </c>
      <c r="U9" t="str">
        <f t="array" ref="U9">IFERROR(INDEX(G$2:G$100, SMALL(IF($I$2:$I$100="YES", ROW($I$2:$I$100)-MIN(ROW($I$2:$I$100))+1), ROW(7:7))), " ")</f>
        <v xml:space="preserve"> </v>
      </c>
    </row>
    <row r="10" spans="1:21" ht="26.4">
      <c r="A10" s="226">
        <v>711</v>
      </c>
      <c r="D10" s="140" t="str">
        <f t="shared" si="0"/>
        <v>FIRSTMARK</v>
      </c>
      <c r="E10" s="140" t="str">
        <f t="shared" si="1"/>
        <v>Student Loan</v>
      </c>
      <c r="F10" s="141">
        <f t="shared" si="2"/>
        <v>5849</v>
      </c>
      <c r="G10" s="141">
        <f t="shared" si="3"/>
        <v>58.49</v>
      </c>
      <c r="H10" s="141" t="str">
        <f t="shared" si="4"/>
        <v>Credit Report</v>
      </c>
      <c r="I10" s="98" t="s">
        <v>175</v>
      </c>
      <c r="R10" t="str">
        <f t="array" ref="R10">IFERROR(INDEX(D$2:D$100, SMALL(IF($I$2:$I$100="YES", ROW($I$2:$I$100)-MIN(ROW($I$2:$I$100))+1), ROW(8:8))), " ")</f>
        <v xml:space="preserve"> </v>
      </c>
      <c r="S10" t="str">
        <f t="array" ref="S10">IFERROR(INDEX(E$2:E$100, SMALL(IF($I$2:$I$100="YES", ROW($I$2:$I$100)-MIN(ROW($I$2:$I$100))+1), ROW(8:8))), " ")</f>
        <v xml:space="preserve"> </v>
      </c>
      <c r="T10" t="str">
        <f t="array" ref="T10">IFERROR(INDEX(F$2:F$100, SMALL(IF($I$2:$I$100="YES", ROW($I$2:$I$100)-MIN(ROW($I$2:$I$100))+1), ROW(8:8))), " ")</f>
        <v xml:space="preserve"> </v>
      </c>
      <c r="U10" t="str">
        <f t="array" ref="U10">IFERROR(INDEX(G$2:G$100, SMALL(IF($I$2:$I$100="YES", ROW($I$2:$I$100)-MIN(ROW($I$2:$I$100))+1), ROW(8:8))), " ")</f>
        <v xml:space="preserve"> </v>
      </c>
    </row>
    <row r="11" spans="1:21" ht="26.4">
      <c r="A11" s="226">
        <v>47781</v>
      </c>
      <c r="D11" s="140" t="str">
        <f t="shared" si="0"/>
        <v>FM/CITIZENS</v>
      </c>
      <c r="E11" s="140" t="str">
        <f t="shared" si="1"/>
        <v>Student Loan</v>
      </c>
      <c r="F11" s="141">
        <f t="shared" si="2"/>
        <v>40358</v>
      </c>
      <c r="G11" s="141">
        <f t="shared" si="3"/>
        <v>403.58</v>
      </c>
      <c r="H11" s="141" t="str">
        <f t="shared" si="4"/>
        <v>Credit Report</v>
      </c>
      <c r="I11" s="98" t="s">
        <v>175</v>
      </c>
      <c r="R11" t="str">
        <f t="array" ref="R11">IFERROR(INDEX(D$2:D$100, SMALL(IF($I$2:$I$100="YES", ROW($I$2:$I$100)-MIN(ROW($I$2:$I$100))+1), ROW(9:9))), " ")</f>
        <v xml:space="preserve"> </v>
      </c>
      <c r="S11" t="str">
        <f t="array" ref="S11">IFERROR(INDEX(E$2:E$100, SMALL(IF($I$2:$I$100="YES", ROW($I$2:$I$100)-MIN(ROW($I$2:$I$100))+1), ROW(9:9))), " ")</f>
        <v xml:space="preserve"> </v>
      </c>
      <c r="T11" t="str">
        <f t="array" ref="T11">IFERROR(INDEX(F$2:F$100, SMALL(IF($I$2:$I$100="YES", ROW($I$2:$I$100)-MIN(ROW($I$2:$I$100))+1), ROW(9:9))), " ")</f>
        <v xml:space="preserve"> </v>
      </c>
      <c r="U11" t="str">
        <f t="array" ref="U11">IFERROR(INDEX(G$2:G$100, SMALL(IF($I$2:$I$100="YES", ROW($I$2:$I$100)-MIN(ROW($I$2:$I$100))+1), ROW(9:9))), " ")</f>
        <v xml:space="preserve"> </v>
      </c>
    </row>
    <row r="12" spans="1:21" ht="15.6">
      <c r="A12" s="225" t="s">
        <v>157</v>
      </c>
      <c r="D12" s="140" t="str">
        <f t="shared" si="0"/>
        <v>TRAVIS CU</v>
      </c>
      <c r="E12" s="140" t="str">
        <f t="shared" si="1"/>
        <v>Auto Loan</v>
      </c>
      <c r="F12" s="141">
        <f t="shared" si="2"/>
        <v>47989</v>
      </c>
      <c r="G12" s="141">
        <f t="shared" si="3"/>
        <v>842</v>
      </c>
      <c r="H12" s="141" t="str">
        <f t="shared" si="4"/>
        <v>Credit Report</v>
      </c>
      <c r="I12" s="98" t="s">
        <v>175</v>
      </c>
      <c r="R12" t="str">
        <f t="array" ref="R12">IFERROR(INDEX(D$2:D$100, SMALL(IF($I$2:$I$100="YES", ROW($I$2:$I$100)-MIN(ROW($I$2:$I$100))+1), ROW(10:10))), " ")</f>
        <v xml:space="preserve"> </v>
      </c>
      <c r="S12" t="str">
        <f t="array" ref="S12">IFERROR(INDEX(E$2:E$100, SMALL(IF($I$2:$I$100="YES", ROW($I$2:$I$100)-MIN(ROW($I$2:$I$100))+1), ROW(10:10))), " ")</f>
        <v xml:space="preserve"> </v>
      </c>
      <c r="T12" t="str">
        <f t="array" ref="T12">IFERROR(INDEX(F$2:F$100, SMALL(IF($I$2:$I$100="YES", ROW($I$2:$I$100)-MIN(ROW($I$2:$I$100))+1), ROW(10:10))), " ")</f>
        <v xml:space="preserve"> </v>
      </c>
      <c r="U12" t="str">
        <f t="array" ref="U12">IFERROR(INDEX(G$2:G$100, SMALL(IF($I$2:$I$100="YES", ROW($I$2:$I$100)-MIN(ROW($I$2:$I$100))+1), ROW(10:10))), " ")</f>
        <v xml:space="preserve"> </v>
      </c>
    </row>
    <row r="13" spans="1:21" ht="15.6">
      <c r="A13" s="225" t="s">
        <v>258</v>
      </c>
      <c r="D13" s="140" t="str">
        <f t="shared" si="0"/>
        <v>DISCOVER PL</v>
      </c>
      <c r="E13" s="140" t="str">
        <f t="shared" si="1"/>
        <v>Installment</v>
      </c>
      <c r="F13" s="141">
        <f t="shared" si="2"/>
        <v>11569</v>
      </c>
      <c r="G13" s="141">
        <f t="shared" si="3"/>
        <v>255</v>
      </c>
      <c r="H13" s="141" t="str">
        <f t="shared" si="4"/>
        <v>Credit Report</v>
      </c>
      <c r="I13" s="98" t="s">
        <v>175</v>
      </c>
      <c r="R13" t="str">
        <f t="array" ref="R13">IFERROR(INDEX(D$2:D$100, SMALL(IF($I$2:$I$100="YES", ROW($I$2:$I$100)-MIN(ROW($I$2:$I$100))+1), ROW(11:11))), " ")</f>
        <v xml:space="preserve"> </v>
      </c>
      <c r="S13" t="str">
        <f t="array" ref="S13">IFERROR(INDEX(E$2:E$100, SMALL(IF($I$2:$I$100="YES", ROW($I$2:$I$100)-MIN(ROW($I$2:$I$100))+1), ROW(11:11))), " ")</f>
        <v xml:space="preserve"> </v>
      </c>
      <c r="T13" t="str">
        <f t="array" ref="T13">IFERROR(INDEX(F$2:F$100, SMALL(IF($I$2:$I$100="YES", ROW($I$2:$I$100)-MIN(ROW($I$2:$I$100))+1), ROW(11:11))), " ")</f>
        <v xml:space="preserve"> </v>
      </c>
      <c r="U13" t="str">
        <f t="array" ref="U13">IFERROR(INDEX(G$2:G$100, SMALL(IF($I$2:$I$100="YES", ROW($I$2:$I$100)-MIN(ROW($I$2:$I$100))+1), ROW(11:11))), " ")</f>
        <v xml:space="preserve"> </v>
      </c>
    </row>
    <row r="14" spans="1:21" ht="15.6">
      <c r="A14" s="225" t="s">
        <v>255</v>
      </c>
      <c r="D14" s="140" t="str">
        <f t="shared" si="0"/>
        <v/>
      </c>
      <c r="E14" s="140" t="str">
        <f t="shared" si="1"/>
        <v/>
      </c>
      <c r="F14" s="141" t="str">
        <f t="shared" si="2"/>
        <v/>
      </c>
      <c r="G14" s="141" t="str">
        <f t="shared" si="3"/>
        <v/>
      </c>
      <c r="H14" s="141" t="str">
        <f t="shared" si="4"/>
        <v/>
      </c>
      <c r="I14" s="98" t="s">
        <v>175</v>
      </c>
      <c r="R14" t="str">
        <f t="array" ref="R14">IFERROR(INDEX(D$2:D$100, SMALL(IF($I$2:$I$100="YES", ROW($I$2:$I$100)-MIN(ROW($I$2:$I$100))+1), ROW(12:12))), " ")</f>
        <v xml:space="preserve"> </v>
      </c>
      <c r="S14" t="str">
        <f t="array" ref="S14">IFERROR(INDEX(E$2:E$100, SMALL(IF($I$2:$I$100="YES", ROW($I$2:$I$100)-MIN(ROW($I$2:$I$100))+1), ROW(12:12))), " ")</f>
        <v xml:space="preserve"> </v>
      </c>
      <c r="T14" t="str">
        <f t="array" ref="T14">IFERROR(INDEX(F$2:F$100, SMALL(IF($I$2:$I$100="YES", ROW($I$2:$I$100)-MIN(ROW($I$2:$I$100))+1), ROW(12:12))), " ")</f>
        <v xml:space="preserve"> </v>
      </c>
      <c r="U14" t="str">
        <f t="array" ref="U14">IFERROR(INDEX(G$2:G$100, SMALL(IF($I$2:$I$100="YES", ROW($I$2:$I$100)-MIN(ROW($I$2:$I$100))+1), ROW(12:12))), " ")</f>
        <v xml:space="preserve"> </v>
      </c>
    </row>
    <row r="15" spans="1:21" ht="15.6">
      <c r="A15" s="226">
        <v>177.7</v>
      </c>
      <c r="D15" s="140" t="str">
        <f t="shared" si="0"/>
        <v/>
      </c>
      <c r="E15" s="140" t="str">
        <f t="shared" si="1"/>
        <v/>
      </c>
      <c r="F15" s="141" t="str">
        <f t="shared" si="2"/>
        <v/>
      </c>
      <c r="G15" s="141" t="str">
        <f t="shared" si="3"/>
        <v/>
      </c>
      <c r="H15" s="141" t="str">
        <f t="shared" si="4"/>
        <v/>
      </c>
      <c r="I15" s="98" t="s">
        <v>175</v>
      </c>
      <c r="R15" t="str">
        <f t="array" ref="R15">IFERROR(INDEX(D$2:D$100, SMALL(IF($I$2:$I$100="YES", ROW($I$2:$I$100)-MIN(ROW($I$2:$I$100))+1), ROW(13:13))), " ")</f>
        <v xml:space="preserve"> </v>
      </c>
      <c r="S15" t="str">
        <f t="array" ref="S15">IFERROR(INDEX(E$2:E$100, SMALL(IF($I$2:$I$100="YES", ROW($I$2:$I$100)-MIN(ROW($I$2:$I$100))+1), ROW(13:13))), " ")</f>
        <v xml:space="preserve"> </v>
      </c>
      <c r="T15" t="str">
        <f t="array" ref="T15">IFERROR(INDEX(F$2:F$100, SMALL(IF($I$2:$I$100="YES", ROW($I$2:$I$100)-MIN(ROW($I$2:$I$100))+1), ROW(13:13))), " ")</f>
        <v xml:space="preserve"> </v>
      </c>
      <c r="U15" t="str">
        <f t="array" ref="U15">IFERROR(INDEX(G$2:G$100, SMALL(IF($I$2:$I$100="YES", ROW($I$2:$I$100)-MIN(ROW($I$2:$I$100))+1), ROW(13:13))), " ")</f>
        <v xml:space="preserve"> </v>
      </c>
    </row>
    <row r="16" spans="1:21" ht="15.6">
      <c r="A16" s="226">
        <v>17770</v>
      </c>
      <c r="D16" s="140" t="str">
        <f t="shared" si="0"/>
        <v/>
      </c>
      <c r="E16" s="140" t="str">
        <f t="shared" si="1"/>
        <v/>
      </c>
      <c r="F16" s="141" t="str">
        <f t="shared" si="2"/>
        <v/>
      </c>
      <c r="G16" s="141" t="str">
        <f t="shared" si="3"/>
        <v/>
      </c>
      <c r="H16" s="141" t="str">
        <f t="shared" si="4"/>
        <v/>
      </c>
      <c r="I16" s="98" t="s">
        <v>175</v>
      </c>
      <c r="R16" t="str">
        <f t="array" ref="R16">IFERROR(INDEX(D$2:D$100, SMALL(IF($I$2:$I$100="YES", ROW($I$2:$I$100)-MIN(ROW($I$2:$I$100))+1), ROW(14:14))), " ")</f>
        <v xml:space="preserve"> </v>
      </c>
      <c r="S16" t="str">
        <f t="array" ref="S16">IFERROR(INDEX(E$2:E$100, SMALL(IF($I$2:$I$100="YES", ROW($I$2:$I$100)-MIN(ROW($I$2:$I$100))+1), ROW(14:14))), " ")</f>
        <v xml:space="preserve"> </v>
      </c>
      <c r="T16" t="str">
        <f t="array" ref="T16">IFERROR(INDEX(F$2:F$100, SMALL(IF($I$2:$I$100="YES", ROW($I$2:$I$100)-MIN(ROW($I$2:$I$100))+1), ROW(14:14))), " ")</f>
        <v xml:space="preserve"> </v>
      </c>
      <c r="U16" t="str">
        <f t="array" ref="U16">IFERROR(INDEX(G$2:G$100, SMALL(IF($I$2:$I$100="YES", ROW($I$2:$I$100)-MIN(ROW($I$2:$I$100))+1), ROW(14:14))), " ")</f>
        <v xml:space="preserve"> </v>
      </c>
    </row>
    <row r="17" spans="1:21" ht="15.6">
      <c r="A17" s="225" t="s">
        <v>157</v>
      </c>
      <c r="D17" s="140" t="str">
        <f t="shared" si="0"/>
        <v/>
      </c>
      <c r="E17" s="140" t="str">
        <f t="shared" si="1"/>
        <v/>
      </c>
      <c r="F17" s="141" t="str">
        <f t="shared" si="2"/>
        <v/>
      </c>
      <c r="G17" s="141" t="str">
        <f t="shared" si="3"/>
        <v/>
      </c>
      <c r="H17" s="141" t="str">
        <f t="shared" si="4"/>
        <v/>
      </c>
      <c r="I17" s="98" t="s">
        <v>175</v>
      </c>
      <c r="R17" t="str">
        <f t="array" ref="R17">IFERROR(INDEX(D$2:D$100, SMALL(IF($I$2:$I$100="YES", ROW($I$2:$I$100)-MIN(ROW($I$2:$I$100))+1), ROW(15:15))), " ")</f>
        <v xml:space="preserve"> </v>
      </c>
      <c r="S17" t="str">
        <f t="array" ref="S17">IFERROR(INDEX(E$2:E$100, SMALL(IF($I$2:$I$100="YES", ROW($I$2:$I$100)-MIN(ROW($I$2:$I$100))+1), ROW(15:15))), " ")</f>
        <v xml:space="preserve"> </v>
      </c>
      <c r="T17" t="str">
        <f t="array" ref="T17">IFERROR(INDEX(F$2:F$100, SMALL(IF($I$2:$I$100="YES", ROW($I$2:$I$100)-MIN(ROW($I$2:$I$100))+1), ROW(15:15))), " ")</f>
        <v xml:space="preserve"> </v>
      </c>
      <c r="U17" t="str">
        <f t="array" ref="U17">IFERROR(INDEX(G$2:G$100, SMALL(IF($I$2:$I$100="YES", ROW($I$2:$I$100)-MIN(ROW($I$2:$I$100))+1), ROW(15:15))), " ")</f>
        <v xml:space="preserve"> </v>
      </c>
    </row>
    <row r="18" spans="1:21" ht="15.6">
      <c r="A18" s="225" t="s">
        <v>258</v>
      </c>
      <c r="D18" s="140" t="str">
        <f t="shared" si="0"/>
        <v/>
      </c>
      <c r="E18" s="140" t="str">
        <f t="shared" si="1"/>
        <v/>
      </c>
      <c r="F18" s="141" t="str">
        <f t="shared" si="2"/>
        <v/>
      </c>
      <c r="G18" s="141" t="str">
        <f t="shared" si="3"/>
        <v/>
      </c>
      <c r="H18" s="141" t="str">
        <f t="shared" si="4"/>
        <v/>
      </c>
      <c r="I18" s="98" t="s">
        <v>175</v>
      </c>
      <c r="R18" t="str">
        <f t="array" ref="R18">IFERROR(INDEX(D$2:D$100, SMALL(IF($I$2:$I$100="YES", ROW($I$2:$I$100)-MIN(ROW($I$2:$I$100))+1), ROW(16:16))), " ")</f>
        <v xml:space="preserve"> </v>
      </c>
      <c r="S18" t="str">
        <f t="array" ref="S18">IFERROR(INDEX(E$2:E$100, SMALL(IF($I$2:$I$100="YES", ROW($I$2:$I$100)-MIN(ROW($I$2:$I$100))+1), ROW(16:16))), " ")</f>
        <v xml:space="preserve"> </v>
      </c>
      <c r="T18" t="str">
        <f t="array" ref="T18">IFERROR(INDEX(F$2:F$100, SMALL(IF($I$2:$I$100="YES", ROW($I$2:$I$100)-MIN(ROW($I$2:$I$100))+1), ROW(16:16))), " ")</f>
        <v xml:space="preserve"> </v>
      </c>
      <c r="U18" t="str">
        <f t="array" ref="U18">IFERROR(INDEX(G$2:G$100, SMALL(IF($I$2:$I$100="YES", ROW($I$2:$I$100)-MIN(ROW($I$2:$I$100))+1), ROW(16:16))), " ")</f>
        <v xml:space="preserve"> </v>
      </c>
    </row>
    <row r="19" spans="1:21" ht="15.6">
      <c r="A19" s="225" t="s">
        <v>255</v>
      </c>
      <c r="D19" s="140" t="str">
        <f t="shared" si="0"/>
        <v/>
      </c>
      <c r="E19" s="140" t="str">
        <f t="shared" si="1"/>
        <v/>
      </c>
      <c r="F19" s="141" t="str">
        <f t="shared" si="2"/>
        <v/>
      </c>
      <c r="G19" s="141" t="str">
        <f t="shared" si="3"/>
        <v/>
      </c>
      <c r="H19" s="141" t="str">
        <f t="shared" si="4"/>
        <v/>
      </c>
      <c r="I19" s="98" t="s">
        <v>175</v>
      </c>
      <c r="R19" t="str">
        <f t="array" ref="R19">IFERROR(INDEX(D$2:D$100, SMALL(IF($I$2:$I$100="YES", ROW($I$2:$I$100)-MIN(ROW($I$2:$I$100))+1), ROW(17:17))), " ")</f>
        <v xml:space="preserve"> </v>
      </c>
      <c r="S19" t="str">
        <f t="array" ref="S19">IFERROR(INDEX(E$2:E$100, SMALL(IF($I$2:$I$100="YES", ROW($I$2:$I$100)-MIN(ROW($I$2:$I$100))+1), ROW(17:17))), " ")</f>
        <v xml:space="preserve"> </v>
      </c>
      <c r="T19" t="str">
        <f t="array" ref="T19">IFERROR(INDEX(F$2:F$100, SMALL(IF($I$2:$I$100="YES", ROW($I$2:$I$100)-MIN(ROW($I$2:$I$100))+1), ROW(17:17))), " ")</f>
        <v xml:space="preserve"> </v>
      </c>
      <c r="U19" t="str">
        <f t="array" ref="U19">IFERROR(INDEX(G$2:G$100, SMALL(IF($I$2:$I$100="YES", ROW($I$2:$I$100)-MIN(ROW($I$2:$I$100))+1), ROW(17:17))), " ")</f>
        <v xml:space="preserve"> </v>
      </c>
    </row>
    <row r="20" spans="1:21" ht="15.6">
      <c r="A20" s="226">
        <v>83.78</v>
      </c>
      <c r="D20" s="140" t="str">
        <f t="shared" si="0"/>
        <v/>
      </c>
      <c r="E20" s="140" t="str">
        <f t="shared" si="1"/>
        <v/>
      </c>
      <c r="F20" s="141" t="str">
        <f t="shared" si="2"/>
        <v/>
      </c>
      <c r="G20" s="141" t="str">
        <f t="shared" si="3"/>
        <v/>
      </c>
      <c r="H20" s="141" t="str">
        <f t="shared" si="4"/>
        <v/>
      </c>
      <c r="I20" s="98" t="s">
        <v>175</v>
      </c>
      <c r="R20" t="str">
        <f t="array" ref="R20">IFERROR(INDEX(D$2:D$100, SMALL(IF($I$2:$I$100="YES", ROW($I$2:$I$100)-MIN(ROW($I$2:$I$100))+1), ROW(18:18))), " ")</f>
        <v xml:space="preserve"> </v>
      </c>
      <c r="S20" t="str">
        <f t="array" ref="S20">IFERROR(INDEX(E$2:E$100, SMALL(IF($I$2:$I$100="YES", ROW($I$2:$I$100)-MIN(ROW($I$2:$I$100))+1), ROW(18:18))), " ")</f>
        <v xml:space="preserve"> </v>
      </c>
      <c r="T20" t="str">
        <f t="array" ref="T20">IFERROR(INDEX(F$2:F$100, SMALL(IF($I$2:$I$100="YES", ROW($I$2:$I$100)-MIN(ROW($I$2:$I$100))+1), ROW(18:18))), " ")</f>
        <v xml:space="preserve"> </v>
      </c>
      <c r="U20" t="str">
        <f t="array" ref="U20">IFERROR(INDEX(G$2:G$100, SMALL(IF($I$2:$I$100="YES", ROW($I$2:$I$100)-MIN(ROW($I$2:$I$100))+1), ROW(18:18))), " ")</f>
        <v xml:space="preserve"> </v>
      </c>
    </row>
    <row r="21" spans="1:21" ht="15.6">
      <c r="A21" s="226">
        <v>18378</v>
      </c>
      <c r="D21" s="140" t="str">
        <f t="shared" si="0"/>
        <v/>
      </c>
      <c r="E21" s="140" t="str">
        <f t="shared" si="1"/>
        <v/>
      </c>
      <c r="F21" s="141" t="str">
        <f t="shared" si="2"/>
        <v/>
      </c>
      <c r="G21" s="141" t="str">
        <f t="shared" si="3"/>
        <v/>
      </c>
      <c r="H21" s="141" t="str">
        <f t="shared" si="4"/>
        <v/>
      </c>
      <c r="I21" s="98" t="s">
        <v>175</v>
      </c>
      <c r="R21" t="str">
        <f t="array" ref="R21">IFERROR(INDEX(D$2:D$100, SMALL(IF($I$2:$I$100="YES", ROW($I$2:$I$100)-MIN(ROW($I$2:$I$100))+1), ROW(19:19))), " ")</f>
        <v xml:space="preserve"> </v>
      </c>
      <c r="S21" t="str">
        <f t="array" ref="S21">IFERROR(INDEX(E$2:E$100, SMALL(IF($I$2:$I$100="YES", ROW($I$2:$I$100)-MIN(ROW($I$2:$I$100))+1), ROW(19:19))), " ")</f>
        <v xml:space="preserve"> </v>
      </c>
      <c r="T21" t="str">
        <f t="array" ref="T21">IFERROR(INDEX(F$2:F$100, SMALL(IF($I$2:$I$100="YES", ROW($I$2:$I$100)-MIN(ROW($I$2:$I$100))+1), ROW(19:19))), " ")</f>
        <v xml:space="preserve"> </v>
      </c>
      <c r="U21" t="str">
        <f t="array" ref="U21">IFERROR(INDEX(G$2:G$100, SMALL(IF($I$2:$I$100="YES", ROW($I$2:$I$100)-MIN(ROW($I$2:$I$100))+1), ROW(19:19))), " ")</f>
        <v xml:space="preserve"> </v>
      </c>
    </row>
    <row r="22" spans="1:21" ht="15.6">
      <c r="A22" s="225" t="s">
        <v>157</v>
      </c>
      <c r="D22" s="140" t="str">
        <f t="shared" si="0"/>
        <v/>
      </c>
      <c r="E22" s="140" t="str">
        <f t="shared" si="1"/>
        <v/>
      </c>
      <c r="F22" s="141" t="str">
        <f t="shared" si="2"/>
        <v/>
      </c>
      <c r="G22" s="141" t="str">
        <f t="shared" si="3"/>
        <v/>
      </c>
      <c r="H22" s="141" t="str">
        <f t="shared" si="4"/>
        <v/>
      </c>
      <c r="I22" s="98" t="s">
        <v>175</v>
      </c>
      <c r="R22" t="str">
        <f t="array" ref="R22">IFERROR(INDEX(D$2:D$100, SMALL(IF($I$2:$I$100="YES", ROW($I$2:$I$100)-MIN(ROW($I$2:$I$100))+1), ROW(20:20))), " ")</f>
        <v xml:space="preserve"> </v>
      </c>
      <c r="S22" t="str">
        <f t="array" ref="S22">IFERROR(INDEX(E$2:E$100, SMALL(IF($I$2:$I$100="YES", ROW($I$2:$I$100)-MIN(ROW($I$2:$I$100))+1), ROW(20:20))), " ")</f>
        <v xml:space="preserve"> </v>
      </c>
      <c r="T22" t="str">
        <f t="array" ref="T22">IFERROR(INDEX(F$2:F$100, SMALL(IF($I$2:$I$100="YES", ROW($I$2:$I$100)-MIN(ROW($I$2:$I$100))+1), ROW(20:20))), " ")</f>
        <v xml:space="preserve"> </v>
      </c>
      <c r="U22" t="str">
        <f t="array" ref="U22">IFERROR(INDEX(G$2:G$100, SMALL(IF($I$2:$I$100="YES", ROW($I$2:$I$100)-MIN(ROW($I$2:$I$100))+1), ROW(20:20))), " ")</f>
        <v xml:space="preserve"> </v>
      </c>
    </row>
    <row r="23" spans="1:21" ht="15.6">
      <c r="A23" s="225" t="s">
        <v>170</v>
      </c>
      <c r="D23" s="140" t="str">
        <f t="shared" si="0"/>
        <v/>
      </c>
      <c r="E23" s="140" t="str">
        <f t="shared" si="1"/>
        <v/>
      </c>
      <c r="F23" s="141" t="str">
        <f t="shared" si="2"/>
        <v/>
      </c>
      <c r="G23" s="141" t="str">
        <f t="shared" si="3"/>
        <v/>
      </c>
      <c r="H23" s="141" t="str">
        <f t="shared" si="4"/>
        <v/>
      </c>
      <c r="I23" s="98" t="s">
        <v>175</v>
      </c>
      <c r="R23" t="str">
        <f t="array" ref="R23">IFERROR(INDEX(D$2:D$100, SMALL(IF($I$2:$I$100="YES", ROW($I$2:$I$100)-MIN(ROW($I$2:$I$100))+1), ROW(21:21))), " ")</f>
        <v xml:space="preserve"> </v>
      </c>
      <c r="S23" t="str">
        <f t="array" ref="S23">IFERROR(INDEX(E$2:E$100, SMALL(IF($I$2:$I$100="YES", ROW($I$2:$I$100)-MIN(ROW($I$2:$I$100))+1), ROW(21:21))), " ")</f>
        <v xml:space="preserve"> </v>
      </c>
      <c r="T23" t="str">
        <f t="array" ref="T23">IFERROR(INDEX(F$2:F$100, SMALL(IF($I$2:$I$100="YES", ROW($I$2:$I$100)-MIN(ROW($I$2:$I$100))+1), ROW(21:21))), " ")</f>
        <v xml:space="preserve"> </v>
      </c>
      <c r="U23" t="str">
        <f t="array" ref="U23">IFERROR(INDEX(G$2:G$100, SMALL(IF($I$2:$I$100="YES", ROW($I$2:$I$100)-MIN(ROW($I$2:$I$100))+1), ROW(21:21))), " ")</f>
        <v xml:space="preserve"> </v>
      </c>
    </row>
    <row r="24" spans="1:21" ht="15.6">
      <c r="A24" s="225" t="s">
        <v>148</v>
      </c>
      <c r="D24" s="140" t="str">
        <f t="shared" si="0"/>
        <v/>
      </c>
      <c r="E24" s="140" t="str">
        <f t="shared" si="1"/>
        <v/>
      </c>
      <c r="F24" s="141" t="str">
        <f t="shared" si="2"/>
        <v/>
      </c>
      <c r="G24" s="141" t="str">
        <f t="shared" si="3"/>
        <v/>
      </c>
      <c r="H24" s="141" t="str">
        <f t="shared" si="4"/>
        <v/>
      </c>
      <c r="I24" s="98"/>
      <c r="R24" t="str">
        <f t="array" ref="R24">IFERROR(INDEX(D$2:D$100, SMALL(IF($I$2:$I$100="YES", ROW($I$2:$I$100)-MIN(ROW($I$2:$I$100))+1), ROW(22:22))), " ")</f>
        <v xml:space="preserve"> </v>
      </c>
      <c r="S24" t="str">
        <f t="array" ref="S24">IFERROR(INDEX(E$2:E$100, SMALL(IF($I$2:$I$100="YES", ROW($I$2:$I$100)-MIN(ROW($I$2:$I$100))+1), ROW(22:22))), " ")</f>
        <v xml:space="preserve"> </v>
      </c>
      <c r="T24" t="str">
        <f t="array" ref="T24">IFERROR(INDEX(F$2:F$100, SMALL(IF($I$2:$I$100="YES", ROW($I$2:$I$100)-MIN(ROW($I$2:$I$100))+1), ROW(22:22))), " ")</f>
        <v xml:space="preserve"> </v>
      </c>
      <c r="U24" t="str">
        <f t="array" ref="U24">IFERROR(INDEX(G$2:G$100, SMALL(IF($I$2:$I$100="YES", ROW($I$2:$I$100)-MIN(ROW($I$2:$I$100))+1), ROW(22:22))), " ")</f>
        <v xml:space="preserve"> </v>
      </c>
    </row>
    <row r="25" spans="1:21" ht="15.6">
      <c r="A25" s="226">
        <v>40</v>
      </c>
      <c r="D25" s="140" t="str">
        <f t="shared" si="0"/>
        <v/>
      </c>
      <c r="E25" s="140" t="str">
        <f t="shared" si="1"/>
        <v/>
      </c>
      <c r="F25" s="141" t="str">
        <f t="shared" si="2"/>
        <v/>
      </c>
      <c r="G25" s="141" t="str">
        <f t="shared" si="3"/>
        <v/>
      </c>
      <c r="H25" s="141" t="str">
        <f t="shared" si="4"/>
        <v/>
      </c>
      <c r="I25" s="98"/>
      <c r="R25" t="str">
        <f t="array" ref="R25">IFERROR(INDEX(D$2:D$100, SMALL(IF($I$2:$I$100="YES", ROW($I$2:$I$100)-MIN(ROW($I$2:$I$100))+1), ROW(23:23))), " ")</f>
        <v xml:space="preserve"> </v>
      </c>
      <c r="S25" t="str">
        <f t="array" ref="S25">IFERROR(INDEX(E$2:E$100, SMALL(IF($I$2:$I$100="YES", ROW($I$2:$I$100)-MIN(ROW($I$2:$I$100))+1), ROW(23:23))), " ")</f>
        <v xml:space="preserve"> </v>
      </c>
      <c r="T25" t="str">
        <f t="array" ref="T25">IFERROR(INDEX(F$2:F$100, SMALL(IF($I$2:$I$100="YES", ROW($I$2:$I$100)-MIN(ROW($I$2:$I$100))+1), ROW(23:23))), " ")</f>
        <v xml:space="preserve"> </v>
      </c>
      <c r="U25" t="str">
        <f t="array" ref="U25">IFERROR(INDEX(G$2:G$100, SMALL(IF($I$2:$I$100="YES", ROW($I$2:$I$100)-MIN(ROW($I$2:$I$100))+1), ROW(23:23))), " ")</f>
        <v xml:space="preserve"> </v>
      </c>
    </row>
    <row r="26" spans="1:21" ht="15.6">
      <c r="A26" s="226">
        <v>781</v>
      </c>
      <c r="D26" s="140" t="str">
        <f t="shared" si="0"/>
        <v/>
      </c>
      <c r="E26" s="140" t="str">
        <f t="shared" si="1"/>
        <v/>
      </c>
      <c r="F26" s="141" t="str">
        <f t="shared" si="2"/>
        <v/>
      </c>
      <c r="G26" s="141" t="str">
        <f t="shared" si="3"/>
        <v/>
      </c>
      <c r="H26" s="141" t="str">
        <f t="shared" si="4"/>
        <v/>
      </c>
      <c r="I26" s="98"/>
      <c r="R26" t="str">
        <f t="array" ref="R26">IFERROR(INDEX(D$2:D$100, SMALL(IF($I$2:$I$100="YES", ROW($I$2:$I$100)-MIN(ROW($I$2:$I$100))+1), ROW(24:24))), " ")</f>
        <v xml:space="preserve"> </v>
      </c>
      <c r="S26" t="str">
        <f t="array" ref="S26">IFERROR(INDEX(E$2:E$100, SMALL(IF($I$2:$I$100="YES", ROW($I$2:$I$100)-MIN(ROW($I$2:$I$100))+1), ROW(24:24))), " ")</f>
        <v xml:space="preserve"> </v>
      </c>
      <c r="T26" t="str">
        <f t="array" ref="T26">IFERROR(INDEX(F$2:F$100, SMALL(IF($I$2:$I$100="YES", ROW($I$2:$I$100)-MIN(ROW($I$2:$I$100))+1), ROW(24:24))), " ")</f>
        <v xml:space="preserve"> </v>
      </c>
      <c r="U26" t="str">
        <f t="array" ref="U26">IFERROR(INDEX(G$2:G$100, SMALL(IF($I$2:$I$100="YES", ROW($I$2:$I$100)-MIN(ROW($I$2:$I$100))+1), ROW(24:24))), " ")</f>
        <v xml:space="preserve"> </v>
      </c>
    </row>
    <row r="27" spans="1:21" ht="15.6">
      <c r="A27" s="225" t="s">
        <v>157</v>
      </c>
      <c r="D27" s="140" t="str">
        <f t="shared" si="0"/>
        <v/>
      </c>
      <c r="E27" s="140" t="str">
        <f t="shared" si="1"/>
        <v/>
      </c>
      <c r="F27" s="141" t="str">
        <f t="shared" si="2"/>
        <v/>
      </c>
      <c r="G27" s="141" t="str">
        <f t="shared" si="3"/>
        <v/>
      </c>
      <c r="H27" s="141" t="str">
        <f t="shared" si="4"/>
        <v/>
      </c>
      <c r="I27" s="98"/>
      <c r="R27" t="str">
        <f t="array" ref="R27">IFERROR(INDEX(D$2:D$100, SMALL(IF($I$2:$I$100="YES", ROW($I$2:$I$100)-MIN(ROW($I$2:$I$100))+1), ROW(25:25))), " ")</f>
        <v xml:space="preserve"> </v>
      </c>
      <c r="S27" t="str">
        <f t="array" ref="S27">IFERROR(INDEX(E$2:E$100, SMALL(IF($I$2:$I$100="YES", ROW($I$2:$I$100)-MIN(ROW($I$2:$I$100))+1), ROW(25:25))), " ")</f>
        <v xml:space="preserve"> </v>
      </c>
      <c r="T27" t="str">
        <f t="array" ref="T27">IFERROR(INDEX(F$2:F$100, SMALL(IF($I$2:$I$100="YES", ROW($I$2:$I$100)-MIN(ROW($I$2:$I$100))+1), ROW(25:25))), " ")</f>
        <v xml:space="preserve"> </v>
      </c>
      <c r="U27" t="str">
        <f t="array" ref="U27">IFERROR(INDEX(G$2:G$100, SMALL(IF($I$2:$I$100="YES", ROW($I$2:$I$100)-MIN(ROW($I$2:$I$100))+1), ROW(25:25))), " ")</f>
        <v xml:space="preserve"> </v>
      </c>
    </row>
    <row r="28" spans="1:21" ht="15.6">
      <c r="A28" s="225" t="s">
        <v>259</v>
      </c>
      <c r="D28" s="140" t="str">
        <f t="shared" si="0"/>
        <v/>
      </c>
      <c r="E28" s="140" t="str">
        <f t="shared" si="1"/>
        <v/>
      </c>
      <c r="F28" s="141" t="str">
        <f t="shared" si="2"/>
        <v/>
      </c>
      <c r="G28" s="141" t="str">
        <f t="shared" si="3"/>
        <v/>
      </c>
      <c r="H28" s="141" t="str">
        <f t="shared" si="4"/>
        <v/>
      </c>
      <c r="I28" s="98"/>
      <c r="R28" t="str">
        <f t="array" ref="R28">IFERROR(INDEX(D$2:D$100, SMALL(IF($I$2:$I$100="YES", ROW($I$2:$I$100)-MIN(ROW($I$2:$I$100))+1), ROW(26:26))), " ")</f>
        <v xml:space="preserve"> </v>
      </c>
      <c r="S28" t="str">
        <f t="array" ref="S28">IFERROR(INDEX(E$2:E$100, SMALL(IF($I$2:$I$100="YES", ROW($I$2:$I$100)-MIN(ROW($I$2:$I$100))+1), ROW(26:26))), " ")</f>
        <v xml:space="preserve"> </v>
      </c>
      <c r="T28" t="str">
        <f t="array" ref="T28">IFERROR(INDEX(F$2:F$100, SMALL(IF($I$2:$I$100="YES", ROW($I$2:$I$100)-MIN(ROW($I$2:$I$100))+1), ROW(26:26))), " ")</f>
        <v xml:space="preserve"> </v>
      </c>
      <c r="U28" t="str">
        <f t="array" ref="U28">IFERROR(INDEX(G$2:G$100, SMALL(IF($I$2:$I$100="YES", ROW($I$2:$I$100)-MIN(ROW($I$2:$I$100))+1), ROW(26:26))), " ")</f>
        <v xml:space="preserve"> </v>
      </c>
    </row>
    <row r="29" spans="1:21" ht="15.6">
      <c r="A29" s="225" t="s">
        <v>256</v>
      </c>
      <c r="D29" s="140" t="str">
        <f t="shared" si="0"/>
        <v/>
      </c>
      <c r="E29" s="140" t="str">
        <f t="shared" si="1"/>
        <v/>
      </c>
      <c r="F29" s="141" t="str">
        <f t="shared" si="2"/>
        <v/>
      </c>
      <c r="G29" s="141" t="str">
        <f t="shared" si="3"/>
        <v/>
      </c>
      <c r="H29" s="141" t="str">
        <f t="shared" si="4"/>
        <v/>
      </c>
      <c r="I29" s="98"/>
      <c r="R29" t="str">
        <f t="array" ref="R29">IFERROR(INDEX(D$2:D$100, SMALL(IF($I$2:$I$100="YES", ROW($I$2:$I$100)-MIN(ROW($I$2:$I$100))+1), ROW(27:27))), " ")</f>
        <v xml:space="preserve"> </v>
      </c>
      <c r="S29" t="str">
        <f t="array" ref="S29">IFERROR(INDEX(E$2:E$100, SMALL(IF($I$2:$I$100="YES", ROW($I$2:$I$100)-MIN(ROW($I$2:$I$100))+1), ROW(27:27))), " ")</f>
        <v xml:space="preserve"> </v>
      </c>
      <c r="T29" t="str">
        <f t="array" ref="T29">IFERROR(INDEX(F$2:F$100, SMALL(IF($I$2:$I$100="YES", ROW($I$2:$I$100)-MIN(ROW($I$2:$I$100))+1), ROW(27:27))), " ")</f>
        <v xml:space="preserve"> </v>
      </c>
      <c r="U29" t="str">
        <f t="array" ref="U29">IFERROR(INDEX(G$2:G$100, SMALL(IF($I$2:$I$100="YES", ROW($I$2:$I$100)-MIN(ROW($I$2:$I$100))+1), ROW(27:27))), " ")</f>
        <v xml:space="preserve"> </v>
      </c>
    </row>
    <row r="30" spans="1:21" ht="15.6">
      <c r="A30" s="226">
        <v>838</v>
      </c>
      <c r="D30" s="140" t="str">
        <f t="shared" si="0"/>
        <v/>
      </c>
      <c r="E30" s="140" t="str">
        <f t="shared" si="1"/>
        <v/>
      </c>
      <c r="F30" s="141" t="str">
        <f t="shared" si="2"/>
        <v/>
      </c>
      <c r="G30" s="141" t="str">
        <f t="shared" si="3"/>
        <v/>
      </c>
      <c r="H30" s="141" t="str">
        <f t="shared" si="4"/>
        <v/>
      </c>
      <c r="I30" s="98"/>
      <c r="R30" t="str">
        <f t="array" ref="R30">IFERROR(INDEX(D$2:D$100, SMALL(IF($I$2:$I$100="YES", ROW($I$2:$I$100)-MIN(ROW($I$2:$I$100))+1), ROW(28:28))), " ")</f>
        <v xml:space="preserve"> </v>
      </c>
      <c r="S30" t="str">
        <f t="array" ref="S30">IFERROR(INDEX(E$2:E$100, SMALL(IF($I$2:$I$100="YES", ROW($I$2:$I$100)-MIN(ROW($I$2:$I$100))+1), ROW(28:28))), " ")</f>
        <v xml:space="preserve"> </v>
      </c>
      <c r="T30" t="str">
        <f t="array" ref="T30">IFERROR(INDEX(F$2:F$100, SMALL(IF($I$2:$I$100="YES", ROW($I$2:$I$100)-MIN(ROW($I$2:$I$100))+1), ROW(28:28))), " ")</f>
        <v xml:space="preserve"> </v>
      </c>
      <c r="U30" t="str">
        <f t="array" ref="U30">IFERROR(INDEX(G$2:G$100, SMALL(IF($I$2:$I$100="YES", ROW($I$2:$I$100)-MIN(ROW($I$2:$I$100))+1), ROW(28:28))), " ")</f>
        <v xml:space="preserve"> </v>
      </c>
    </row>
    <row r="31" spans="1:21" ht="15.6">
      <c r="A31" s="226">
        <v>47570</v>
      </c>
      <c r="D31" s="140" t="str">
        <f t="shared" si="0"/>
        <v/>
      </c>
      <c r="E31" s="140" t="str">
        <f t="shared" si="1"/>
        <v/>
      </c>
      <c r="F31" s="141" t="str">
        <f t="shared" si="2"/>
        <v/>
      </c>
      <c r="G31" s="141" t="str">
        <f t="shared" si="3"/>
        <v/>
      </c>
      <c r="H31" s="141" t="str">
        <f t="shared" si="4"/>
        <v/>
      </c>
      <c r="I31" s="98"/>
      <c r="R31" t="str">
        <f t="array" ref="R31">IFERROR(INDEX(D$2:D$100, SMALL(IF($I$2:$I$100="YES", ROW($I$2:$I$100)-MIN(ROW($I$2:$I$100))+1), ROW(29:29))), " ")</f>
        <v xml:space="preserve"> </v>
      </c>
      <c r="S31" t="str">
        <f t="array" ref="S31">IFERROR(INDEX(E$2:E$100, SMALL(IF($I$2:$I$100="YES", ROW($I$2:$I$100)-MIN(ROW($I$2:$I$100))+1), ROW(29:29))), " ")</f>
        <v xml:space="preserve"> </v>
      </c>
      <c r="T31" t="str">
        <f t="array" ref="T31">IFERROR(INDEX(F$2:F$100, SMALL(IF($I$2:$I$100="YES", ROW($I$2:$I$100)-MIN(ROW($I$2:$I$100))+1), ROW(29:29))), " ")</f>
        <v xml:space="preserve"> </v>
      </c>
      <c r="U31" t="str">
        <f t="array" ref="U31">IFERROR(INDEX(G$2:G$100, SMALL(IF($I$2:$I$100="YES", ROW($I$2:$I$100)-MIN(ROW($I$2:$I$100))+1), ROW(29:29))), " ")</f>
        <v xml:space="preserve"> </v>
      </c>
    </row>
    <row r="32" spans="1:21" ht="15.6">
      <c r="A32" s="225" t="s">
        <v>157</v>
      </c>
      <c r="D32" s="140" t="str">
        <f t="shared" si="0"/>
        <v/>
      </c>
      <c r="E32" s="140" t="str">
        <f t="shared" si="1"/>
        <v/>
      </c>
      <c r="F32" s="141" t="str">
        <f t="shared" si="2"/>
        <v/>
      </c>
      <c r="G32" s="141" t="str">
        <f t="shared" si="3"/>
        <v/>
      </c>
      <c r="H32" s="141" t="str">
        <f t="shared" si="4"/>
        <v/>
      </c>
      <c r="I32" s="98"/>
      <c r="R32" t="str">
        <f t="array" ref="R32">IFERROR(INDEX(D$2:D$100, SMALL(IF($I$2:$I$100="YES", ROW($I$2:$I$100)-MIN(ROW($I$2:$I$100))+1), ROW(30:30))), " ")</f>
        <v xml:space="preserve"> </v>
      </c>
      <c r="S32" t="str">
        <f t="array" ref="S32">IFERROR(INDEX(E$2:E$100, SMALL(IF($I$2:$I$100="YES", ROW($I$2:$I$100)-MIN(ROW($I$2:$I$100))+1), ROW(30:30))), " ")</f>
        <v xml:space="preserve"> </v>
      </c>
      <c r="T32" t="str">
        <f t="array" ref="T32">IFERROR(INDEX(F$2:F$100, SMALL(IF($I$2:$I$100="YES", ROW($I$2:$I$100)-MIN(ROW($I$2:$I$100))+1), ROW(30:30))), " ")</f>
        <v xml:space="preserve"> </v>
      </c>
      <c r="U32" t="str">
        <f t="array" ref="U32">IFERROR(INDEX(G$2:G$100, SMALL(IF($I$2:$I$100="YES", ROW($I$2:$I$100)-MIN(ROW($I$2:$I$100))+1), ROW(30:30))), " ")</f>
        <v xml:space="preserve"> </v>
      </c>
    </row>
    <row r="33" spans="1:21" ht="15.6">
      <c r="A33" s="225" t="s">
        <v>171</v>
      </c>
      <c r="D33" s="140" t="str">
        <f t="shared" si="0"/>
        <v/>
      </c>
      <c r="E33" s="140" t="str">
        <f t="shared" si="1"/>
        <v/>
      </c>
      <c r="F33" s="141" t="str">
        <f t="shared" si="2"/>
        <v/>
      </c>
      <c r="G33" s="141" t="str">
        <f t="shared" si="3"/>
        <v/>
      </c>
      <c r="H33" s="141" t="str">
        <f t="shared" si="4"/>
        <v/>
      </c>
      <c r="I33" s="98"/>
      <c r="R33" t="str">
        <f t="array" ref="R33">IFERROR(INDEX(D$2:D$100, SMALL(IF($I$2:$I$100="YES", ROW($I$2:$I$100)-MIN(ROW($I$2:$I$100))+1), ROW(31:31))), " ")</f>
        <v xml:space="preserve"> </v>
      </c>
      <c r="S33" t="str">
        <f t="array" ref="S33">IFERROR(INDEX(E$2:E$100, SMALL(IF($I$2:$I$100="YES", ROW($I$2:$I$100)-MIN(ROW($I$2:$I$100))+1), ROW(31:31))), " ")</f>
        <v xml:space="preserve"> </v>
      </c>
      <c r="T33" t="str">
        <f t="array" ref="T33">IFERROR(INDEX(F$2:F$100, SMALL(IF($I$2:$I$100="YES", ROW($I$2:$I$100)-MIN(ROW($I$2:$I$100))+1), ROW(31:31))), " ")</f>
        <v xml:space="preserve"> </v>
      </c>
      <c r="U33" t="str">
        <f t="array" ref="U33">IFERROR(INDEX(G$2:G$100, SMALL(IF($I$2:$I$100="YES", ROW($I$2:$I$100)-MIN(ROW($I$2:$I$100))+1), ROW(31:31))), " ")</f>
        <v xml:space="preserve"> </v>
      </c>
    </row>
    <row r="34" spans="1:21" ht="15.6">
      <c r="A34" s="225" t="s">
        <v>148</v>
      </c>
      <c r="D34" s="140" t="str">
        <f t="shared" si="0"/>
        <v/>
      </c>
      <c r="E34" s="140" t="str">
        <f t="shared" si="1"/>
        <v/>
      </c>
      <c r="F34" s="141" t="str">
        <f t="shared" si="2"/>
        <v/>
      </c>
      <c r="G34" s="141" t="str">
        <f t="shared" si="3"/>
        <v/>
      </c>
      <c r="H34" s="141" t="str">
        <f t="shared" si="4"/>
        <v/>
      </c>
      <c r="I34" s="98"/>
      <c r="R34" t="str">
        <f t="array" ref="R34">IFERROR(INDEX(D$2:D$100, SMALL(IF($I$2:$I$100="YES", ROW($I$2:$I$100)-MIN(ROW($I$2:$I$100))+1), ROW(32:32))), " ")</f>
        <v xml:space="preserve"> </v>
      </c>
      <c r="S34" t="str">
        <f t="array" ref="S34">IFERROR(INDEX(E$2:E$100, SMALL(IF($I$2:$I$100="YES", ROW($I$2:$I$100)-MIN(ROW($I$2:$I$100))+1), ROW(32:32))), " ")</f>
        <v xml:space="preserve"> </v>
      </c>
      <c r="T34" t="str">
        <f t="array" ref="T34">IFERROR(INDEX(F$2:F$100, SMALL(IF($I$2:$I$100="YES", ROW($I$2:$I$100)-MIN(ROW($I$2:$I$100))+1), ROW(32:32))), " ")</f>
        <v xml:space="preserve"> </v>
      </c>
      <c r="U34" t="str">
        <f t="array" ref="U34">IFERROR(INDEX(G$2:G$100, SMALL(IF($I$2:$I$100="YES", ROW($I$2:$I$100)-MIN(ROW($I$2:$I$100))+1), ROW(32:32))), " ")</f>
        <v xml:space="preserve"> </v>
      </c>
    </row>
    <row r="35" spans="1:21" ht="15.6">
      <c r="A35" s="226">
        <v>25</v>
      </c>
      <c r="D35" s="140" t="str">
        <f t="shared" ref="D35:D66" si="5">IF(INDEX($A$3:$A$1000, (ROW(D35)-ROW($D$3))*5+1) = "", "", INDEX($A$3:$A$1000, (ROW(D35)-ROW($D$3))*5+1))</f>
        <v/>
      </c>
      <c r="E35" s="140" t="str">
        <f t="shared" ref="E35:E66" si="6">IF(INDEX($A$3:$A$1000, (ROW(D35)-ROW($D$3))*5+2) = "", "", INDEX($A$3:$A$1000, (ROW(D35)-ROW($D$3))*5+2))</f>
        <v/>
      </c>
      <c r="F35" s="141" t="str">
        <f t="shared" ref="F35:F66" si="7">IF(INDEX($A$3:$A$1000, (ROW(D35)-ROW($D$3))*5+4) = "", "", INDEX($A$3:$A$1000, (ROW(D35)-ROW($D$3))*5+4))</f>
        <v/>
      </c>
      <c r="G35" s="141" t="str">
        <f t="shared" ref="G35:G66" si="8">IF(INDEX($A$3:$A$1000, (ROW(D35)-ROW($D$3))*5+3) = "", "", INDEX($A$3:$A$1000, (ROW(D35)-ROW($D$3))*5+3))</f>
        <v/>
      </c>
      <c r="H35" s="141" t="str">
        <f t="shared" ref="H35:H66" si="9">IF(INDEX($A$3:$A$1000, (ROW(D35)-ROW($D$3))*5+5) = "", "", INDEX($A$3:$A$1000, (ROW(D35)-ROW($D$3))*5+5))</f>
        <v/>
      </c>
      <c r="I35" s="98"/>
      <c r="R35" t="str">
        <f t="array" ref="R35">IFERROR(INDEX(D$2:D$100, SMALL(IF($I$2:$I$100="YES", ROW($I$2:$I$100)-MIN(ROW($I$2:$I$100))+1), ROW(33:33))), " ")</f>
        <v xml:space="preserve"> </v>
      </c>
      <c r="S35" t="str">
        <f t="array" ref="S35">IFERROR(INDEX(E$2:E$100, SMALL(IF($I$2:$I$100="YES", ROW($I$2:$I$100)-MIN(ROW($I$2:$I$100))+1), ROW(33:33))), " ")</f>
        <v xml:space="preserve"> </v>
      </c>
      <c r="T35" t="str">
        <f t="array" ref="T35">IFERROR(INDEX(F$2:F$100, SMALL(IF($I$2:$I$100="YES", ROW($I$2:$I$100)-MIN(ROW($I$2:$I$100))+1), ROW(33:33))), " ")</f>
        <v xml:space="preserve"> </v>
      </c>
      <c r="U35" t="str">
        <f t="array" ref="U35">IFERROR(INDEX(G$2:G$100, SMALL(IF($I$2:$I$100="YES", ROW($I$2:$I$100)-MIN(ROW($I$2:$I$100))+1), ROW(33:33))), " ")</f>
        <v xml:space="preserve"> </v>
      </c>
    </row>
    <row r="36" spans="1:21" ht="15.6">
      <c r="A36" s="226">
        <v>343</v>
      </c>
      <c r="D36" s="140" t="str">
        <f t="shared" si="5"/>
        <v/>
      </c>
      <c r="E36" s="140" t="str">
        <f t="shared" si="6"/>
        <v/>
      </c>
      <c r="F36" s="141" t="str">
        <f t="shared" si="7"/>
        <v/>
      </c>
      <c r="G36" s="141" t="str">
        <f t="shared" si="8"/>
        <v/>
      </c>
      <c r="H36" s="141" t="str">
        <f t="shared" si="9"/>
        <v/>
      </c>
      <c r="I36" s="98"/>
      <c r="R36" t="str">
        <f t="array" ref="R36">IFERROR(INDEX(D$2:D$100, SMALL(IF($I$2:$I$100="YES", ROW($I$2:$I$100)-MIN(ROW($I$2:$I$100))+1), ROW(34:34))), " ")</f>
        <v xml:space="preserve"> </v>
      </c>
      <c r="S36" t="str">
        <f t="array" ref="S36">IFERROR(INDEX(E$2:E$100, SMALL(IF($I$2:$I$100="YES", ROW($I$2:$I$100)-MIN(ROW($I$2:$I$100))+1), ROW(34:34))), " ")</f>
        <v xml:space="preserve"> </v>
      </c>
      <c r="T36" t="str">
        <f t="array" ref="T36">IFERROR(INDEX(F$2:F$100, SMALL(IF($I$2:$I$100="YES", ROW($I$2:$I$100)-MIN(ROW($I$2:$I$100))+1), ROW(34:34))), " ")</f>
        <v xml:space="preserve"> </v>
      </c>
      <c r="U36" t="str">
        <f t="array" ref="U36">IFERROR(INDEX(G$2:G$100, SMALL(IF($I$2:$I$100="YES", ROW($I$2:$I$100)-MIN(ROW($I$2:$I$100))+1), ROW(34:34))), " ")</f>
        <v xml:space="preserve"> </v>
      </c>
    </row>
    <row r="37" spans="1:21" ht="15.6">
      <c r="A37" s="225" t="s">
        <v>157</v>
      </c>
      <c r="D37" s="140" t="str">
        <f t="shared" si="5"/>
        <v/>
      </c>
      <c r="E37" s="140" t="str">
        <f t="shared" si="6"/>
        <v/>
      </c>
      <c r="F37" s="141" t="str">
        <f t="shared" si="7"/>
        <v/>
      </c>
      <c r="G37" s="141" t="str">
        <f t="shared" si="8"/>
        <v/>
      </c>
      <c r="H37" s="141" t="str">
        <f t="shared" si="9"/>
        <v/>
      </c>
      <c r="I37" s="98"/>
      <c r="R37" t="str">
        <f t="array" ref="R37">IFERROR(INDEX(D$2:D$100, SMALL(IF($I$2:$I$100="YES", ROW($I$2:$I$100)-MIN(ROW($I$2:$I$100))+1), ROW(35:35))), " ")</f>
        <v xml:space="preserve"> </v>
      </c>
      <c r="S37" t="str">
        <f t="array" ref="S37">IFERROR(INDEX(E$2:E$100, SMALL(IF($I$2:$I$100="YES", ROW($I$2:$I$100)-MIN(ROW($I$2:$I$100))+1), ROW(35:35))), " ")</f>
        <v xml:space="preserve"> </v>
      </c>
      <c r="T37" t="str">
        <f t="array" ref="T37">IFERROR(INDEX(F$2:F$100, SMALL(IF($I$2:$I$100="YES", ROW($I$2:$I$100)-MIN(ROW($I$2:$I$100))+1), ROW(35:35))), " ")</f>
        <v xml:space="preserve"> </v>
      </c>
      <c r="U37" t="str">
        <f t="array" ref="U37">IFERROR(INDEX(G$2:G$100, SMALL(IF($I$2:$I$100="YES", ROW($I$2:$I$100)-MIN(ROW($I$2:$I$100))+1), ROW(35:35))), " ")</f>
        <v xml:space="preserve"> </v>
      </c>
    </row>
    <row r="38" spans="1:21" ht="15.6">
      <c r="A38" s="225" t="s">
        <v>260</v>
      </c>
      <c r="D38" s="140" t="str">
        <f t="shared" si="5"/>
        <v/>
      </c>
      <c r="E38" s="140" t="str">
        <f t="shared" si="6"/>
        <v/>
      </c>
      <c r="F38" s="141" t="str">
        <f t="shared" si="7"/>
        <v/>
      </c>
      <c r="G38" s="141" t="str">
        <f t="shared" si="8"/>
        <v/>
      </c>
      <c r="H38" s="141" t="str">
        <f t="shared" si="9"/>
        <v/>
      </c>
      <c r="I38" s="98"/>
      <c r="R38" t="str">
        <f t="array" ref="R38">IFERROR(INDEX(D$2:D$100, SMALL(IF($I$2:$I$100="YES", ROW($I$2:$I$100)-MIN(ROW($I$2:$I$100))+1), ROW(36:36))), " ")</f>
        <v xml:space="preserve"> </v>
      </c>
      <c r="S38" t="str">
        <f t="array" ref="S38">IFERROR(INDEX(E$2:E$100, SMALL(IF($I$2:$I$100="YES", ROW($I$2:$I$100)-MIN(ROW($I$2:$I$100))+1), ROW(36:36))), " ")</f>
        <v xml:space="preserve"> </v>
      </c>
      <c r="T38" t="str">
        <f t="array" ref="T38">IFERROR(INDEX(F$2:F$100, SMALL(IF($I$2:$I$100="YES", ROW($I$2:$I$100)-MIN(ROW($I$2:$I$100))+1), ROW(36:36))), " ")</f>
        <v xml:space="preserve"> </v>
      </c>
      <c r="U38" t="str">
        <f t="array" ref="U38">IFERROR(INDEX(G$2:G$100, SMALL(IF($I$2:$I$100="YES", ROW($I$2:$I$100)-MIN(ROW($I$2:$I$100))+1), ROW(36:36))), " ")</f>
        <v xml:space="preserve"> </v>
      </c>
    </row>
    <row r="39" spans="1:21" ht="15.6">
      <c r="A39" s="225" t="s">
        <v>255</v>
      </c>
      <c r="D39" s="140" t="str">
        <f t="shared" si="5"/>
        <v/>
      </c>
      <c r="E39" s="140" t="str">
        <f t="shared" si="6"/>
        <v/>
      </c>
      <c r="F39" s="141" t="str">
        <f t="shared" si="7"/>
        <v/>
      </c>
      <c r="G39" s="141" t="str">
        <f t="shared" si="8"/>
        <v/>
      </c>
      <c r="H39" s="141" t="str">
        <f t="shared" si="9"/>
        <v/>
      </c>
      <c r="I39" s="98"/>
      <c r="R39" t="str">
        <f t="array" ref="R39">IFERROR(INDEX(D$2:D$100, SMALL(IF($I$2:$I$100="YES", ROW($I$2:$I$100)-MIN(ROW($I$2:$I$100))+1), ROW(37:37))), " ")</f>
        <v xml:space="preserve"> </v>
      </c>
      <c r="S39" t="str">
        <f t="array" ref="S39">IFERROR(INDEX(E$2:E$100, SMALL(IF($I$2:$I$100="YES", ROW($I$2:$I$100)-MIN(ROW($I$2:$I$100))+1), ROW(37:37))), " ")</f>
        <v xml:space="preserve"> </v>
      </c>
      <c r="T39" t="str">
        <f t="array" ref="T39">IFERROR(INDEX(F$2:F$100, SMALL(IF($I$2:$I$100="YES", ROW($I$2:$I$100)-MIN(ROW($I$2:$I$100))+1), ROW(37:37))), " ")</f>
        <v xml:space="preserve"> </v>
      </c>
      <c r="U39" t="str">
        <f t="array" ref="U39">IFERROR(INDEX(G$2:G$100, SMALL(IF($I$2:$I$100="YES", ROW($I$2:$I$100)-MIN(ROW($I$2:$I$100))+1), ROW(37:37))), " ")</f>
        <v xml:space="preserve"> </v>
      </c>
    </row>
    <row r="40" spans="1:21" ht="15.6">
      <c r="A40" s="226">
        <v>58.49</v>
      </c>
      <c r="D40" s="140" t="str">
        <f t="shared" si="5"/>
        <v/>
      </c>
      <c r="E40" s="140" t="str">
        <f t="shared" si="6"/>
        <v/>
      </c>
      <c r="F40" s="141" t="str">
        <f t="shared" si="7"/>
        <v/>
      </c>
      <c r="G40" s="141" t="str">
        <f t="shared" si="8"/>
        <v/>
      </c>
      <c r="H40" s="141" t="str">
        <f t="shared" si="9"/>
        <v/>
      </c>
      <c r="I40" s="98"/>
      <c r="R40" t="str">
        <f t="array" ref="R40">IFERROR(INDEX(D$2:D$100, SMALL(IF($I$2:$I$100="YES", ROW($I$2:$I$100)-MIN(ROW($I$2:$I$100))+1), ROW(38:38))), " ")</f>
        <v xml:space="preserve"> </v>
      </c>
      <c r="S40" t="str">
        <f t="array" ref="S40">IFERROR(INDEX(E$2:E$100, SMALL(IF($I$2:$I$100="YES", ROW($I$2:$I$100)-MIN(ROW($I$2:$I$100))+1), ROW(38:38))), " ")</f>
        <v xml:space="preserve"> </v>
      </c>
      <c r="T40" t="str">
        <f t="array" ref="T40">IFERROR(INDEX(F$2:F$100, SMALL(IF($I$2:$I$100="YES", ROW($I$2:$I$100)-MIN(ROW($I$2:$I$100))+1), ROW(38:38))), " ")</f>
        <v xml:space="preserve"> </v>
      </c>
      <c r="U40" t="str">
        <f t="array" ref="U40">IFERROR(INDEX(G$2:G$100, SMALL(IF($I$2:$I$100="YES", ROW($I$2:$I$100)-MIN(ROW($I$2:$I$100))+1), ROW(38:38))), " ")</f>
        <v xml:space="preserve"> </v>
      </c>
    </row>
    <row r="41" spans="1:21" ht="15.6">
      <c r="A41" s="226">
        <v>5849</v>
      </c>
      <c r="D41" s="140" t="str">
        <f t="shared" si="5"/>
        <v/>
      </c>
      <c r="E41" s="140" t="str">
        <f t="shared" si="6"/>
        <v/>
      </c>
      <c r="F41" s="141" t="str">
        <f t="shared" si="7"/>
        <v/>
      </c>
      <c r="G41" s="141" t="str">
        <f t="shared" si="8"/>
        <v/>
      </c>
      <c r="H41" s="141" t="str">
        <f t="shared" si="9"/>
        <v/>
      </c>
      <c r="I41" s="98"/>
      <c r="R41" t="str">
        <f t="array" ref="R41">IFERROR(INDEX(D$2:D$100, SMALL(IF($I$2:$I$100="YES", ROW($I$2:$I$100)-MIN(ROW($I$2:$I$100))+1), ROW(39:39))), " ")</f>
        <v xml:space="preserve"> </v>
      </c>
      <c r="S41" t="str">
        <f t="array" ref="S41">IFERROR(INDEX(E$2:E$100, SMALL(IF($I$2:$I$100="YES", ROW($I$2:$I$100)-MIN(ROW($I$2:$I$100))+1), ROW(39:39))), " ")</f>
        <v xml:space="preserve"> </v>
      </c>
      <c r="T41" t="str">
        <f t="array" ref="T41">IFERROR(INDEX(F$2:F$100, SMALL(IF($I$2:$I$100="YES", ROW($I$2:$I$100)-MIN(ROW($I$2:$I$100))+1), ROW(39:39))), " ")</f>
        <v xml:space="preserve"> </v>
      </c>
      <c r="U41" t="str">
        <f t="array" ref="U41">IFERROR(INDEX(G$2:G$100, SMALL(IF($I$2:$I$100="YES", ROW($I$2:$I$100)-MIN(ROW($I$2:$I$100))+1), ROW(39:39))), " ")</f>
        <v xml:space="preserve"> </v>
      </c>
    </row>
    <row r="42" spans="1:21" ht="15.6">
      <c r="A42" s="225" t="s">
        <v>157</v>
      </c>
      <c r="D42" s="140" t="str">
        <f t="shared" si="5"/>
        <v/>
      </c>
      <c r="E42" s="140" t="str">
        <f t="shared" si="6"/>
        <v/>
      </c>
      <c r="F42" s="141" t="str">
        <f t="shared" si="7"/>
        <v/>
      </c>
      <c r="G42" s="141" t="str">
        <f t="shared" si="8"/>
        <v/>
      </c>
      <c r="H42" s="141" t="str">
        <f t="shared" si="9"/>
        <v/>
      </c>
      <c r="I42" s="98"/>
      <c r="R42" t="str">
        <f t="array" ref="R42">IFERROR(INDEX(D$2:D$100, SMALL(IF($I$2:$I$100="YES", ROW($I$2:$I$100)-MIN(ROW($I$2:$I$100))+1), ROW(40:40))), " ")</f>
        <v xml:space="preserve"> </v>
      </c>
      <c r="S42" t="str">
        <f t="array" ref="S42">IFERROR(INDEX(E$2:E$100, SMALL(IF($I$2:$I$100="YES", ROW($I$2:$I$100)-MIN(ROW($I$2:$I$100))+1), ROW(40:40))), " ")</f>
        <v xml:space="preserve"> </v>
      </c>
      <c r="T42" t="str">
        <f t="array" ref="T42">IFERROR(INDEX(F$2:F$100, SMALL(IF($I$2:$I$100="YES", ROW($I$2:$I$100)-MIN(ROW($I$2:$I$100))+1), ROW(40:40))), " ")</f>
        <v xml:space="preserve"> </v>
      </c>
      <c r="U42" t="str">
        <f t="array" ref="U42">IFERROR(INDEX(G$2:G$100, SMALL(IF($I$2:$I$100="YES", ROW($I$2:$I$100)-MIN(ROW($I$2:$I$100))+1), ROW(40:40))), " ")</f>
        <v xml:space="preserve"> </v>
      </c>
    </row>
    <row r="43" spans="1:21" ht="15.6">
      <c r="A43" s="225" t="s">
        <v>261</v>
      </c>
      <c r="D43" s="140" t="str">
        <f t="shared" si="5"/>
        <v/>
      </c>
      <c r="E43" s="140" t="str">
        <f t="shared" si="6"/>
        <v/>
      </c>
      <c r="F43" s="141" t="str">
        <f t="shared" si="7"/>
        <v/>
      </c>
      <c r="G43" s="141" t="str">
        <f t="shared" si="8"/>
        <v/>
      </c>
      <c r="H43" s="141" t="str">
        <f t="shared" si="9"/>
        <v/>
      </c>
      <c r="I43" s="98"/>
      <c r="R43" t="str">
        <f t="array" ref="R43">IFERROR(INDEX(D$2:D$100, SMALL(IF($I$2:$I$100="YES", ROW($I$2:$I$100)-MIN(ROW($I$2:$I$100))+1), ROW(41:41))), " ")</f>
        <v xml:space="preserve"> </v>
      </c>
      <c r="S43" t="str">
        <f t="array" ref="S43">IFERROR(INDEX(E$2:E$100, SMALL(IF($I$2:$I$100="YES", ROW($I$2:$I$100)-MIN(ROW($I$2:$I$100))+1), ROW(41:41))), " ")</f>
        <v xml:space="preserve"> </v>
      </c>
      <c r="T43" t="str">
        <f t="array" ref="T43">IFERROR(INDEX(F$2:F$100, SMALL(IF($I$2:$I$100="YES", ROW($I$2:$I$100)-MIN(ROW($I$2:$I$100))+1), ROW(41:41))), " ")</f>
        <v xml:space="preserve"> </v>
      </c>
      <c r="U43" t="str">
        <f t="array" ref="U43">IFERROR(INDEX(G$2:G$100, SMALL(IF($I$2:$I$100="YES", ROW($I$2:$I$100)-MIN(ROW($I$2:$I$100))+1), ROW(41:41))), " ")</f>
        <v xml:space="preserve"> </v>
      </c>
    </row>
    <row r="44" spans="1:21" ht="15.6">
      <c r="A44" s="225" t="s">
        <v>255</v>
      </c>
      <c r="D44" s="140" t="str">
        <f t="shared" si="5"/>
        <v/>
      </c>
      <c r="E44" s="140" t="str">
        <f t="shared" si="6"/>
        <v/>
      </c>
      <c r="F44" s="141" t="str">
        <f t="shared" si="7"/>
        <v/>
      </c>
      <c r="G44" s="141" t="str">
        <f t="shared" si="8"/>
        <v/>
      </c>
      <c r="H44" s="141" t="str">
        <f t="shared" si="9"/>
        <v/>
      </c>
      <c r="I44" s="98"/>
      <c r="R44" t="str">
        <f t="array" ref="R44">IFERROR(INDEX(D$2:D$100, SMALL(IF($I$2:$I$100="YES", ROW($I$2:$I$100)-MIN(ROW($I$2:$I$100))+1), ROW(42:42))), " ")</f>
        <v xml:space="preserve"> </v>
      </c>
      <c r="S44" t="str">
        <f t="array" ref="S44">IFERROR(INDEX(E$2:E$100, SMALL(IF($I$2:$I$100="YES", ROW($I$2:$I$100)-MIN(ROW($I$2:$I$100))+1), ROW(42:42))), " ")</f>
        <v xml:space="preserve"> </v>
      </c>
      <c r="T44" t="str">
        <f t="array" ref="T44">IFERROR(INDEX(F$2:F$100, SMALL(IF($I$2:$I$100="YES", ROW($I$2:$I$100)-MIN(ROW($I$2:$I$100))+1), ROW(42:42))), " ")</f>
        <v xml:space="preserve"> </v>
      </c>
      <c r="U44" t="str">
        <f t="array" ref="U44">IFERROR(INDEX(G$2:G$100, SMALL(IF($I$2:$I$100="YES", ROW($I$2:$I$100)-MIN(ROW($I$2:$I$100))+1), ROW(42:42))), " ")</f>
        <v xml:space="preserve"> </v>
      </c>
    </row>
    <row r="45" spans="1:21" ht="15.6">
      <c r="A45" s="226">
        <v>403.58</v>
      </c>
      <c r="D45" s="140" t="str">
        <f t="shared" si="5"/>
        <v/>
      </c>
      <c r="E45" s="140" t="str">
        <f t="shared" si="6"/>
        <v/>
      </c>
      <c r="F45" s="141" t="str">
        <f t="shared" si="7"/>
        <v/>
      </c>
      <c r="G45" s="141" t="str">
        <f t="shared" si="8"/>
        <v/>
      </c>
      <c r="H45" s="141" t="str">
        <f t="shared" si="9"/>
        <v/>
      </c>
      <c r="I45" s="98"/>
      <c r="R45" t="str">
        <f t="array" ref="R45">IFERROR(INDEX(D$2:D$100, SMALL(IF($I$2:$I$100="YES", ROW($I$2:$I$100)-MIN(ROW($I$2:$I$100))+1), ROW(43:43))), " ")</f>
        <v xml:space="preserve"> </v>
      </c>
      <c r="S45" t="str">
        <f t="array" ref="S45">IFERROR(INDEX(E$2:E$100, SMALL(IF($I$2:$I$100="YES", ROW($I$2:$I$100)-MIN(ROW($I$2:$I$100))+1), ROW(43:43))), " ")</f>
        <v xml:space="preserve"> </v>
      </c>
      <c r="T45" t="str">
        <f t="array" ref="T45">IFERROR(INDEX(F$2:F$100, SMALL(IF($I$2:$I$100="YES", ROW($I$2:$I$100)-MIN(ROW($I$2:$I$100))+1), ROW(43:43))), " ")</f>
        <v xml:space="preserve"> </v>
      </c>
      <c r="U45" t="str">
        <f t="array" ref="U45">IFERROR(INDEX(G$2:G$100, SMALL(IF($I$2:$I$100="YES", ROW($I$2:$I$100)-MIN(ROW($I$2:$I$100))+1), ROW(43:43))), " ")</f>
        <v xml:space="preserve"> </v>
      </c>
    </row>
    <row r="46" spans="1:21" ht="15.6">
      <c r="A46" s="226">
        <v>40358</v>
      </c>
      <c r="D46" s="140" t="str">
        <f t="shared" si="5"/>
        <v/>
      </c>
      <c r="E46" s="140" t="str">
        <f t="shared" si="6"/>
        <v/>
      </c>
      <c r="F46" s="141" t="str">
        <f t="shared" si="7"/>
        <v/>
      </c>
      <c r="G46" s="141" t="str">
        <f t="shared" si="8"/>
        <v/>
      </c>
      <c r="H46" s="141" t="str">
        <f t="shared" si="9"/>
        <v/>
      </c>
      <c r="I46" s="98"/>
      <c r="R46" t="str">
        <f t="array" ref="R46">IFERROR(INDEX(D$2:D$100, SMALL(IF($I$2:$I$100="YES", ROW($I$2:$I$100)-MIN(ROW($I$2:$I$100))+1), ROW(44:44))), " ")</f>
        <v xml:space="preserve"> </v>
      </c>
      <c r="S46" t="str">
        <f t="array" ref="S46">IFERROR(INDEX(E$2:E$100, SMALL(IF($I$2:$I$100="YES", ROW($I$2:$I$100)-MIN(ROW($I$2:$I$100))+1), ROW(44:44))), " ")</f>
        <v xml:space="preserve"> </v>
      </c>
      <c r="T46" t="str">
        <f t="array" ref="T46">IFERROR(INDEX(F$2:F$100, SMALL(IF($I$2:$I$100="YES", ROW($I$2:$I$100)-MIN(ROW($I$2:$I$100))+1), ROW(44:44))), " ")</f>
        <v xml:space="preserve"> </v>
      </c>
      <c r="U46" t="str">
        <f t="array" ref="U46">IFERROR(INDEX(G$2:G$100, SMALL(IF($I$2:$I$100="YES", ROW($I$2:$I$100)-MIN(ROW($I$2:$I$100))+1), ROW(44:44))), " ")</f>
        <v xml:space="preserve"> </v>
      </c>
    </row>
    <row r="47" spans="1:21" ht="15.6">
      <c r="A47" s="225" t="s">
        <v>157</v>
      </c>
      <c r="D47" s="140" t="str">
        <f t="shared" si="5"/>
        <v/>
      </c>
      <c r="E47" s="140" t="str">
        <f t="shared" si="6"/>
        <v/>
      </c>
      <c r="F47" s="141" t="str">
        <f t="shared" si="7"/>
        <v/>
      </c>
      <c r="G47" s="141" t="str">
        <f t="shared" si="8"/>
        <v/>
      </c>
      <c r="H47" s="141" t="str">
        <f t="shared" si="9"/>
        <v/>
      </c>
      <c r="I47" s="98"/>
      <c r="R47" t="str">
        <f t="array" ref="R47">IFERROR(INDEX(D$2:D$100, SMALL(IF($I$2:$I$100="YES", ROW($I$2:$I$100)-MIN(ROW($I$2:$I$100))+1), ROW(45:45))), " ")</f>
        <v xml:space="preserve"> </v>
      </c>
      <c r="S47" t="str">
        <f t="array" ref="S47">IFERROR(INDEX(E$2:E$100, SMALL(IF($I$2:$I$100="YES", ROW($I$2:$I$100)-MIN(ROW($I$2:$I$100))+1), ROW(45:45))), " ")</f>
        <v xml:space="preserve"> </v>
      </c>
      <c r="T47" t="str">
        <f t="array" ref="T47">IFERROR(INDEX(F$2:F$100, SMALL(IF($I$2:$I$100="YES", ROW($I$2:$I$100)-MIN(ROW($I$2:$I$100))+1), ROW(45:45))), " ")</f>
        <v xml:space="preserve"> </v>
      </c>
      <c r="U47" t="str">
        <f t="array" ref="U47">IFERROR(INDEX(G$2:G$100, SMALL(IF($I$2:$I$100="YES", ROW($I$2:$I$100)-MIN(ROW($I$2:$I$100))+1), ROW(45:45))), " ")</f>
        <v xml:space="preserve"> </v>
      </c>
    </row>
    <row r="48" spans="1:21" ht="15.6">
      <c r="A48" s="225" t="s">
        <v>259</v>
      </c>
      <c r="D48" s="140" t="str">
        <f t="shared" si="5"/>
        <v/>
      </c>
      <c r="E48" s="140" t="str">
        <f t="shared" si="6"/>
        <v/>
      </c>
      <c r="F48" s="141" t="str">
        <f t="shared" si="7"/>
        <v/>
      </c>
      <c r="G48" s="141" t="str">
        <f t="shared" si="8"/>
        <v/>
      </c>
      <c r="H48" s="141" t="str">
        <f t="shared" si="9"/>
        <v/>
      </c>
      <c r="I48" s="98"/>
      <c r="R48" t="str">
        <f t="array" ref="R48">IFERROR(INDEX(D$2:D$100, SMALL(IF($I$2:$I$100="YES", ROW($I$2:$I$100)-MIN(ROW($I$2:$I$100))+1), ROW(46:46))), " ")</f>
        <v xml:space="preserve"> </v>
      </c>
      <c r="S48" t="str">
        <f t="array" ref="S48">IFERROR(INDEX(E$2:E$100, SMALL(IF($I$2:$I$100="YES", ROW($I$2:$I$100)-MIN(ROW($I$2:$I$100))+1), ROW(46:46))), " ")</f>
        <v xml:space="preserve"> </v>
      </c>
      <c r="T48" t="str">
        <f t="array" ref="T48">IFERROR(INDEX(F$2:F$100, SMALL(IF($I$2:$I$100="YES", ROW($I$2:$I$100)-MIN(ROW($I$2:$I$100))+1), ROW(46:46))), " ")</f>
        <v xml:space="preserve"> </v>
      </c>
      <c r="U48" t="str">
        <f t="array" ref="U48">IFERROR(INDEX(G$2:G$100, SMALL(IF($I$2:$I$100="YES", ROW($I$2:$I$100)-MIN(ROW($I$2:$I$100))+1), ROW(46:46))), " ")</f>
        <v xml:space="preserve"> </v>
      </c>
    </row>
    <row r="49" spans="1:21" ht="15.6">
      <c r="A49" s="225" t="s">
        <v>256</v>
      </c>
      <c r="D49" s="140" t="str">
        <f t="shared" si="5"/>
        <v/>
      </c>
      <c r="E49" s="140" t="str">
        <f t="shared" si="6"/>
        <v/>
      </c>
      <c r="F49" s="141" t="str">
        <f t="shared" si="7"/>
        <v/>
      </c>
      <c r="G49" s="141" t="str">
        <f t="shared" si="8"/>
        <v/>
      </c>
      <c r="H49" s="141" t="str">
        <f t="shared" si="9"/>
        <v/>
      </c>
      <c r="I49" s="98"/>
      <c r="R49" t="str">
        <f t="array" ref="R49">IFERROR(INDEX(D$2:D$100, SMALL(IF($I$2:$I$100="YES", ROW($I$2:$I$100)-MIN(ROW($I$2:$I$100))+1), ROW(47:47))), " ")</f>
        <v xml:space="preserve"> </v>
      </c>
      <c r="S49" t="str">
        <f t="array" ref="S49">IFERROR(INDEX(E$2:E$100, SMALL(IF($I$2:$I$100="YES", ROW($I$2:$I$100)-MIN(ROW($I$2:$I$100))+1), ROW(47:47))), " ")</f>
        <v xml:space="preserve"> </v>
      </c>
      <c r="T49" t="str">
        <f t="array" ref="T49">IFERROR(INDEX(F$2:F$100, SMALL(IF($I$2:$I$100="YES", ROW($I$2:$I$100)-MIN(ROW($I$2:$I$100))+1), ROW(47:47))), " ")</f>
        <v xml:space="preserve"> </v>
      </c>
      <c r="U49" t="str">
        <f t="array" ref="U49">IFERROR(INDEX(G$2:G$100, SMALL(IF($I$2:$I$100="YES", ROW($I$2:$I$100)-MIN(ROW($I$2:$I$100))+1), ROW(47:47))), " ")</f>
        <v xml:space="preserve"> </v>
      </c>
    </row>
    <row r="50" spans="1:21" ht="15.6">
      <c r="A50" s="226">
        <v>842</v>
      </c>
      <c r="D50" s="140" t="str">
        <f t="shared" si="5"/>
        <v/>
      </c>
      <c r="E50" s="140" t="str">
        <f t="shared" si="6"/>
        <v/>
      </c>
      <c r="F50" s="141" t="str">
        <f t="shared" si="7"/>
        <v/>
      </c>
      <c r="G50" s="141" t="str">
        <f t="shared" si="8"/>
        <v/>
      </c>
      <c r="H50" s="141" t="str">
        <f t="shared" si="9"/>
        <v/>
      </c>
      <c r="I50" s="98"/>
      <c r="R50" t="str">
        <f t="array" ref="R50">IFERROR(INDEX(D$2:D$100, SMALL(IF($I$2:$I$100="YES", ROW($I$2:$I$100)-MIN(ROW($I$2:$I$100))+1), ROW(48:48))), " ")</f>
        <v xml:space="preserve"> </v>
      </c>
      <c r="S50" t="str">
        <f t="array" ref="S50">IFERROR(INDEX(E$2:E$100, SMALL(IF($I$2:$I$100="YES", ROW($I$2:$I$100)-MIN(ROW($I$2:$I$100))+1), ROW(48:48))), " ")</f>
        <v xml:space="preserve"> </v>
      </c>
      <c r="T50" t="str">
        <f t="array" ref="T50">IFERROR(INDEX(F$2:F$100, SMALL(IF($I$2:$I$100="YES", ROW($I$2:$I$100)-MIN(ROW($I$2:$I$100))+1), ROW(48:48))), " ")</f>
        <v xml:space="preserve"> </v>
      </c>
      <c r="U50" t="str">
        <f t="array" ref="U50">IFERROR(INDEX(G$2:G$100, SMALL(IF($I$2:$I$100="YES", ROW($I$2:$I$100)-MIN(ROW($I$2:$I$100))+1), ROW(48:48))), " ")</f>
        <v xml:space="preserve"> </v>
      </c>
    </row>
    <row r="51" spans="1:21" ht="15.6">
      <c r="A51" s="226">
        <v>47989</v>
      </c>
      <c r="D51" s="140" t="str">
        <f t="shared" si="5"/>
        <v/>
      </c>
      <c r="E51" s="140" t="str">
        <f t="shared" si="6"/>
        <v/>
      </c>
      <c r="F51" s="141" t="str">
        <f t="shared" si="7"/>
        <v/>
      </c>
      <c r="G51" s="141" t="str">
        <f t="shared" si="8"/>
        <v/>
      </c>
      <c r="H51" s="141" t="str">
        <f t="shared" si="9"/>
        <v/>
      </c>
      <c r="I51" s="98"/>
      <c r="R51" t="str">
        <f t="array" ref="R51">IFERROR(INDEX(D$2:D$100, SMALL(IF($I$2:$I$100="YES", ROW($I$2:$I$100)-MIN(ROW($I$2:$I$100))+1), ROW(49:49))), " ")</f>
        <v xml:space="preserve"> </v>
      </c>
      <c r="S51" t="str">
        <f t="array" ref="S51">IFERROR(INDEX(E$2:E$100, SMALL(IF($I$2:$I$100="YES", ROW($I$2:$I$100)-MIN(ROW($I$2:$I$100))+1), ROW(49:49))), " ")</f>
        <v xml:space="preserve"> </v>
      </c>
      <c r="T51" t="str">
        <f t="array" ref="T51">IFERROR(INDEX(F$2:F$100, SMALL(IF($I$2:$I$100="YES", ROW($I$2:$I$100)-MIN(ROW($I$2:$I$100))+1), ROW(49:49))), " ")</f>
        <v xml:space="preserve"> </v>
      </c>
      <c r="U51" t="str">
        <f t="array" ref="U51">IFERROR(INDEX(G$2:G$100, SMALL(IF($I$2:$I$100="YES", ROW($I$2:$I$100)-MIN(ROW($I$2:$I$100))+1), ROW(49:49))), " ")</f>
        <v xml:space="preserve"> </v>
      </c>
    </row>
    <row r="52" spans="1:21" ht="15.6">
      <c r="A52" s="225" t="s">
        <v>157</v>
      </c>
      <c r="D52" s="140" t="str">
        <f t="shared" si="5"/>
        <v/>
      </c>
      <c r="E52" s="140" t="str">
        <f t="shared" si="6"/>
        <v/>
      </c>
      <c r="F52" s="141" t="str">
        <f t="shared" si="7"/>
        <v/>
      </c>
      <c r="G52" s="141" t="str">
        <f t="shared" si="8"/>
        <v/>
      </c>
      <c r="H52" s="141" t="str">
        <f t="shared" si="9"/>
        <v/>
      </c>
      <c r="I52" s="98"/>
      <c r="R52" t="str">
        <f t="array" ref="R52">IFERROR(INDEX(D$2:D$100, SMALL(IF($I$2:$I$100="YES", ROW($I$2:$I$100)-MIN(ROW($I$2:$I$100))+1), ROW(50:50))), " ")</f>
        <v xml:space="preserve"> </v>
      </c>
      <c r="S52" t="str">
        <f t="array" ref="S52">IFERROR(INDEX(E$2:E$100, SMALL(IF($I$2:$I$100="YES", ROW($I$2:$I$100)-MIN(ROW($I$2:$I$100))+1), ROW(50:50))), " ")</f>
        <v xml:space="preserve"> </v>
      </c>
      <c r="T52" t="str">
        <f t="array" ref="T52">IFERROR(INDEX(F$2:F$100, SMALL(IF($I$2:$I$100="YES", ROW($I$2:$I$100)-MIN(ROW($I$2:$I$100))+1), ROW(50:50))), " ")</f>
        <v xml:space="preserve"> </v>
      </c>
      <c r="U52" t="str">
        <f t="array" ref="U52">IFERROR(INDEX(G$2:G$100, SMALL(IF($I$2:$I$100="YES", ROW($I$2:$I$100)-MIN(ROW($I$2:$I$100))+1), ROW(50:50))), " ")</f>
        <v xml:space="preserve"> </v>
      </c>
    </row>
    <row r="53" spans="1:21" ht="15.6">
      <c r="A53" s="225" t="s">
        <v>262</v>
      </c>
      <c r="D53" s="140" t="str">
        <f t="shared" si="5"/>
        <v/>
      </c>
      <c r="E53" s="140" t="str">
        <f t="shared" si="6"/>
        <v/>
      </c>
      <c r="F53" s="141" t="str">
        <f t="shared" si="7"/>
        <v/>
      </c>
      <c r="G53" s="141" t="str">
        <f t="shared" si="8"/>
        <v/>
      </c>
      <c r="H53" s="141" t="str">
        <f t="shared" si="9"/>
        <v/>
      </c>
      <c r="I53" s="98"/>
      <c r="R53" t="str">
        <f t="array" ref="R53">IFERROR(INDEX(D$2:D$100, SMALL(IF($I$2:$I$100="YES", ROW($I$2:$I$100)-MIN(ROW($I$2:$I$100))+1), ROW(51:51))), " ")</f>
        <v xml:space="preserve"> </v>
      </c>
      <c r="S53" t="str">
        <f t="array" ref="S53">IFERROR(INDEX(E$2:E$100, SMALL(IF($I$2:$I$100="YES", ROW($I$2:$I$100)-MIN(ROW($I$2:$I$100))+1), ROW(51:51))), " ")</f>
        <v xml:space="preserve"> </v>
      </c>
      <c r="T53" t="str">
        <f t="array" ref="T53">IFERROR(INDEX(F$2:F$100, SMALL(IF($I$2:$I$100="YES", ROW($I$2:$I$100)-MIN(ROW($I$2:$I$100))+1), ROW(51:51))), " ")</f>
        <v xml:space="preserve"> </v>
      </c>
      <c r="U53" t="str">
        <f t="array" ref="U53">IFERROR(INDEX(G$2:G$100, SMALL(IF($I$2:$I$100="YES", ROW($I$2:$I$100)-MIN(ROW($I$2:$I$100))+1), ROW(51:51))), " ")</f>
        <v xml:space="preserve"> </v>
      </c>
    </row>
    <row r="54" spans="1:21" ht="15.6">
      <c r="A54" s="225" t="s">
        <v>147</v>
      </c>
      <c r="D54" s="140" t="str">
        <f t="shared" si="5"/>
        <v/>
      </c>
      <c r="E54" s="140" t="str">
        <f t="shared" si="6"/>
        <v/>
      </c>
      <c r="F54" s="141" t="str">
        <f t="shared" si="7"/>
        <v/>
      </c>
      <c r="G54" s="141" t="str">
        <f t="shared" si="8"/>
        <v/>
      </c>
      <c r="H54" s="141" t="str">
        <f t="shared" si="9"/>
        <v/>
      </c>
      <c r="I54" s="98"/>
      <c r="R54" t="str">
        <f t="array" ref="R54">IFERROR(INDEX(D$2:D$100, SMALL(IF($I$2:$I$100="YES", ROW($I$2:$I$100)-MIN(ROW($I$2:$I$100))+1), ROW(52:52))), " ")</f>
        <v xml:space="preserve"> </v>
      </c>
      <c r="S54" t="str">
        <f t="array" ref="S54">IFERROR(INDEX(E$2:E$100, SMALL(IF($I$2:$I$100="YES", ROW($I$2:$I$100)-MIN(ROW($I$2:$I$100))+1), ROW(52:52))), " ")</f>
        <v xml:space="preserve"> </v>
      </c>
      <c r="T54" t="str">
        <f t="array" ref="T54">IFERROR(INDEX(F$2:F$100, SMALL(IF($I$2:$I$100="YES", ROW($I$2:$I$100)-MIN(ROW($I$2:$I$100))+1), ROW(52:52))), " ")</f>
        <v xml:space="preserve"> </v>
      </c>
      <c r="U54" t="str">
        <f t="array" ref="U54">IFERROR(INDEX(G$2:G$100, SMALL(IF($I$2:$I$100="YES", ROW($I$2:$I$100)-MIN(ROW($I$2:$I$100))+1), ROW(52:52))), " ")</f>
        <v xml:space="preserve"> </v>
      </c>
    </row>
    <row r="55" spans="1:21" ht="15.6">
      <c r="A55" s="226">
        <v>255</v>
      </c>
      <c r="D55" s="140" t="str">
        <f t="shared" si="5"/>
        <v/>
      </c>
      <c r="E55" s="140" t="str">
        <f t="shared" si="6"/>
        <v/>
      </c>
      <c r="F55" s="141" t="str">
        <f t="shared" si="7"/>
        <v/>
      </c>
      <c r="G55" s="141" t="str">
        <f t="shared" si="8"/>
        <v/>
      </c>
      <c r="H55" s="141" t="str">
        <f t="shared" si="9"/>
        <v/>
      </c>
      <c r="I55" s="98"/>
      <c r="R55" t="str">
        <f t="array" ref="R55">IFERROR(INDEX(D$2:D$100, SMALL(IF($I$2:$I$100="YES", ROW($I$2:$I$100)-MIN(ROW($I$2:$I$100))+1), ROW(53:53))), " ")</f>
        <v xml:space="preserve"> </v>
      </c>
      <c r="S55" t="str">
        <f t="array" ref="S55">IFERROR(INDEX(E$2:E$100, SMALL(IF($I$2:$I$100="YES", ROW($I$2:$I$100)-MIN(ROW($I$2:$I$100))+1), ROW(53:53))), " ")</f>
        <v xml:space="preserve"> </v>
      </c>
      <c r="T55" t="str">
        <f t="array" ref="T55">IFERROR(INDEX(F$2:F$100, SMALL(IF($I$2:$I$100="YES", ROW($I$2:$I$100)-MIN(ROW($I$2:$I$100))+1), ROW(53:53))), " ")</f>
        <v xml:space="preserve"> </v>
      </c>
      <c r="U55" t="str">
        <f t="array" ref="U55">IFERROR(INDEX(G$2:G$100, SMALL(IF($I$2:$I$100="YES", ROW($I$2:$I$100)-MIN(ROW($I$2:$I$100))+1), ROW(53:53))), " ")</f>
        <v xml:space="preserve"> </v>
      </c>
    </row>
    <row r="56" spans="1:21" ht="15.6">
      <c r="A56" s="226">
        <v>11569</v>
      </c>
      <c r="D56" s="140" t="str">
        <f t="shared" si="5"/>
        <v/>
      </c>
      <c r="E56" s="140" t="str">
        <f t="shared" si="6"/>
        <v/>
      </c>
      <c r="F56" s="141" t="str">
        <f t="shared" si="7"/>
        <v/>
      </c>
      <c r="G56" s="141" t="str">
        <f t="shared" si="8"/>
        <v/>
      </c>
      <c r="H56" s="141" t="str">
        <f t="shared" si="9"/>
        <v/>
      </c>
      <c r="I56" s="98"/>
      <c r="R56" t="str">
        <f t="array" ref="R56">IFERROR(INDEX(D$2:D$100, SMALL(IF($I$2:$I$100="YES", ROW($I$2:$I$100)-MIN(ROW($I$2:$I$100))+1), ROW(54:54))), " ")</f>
        <v xml:space="preserve"> </v>
      </c>
      <c r="S56" t="str">
        <f t="array" ref="S56">IFERROR(INDEX(E$2:E$100, SMALL(IF($I$2:$I$100="YES", ROW($I$2:$I$100)-MIN(ROW($I$2:$I$100))+1), ROW(54:54))), " ")</f>
        <v xml:space="preserve"> </v>
      </c>
      <c r="T56" t="str">
        <f t="array" ref="T56">IFERROR(INDEX(F$2:F$100, SMALL(IF($I$2:$I$100="YES", ROW($I$2:$I$100)-MIN(ROW($I$2:$I$100))+1), ROW(54:54))), " ")</f>
        <v xml:space="preserve"> </v>
      </c>
      <c r="U56" t="str">
        <f t="array" ref="U56">IFERROR(INDEX(G$2:G$100, SMALL(IF($I$2:$I$100="YES", ROW($I$2:$I$100)-MIN(ROW($I$2:$I$100))+1), ROW(54:54))), " ")</f>
        <v xml:space="preserve"> </v>
      </c>
    </row>
    <row r="57" spans="1:21" ht="15.6">
      <c r="A57" s="225" t="s">
        <v>157</v>
      </c>
      <c r="D57" s="140" t="str">
        <f t="shared" si="5"/>
        <v/>
      </c>
      <c r="E57" s="140" t="str">
        <f t="shared" si="6"/>
        <v/>
      </c>
      <c r="F57" s="141" t="str">
        <f t="shared" si="7"/>
        <v/>
      </c>
      <c r="G57" s="141" t="str">
        <f t="shared" si="8"/>
        <v/>
      </c>
      <c r="H57" s="141" t="str">
        <f t="shared" si="9"/>
        <v/>
      </c>
      <c r="I57" s="98"/>
      <c r="R57" t="str">
        <f t="array" ref="R57">IFERROR(INDEX(D$2:D$100, SMALL(IF($I$2:$I$100="YES", ROW($I$2:$I$100)-MIN(ROW($I$2:$I$100))+1), ROW(55:55))), " ")</f>
        <v xml:space="preserve"> </v>
      </c>
      <c r="S57" t="str">
        <f t="array" ref="S57">IFERROR(INDEX(E$2:E$100, SMALL(IF($I$2:$I$100="YES", ROW($I$2:$I$100)-MIN(ROW($I$2:$I$100))+1), ROW(55:55))), " ")</f>
        <v xml:space="preserve"> </v>
      </c>
      <c r="T57" t="str">
        <f t="array" ref="T57">IFERROR(INDEX(F$2:F$100, SMALL(IF($I$2:$I$100="YES", ROW($I$2:$I$100)-MIN(ROW($I$2:$I$100))+1), ROW(55:55))), " ")</f>
        <v xml:space="preserve"> </v>
      </c>
      <c r="U57" t="str">
        <f t="array" ref="U57">IFERROR(INDEX(G$2:G$100, SMALL(IF($I$2:$I$100="YES", ROW($I$2:$I$100)-MIN(ROW($I$2:$I$100))+1), ROW(55:55))), " ")</f>
        <v xml:space="preserve"> </v>
      </c>
    </row>
    <row r="58" spans="1:21" ht="15.6">
      <c r="A58" s="225"/>
      <c r="D58" s="140" t="str">
        <f t="shared" si="5"/>
        <v/>
      </c>
      <c r="E58" s="140" t="str">
        <f t="shared" si="6"/>
        <v/>
      </c>
      <c r="F58" s="141" t="str">
        <f t="shared" si="7"/>
        <v/>
      </c>
      <c r="G58" s="141" t="str">
        <f t="shared" si="8"/>
        <v/>
      </c>
      <c r="H58" s="141" t="str">
        <f t="shared" si="9"/>
        <v/>
      </c>
      <c r="I58" s="98"/>
      <c r="R58" t="str">
        <f t="array" ref="R58">IFERROR(INDEX(D$2:D$100, SMALL(IF($I$2:$I$100="YES", ROW($I$2:$I$100)-MIN(ROW($I$2:$I$100))+1), ROW(56:56))), " ")</f>
        <v xml:space="preserve"> </v>
      </c>
      <c r="S58" t="str">
        <f t="array" ref="S58">IFERROR(INDEX(E$2:E$100, SMALL(IF($I$2:$I$100="YES", ROW($I$2:$I$100)-MIN(ROW($I$2:$I$100))+1), ROW(56:56))), " ")</f>
        <v xml:space="preserve"> </v>
      </c>
      <c r="T58" t="str">
        <f t="array" ref="T58">IFERROR(INDEX(F$2:F$100, SMALL(IF($I$2:$I$100="YES", ROW($I$2:$I$100)-MIN(ROW($I$2:$I$100))+1), ROW(56:56))), " ")</f>
        <v xml:space="preserve"> </v>
      </c>
      <c r="U58" t="str">
        <f t="array" ref="U58">IFERROR(INDEX(G$2:G$100, SMALL(IF($I$2:$I$100="YES", ROW($I$2:$I$100)-MIN(ROW($I$2:$I$100))+1), ROW(56:56))), " ")</f>
        <v xml:space="preserve"> </v>
      </c>
    </row>
    <row r="59" spans="1:21" ht="15.6">
      <c r="A59" s="225"/>
      <c r="D59" s="140" t="str">
        <f t="shared" si="5"/>
        <v/>
      </c>
      <c r="E59" s="140" t="str">
        <f t="shared" si="6"/>
        <v/>
      </c>
      <c r="F59" s="141" t="str">
        <f t="shared" si="7"/>
        <v/>
      </c>
      <c r="G59" s="141" t="str">
        <f t="shared" si="8"/>
        <v/>
      </c>
      <c r="H59" s="141" t="str">
        <f t="shared" si="9"/>
        <v/>
      </c>
      <c r="I59" s="98"/>
      <c r="R59" t="str">
        <f t="array" ref="R59">IFERROR(INDEX(D$2:D$100, SMALL(IF($I$2:$I$100="YES", ROW($I$2:$I$100)-MIN(ROW($I$2:$I$100))+1), ROW(57:57))), " ")</f>
        <v xml:space="preserve"> </v>
      </c>
      <c r="S59" t="str">
        <f t="array" ref="S59">IFERROR(INDEX(E$2:E$100, SMALL(IF($I$2:$I$100="YES", ROW($I$2:$I$100)-MIN(ROW($I$2:$I$100))+1), ROW(57:57))), " ")</f>
        <v xml:space="preserve"> </v>
      </c>
      <c r="T59" t="str">
        <f t="array" ref="T59">IFERROR(INDEX(F$2:F$100, SMALL(IF($I$2:$I$100="YES", ROW($I$2:$I$100)-MIN(ROW($I$2:$I$100))+1), ROW(57:57))), " ")</f>
        <v xml:space="preserve"> </v>
      </c>
      <c r="U59" t="str">
        <f t="array" ref="U59">IFERROR(INDEX(G$2:G$100, SMALL(IF($I$2:$I$100="YES", ROW($I$2:$I$100)-MIN(ROW($I$2:$I$100))+1), ROW(57:57))), " ")</f>
        <v xml:space="preserve"> </v>
      </c>
    </row>
    <row r="60" spans="1:21" ht="15.6">
      <c r="A60" s="226"/>
      <c r="D60" s="140" t="str">
        <f t="shared" si="5"/>
        <v/>
      </c>
      <c r="E60" s="140" t="str">
        <f t="shared" si="6"/>
        <v/>
      </c>
      <c r="F60" s="141" t="str">
        <f t="shared" si="7"/>
        <v/>
      </c>
      <c r="G60" s="141" t="str">
        <f t="shared" si="8"/>
        <v/>
      </c>
      <c r="H60" s="141" t="str">
        <f t="shared" si="9"/>
        <v/>
      </c>
      <c r="I60" s="98"/>
      <c r="R60" t="str">
        <f t="array" ref="R60">IFERROR(INDEX(D$2:D$100, SMALL(IF($I$2:$I$100="YES", ROW($I$2:$I$100)-MIN(ROW($I$2:$I$100))+1), ROW(58:58))), " ")</f>
        <v xml:space="preserve"> </v>
      </c>
      <c r="S60" t="str">
        <f t="array" ref="S60">IFERROR(INDEX(E$2:E$100, SMALL(IF($I$2:$I$100="YES", ROW($I$2:$I$100)-MIN(ROW($I$2:$I$100))+1), ROW(58:58))), " ")</f>
        <v xml:space="preserve"> </v>
      </c>
      <c r="T60" t="str">
        <f t="array" ref="T60">IFERROR(INDEX(F$2:F$100, SMALL(IF($I$2:$I$100="YES", ROW($I$2:$I$100)-MIN(ROW($I$2:$I$100))+1), ROW(58:58))), " ")</f>
        <v xml:space="preserve"> </v>
      </c>
      <c r="U60" t="str">
        <f t="array" ref="U60">IFERROR(INDEX(G$2:G$100, SMALL(IF($I$2:$I$100="YES", ROW($I$2:$I$100)-MIN(ROW($I$2:$I$100))+1), ROW(58:58))), " ")</f>
        <v xml:space="preserve"> </v>
      </c>
    </row>
    <row r="61" spans="1:21">
      <c r="A61" s="226"/>
      <c r="D61" s="140" t="str">
        <f t="shared" si="5"/>
        <v/>
      </c>
      <c r="E61" s="140" t="str">
        <f t="shared" si="6"/>
        <v/>
      </c>
      <c r="F61" s="141" t="str">
        <f t="shared" si="7"/>
        <v/>
      </c>
      <c r="G61" s="141" t="str">
        <f t="shared" si="8"/>
        <v/>
      </c>
      <c r="H61" s="141" t="str">
        <f t="shared" si="9"/>
        <v/>
      </c>
      <c r="R61" t="str">
        <f t="array" ref="R61">IFERROR(INDEX(D$2:D$100, SMALL(IF($I$2:$I$100="YES", ROW($I$2:$I$100)-MIN(ROW($I$2:$I$100))+1), ROW(59:59))), " ")</f>
        <v xml:space="preserve"> </v>
      </c>
      <c r="S61" t="str">
        <f t="array" ref="S61">IFERROR(INDEX(E$2:E$100, SMALL(IF($I$2:$I$100="YES", ROW($I$2:$I$100)-MIN(ROW($I$2:$I$100))+1), ROW(59:59))), " ")</f>
        <v xml:space="preserve"> </v>
      </c>
      <c r="T61" t="str">
        <f t="array" ref="T61">IFERROR(INDEX(F$2:F$100, SMALL(IF($I$2:$I$100="YES", ROW($I$2:$I$100)-MIN(ROW($I$2:$I$100))+1), ROW(59:59))), " ")</f>
        <v xml:space="preserve"> </v>
      </c>
      <c r="U61" t="str">
        <f t="array" ref="U61">IFERROR(INDEX(G$2:G$100, SMALL(IF($I$2:$I$100="YES", ROW($I$2:$I$100)-MIN(ROW($I$2:$I$100))+1), ROW(59:59))), " ")</f>
        <v xml:space="preserve"> </v>
      </c>
    </row>
    <row r="62" spans="1:21">
      <c r="A62" s="225"/>
      <c r="D62" s="140" t="str">
        <f t="shared" si="5"/>
        <v/>
      </c>
      <c r="E62" s="140" t="str">
        <f t="shared" si="6"/>
        <v/>
      </c>
      <c r="F62" s="141" t="str">
        <f t="shared" si="7"/>
        <v/>
      </c>
      <c r="G62" s="141" t="str">
        <f t="shared" si="8"/>
        <v/>
      </c>
      <c r="H62" s="141" t="str">
        <f t="shared" si="9"/>
        <v/>
      </c>
      <c r="R62" t="str">
        <f t="array" ref="R62">IFERROR(INDEX(D$2:D$100, SMALL(IF($I$2:$I$100="YES", ROW($I$2:$I$100)-MIN(ROW($I$2:$I$100))+1), ROW(60:60))), " ")</f>
        <v xml:space="preserve"> </v>
      </c>
      <c r="S62" t="str">
        <f t="array" ref="S62">IFERROR(INDEX(E$2:E$100, SMALL(IF($I$2:$I$100="YES", ROW($I$2:$I$100)-MIN(ROW($I$2:$I$100))+1), ROW(60:60))), " ")</f>
        <v xml:space="preserve"> </v>
      </c>
      <c r="T62" t="str">
        <f t="array" ref="T62">IFERROR(INDEX(F$2:F$100, SMALL(IF($I$2:$I$100="YES", ROW($I$2:$I$100)-MIN(ROW($I$2:$I$100))+1), ROW(60:60))), " ")</f>
        <v xml:space="preserve"> </v>
      </c>
      <c r="U62" t="str">
        <f t="array" ref="U62">IFERROR(INDEX(G$2:G$100, SMALL(IF($I$2:$I$100="YES", ROW($I$2:$I$100)-MIN(ROW($I$2:$I$100))+1), ROW(60:60))), " ")</f>
        <v xml:space="preserve"> </v>
      </c>
    </row>
    <row r="63" spans="1:21">
      <c r="A63" s="225"/>
      <c r="D63" s="140" t="str">
        <f t="shared" si="5"/>
        <v/>
      </c>
      <c r="E63" s="140" t="str">
        <f t="shared" si="6"/>
        <v/>
      </c>
      <c r="F63" s="141" t="str">
        <f t="shared" si="7"/>
        <v/>
      </c>
      <c r="G63" s="141" t="str">
        <f t="shared" si="8"/>
        <v/>
      </c>
      <c r="H63" s="141" t="str">
        <f t="shared" si="9"/>
        <v/>
      </c>
      <c r="R63" t="str">
        <f t="array" ref="R63">IFERROR(INDEX(D$2:D$100, SMALL(IF($I$2:$I$100="YES", ROW($I$2:$I$100)-MIN(ROW($I$2:$I$100))+1), ROW(61:61))), " ")</f>
        <v xml:space="preserve"> </v>
      </c>
      <c r="S63" t="str">
        <f t="array" ref="S63">IFERROR(INDEX(E$2:E$100, SMALL(IF($I$2:$I$100="YES", ROW($I$2:$I$100)-MIN(ROW($I$2:$I$100))+1), ROW(61:61))), " ")</f>
        <v xml:space="preserve"> </v>
      </c>
      <c r="T63" t="str">
        <f t="array" ref="T63">IFERROR(INDEX(F$2:F$100, SMALL(IF($I$2:$I$100="YES", ROW($I$2:$I$100)-MIN(ROW($I$2:$I$100))+1), ROW(61:61))), " ")</f>
        <v xml:space="preserve"> </v>
      </c>
      <c r="U63" t="str">
        <f t="array" ref="U63">IFERROR(INDEX(G$2:G$100, SMALL(IF($I$2:$I$100="YES", ROW($I$2:$I$100)-MIN(ROW($I$2:$I$100))+1), ROW(61:61))), " ")</f>
        <v xml:space="preserve"> </v>
      </c>
    </row>
    <row r="64" spans="1:21">
      <c r="A64" s="225"/>
      <c r="D64" s="140" t="str">
        <f t="shared" si="5"/>
        <v/>
      </c>
      <c r="E64" s="140" t="str">
        <f t="shared" si="6"/>
        <v/>
      </c>
      <c r="F64" s="141" t="str">
        <f t="shared" si="7"/>
        <v/>
      </c>
      <c r="G64" s="141" t="str">
        <f t="shared" si="8"/>
        <v/>
      </c>
      <c r="H64" s="141" t="str">
        <f t="shared" si="9"/>
        <v/>
      </c>
      <c r="R64" t="str">
        <f t="array" ref="R64">IFERROR(INDEX(D$2:D$100, SMALL(IF($I$2:$I$100="YES", ROW($I$2:$I$100)-MIN(ROW($I$2:$I$100))+1), ROW(62:62))), " ")</f>
        <v xml:space="preserve"> </v>
      </c>
      <c r="S64" t="str">
        <f t="array" ref="S64">IFERROR(INDEX(E$2:E$100, SMALL(IF($I$2:$I$100="YES", ROW($I$2:$I$100)-MIN(ROW($I$2:$I$100))+1), ROW(62:62))), " ")</f>
        <v xml:space="preserve"> </v>
      </c>
      <c r="T64" t="str">
        <f t="array" ref="T64">IFERROR(INDEX(F$2:F$100, SMALL(IF($I$2:$I$100="YES", ROW($I$2:$I$100)-MIN(ROW($I$2:$I$100))+1), ROW(62:62))), " ")</f>
        <v xml:space="preserve"> </v>
      </c>
      <c r="U64" t="str">
        <f t="array" ref="U64">IFERROR(INDEX(G$2:G$100, SMALL(IF($I$2:$I$100="YES", ROW($I$2:$I$100)-MIN(ROW($I$2:$I$100))+1), ROW(62:62))), " ")</f>
        <v xml:space="preserve"> </v>
      </c>
    </row>
    <row r="65" spans="1:21">
      <c r="A65" s="226"/>
      <c r="D65" s="140" t="str">
        <f t="shared" si="5"/>
        <v/>
      </c>
      <c r="E65" s="140" t="str">
        <f t="shared" si="6"/>
        <v/>
      </c>
      <c r="F65" s="141" t="str">
        <f t="shared" si="7"/>
        <v/>
      </c>
      <c r="G65" s="141" t="str">
        <f t="shared" si="8"/>
        <v/>
      </c>
      <c r="H65" s="141" t="str">
        <f t="shared" si="9"/>
        <v/>
      </c>
      <c r="R65" t="str">
        <f t="array" ref="R65">IFERROR(INDEX(D$2:D$100, SMALL(IF($I$2:$I$100="YES", ROW($I$2:$I$100)-MIN(ROW($I$2:$I$100))+1), ROW(63:63))), " ")</f>
        <v xml:space="preserve"> </v>
      </c>
      <c r="S65" t="str">
        <f t="array" ref="S65">IFERROR(INDEX(E$2:E$100, SMALL(IF($I$2:$I$100="YES", ROW($I$2:$I$100)-MIN(ROW($I$2:$I$100))+1), ROW(63:63))), " ")</f>
        <v xml:space="preserve"> </v>
      </c>
      <c r="T65" t="str">
        <f t="array" ref="T65">IFERROR(INDEX(F$2:F$100, SMALL(IF($I$2:$I$100="YES", ROW($I$2:$I$100)-MIN(ROW($I$2:$I$100))+1), ROW(63:63))), " ")</f>
        <v xml:space="preserve"> </v>
      </c>
      <c r="U65" t="str">
        <f t="array" ref="U65">IFERROR(INDEX(G$2:G$100, SMALL(IF($I$2:$I$100="YES", ROW($I$2:$I$100)-MIN(ROW($I$2:$I$100))+1), ROW(63:63))), " ")</f>
        <v xml:space="preserve"> </v>
      </c>
    </row>
    <row r="66" spans="1:21">
      <c r="A66" s="226"/>
      <c r="D66" s="140" t="str">
        <f t="shared" si="5"/>
        <v/>
      </c>
      <c r="E66" s="140" t="str">
        <f t="shared" si="6"/>
        <v/>
      </c>
      <c r="F66" s="141" t="str">
        <f t="shared" si="7"/>
        <v/>
      </c>
      <c r="G66" s="141" t="str">
        <f t="shared" si="8"/>
        <v/>
      </c>
      <c r="H66" s="141" t="str">
        <f t="shared" si="9"/>
        <v/>
      </c>
      <c r="R66" t="str">
        <f t="array" ref="R66">IFERROR(INDEX(D$2:D$100, SMALL(IF($I$2:$I$100="YES", ROW($I$2:$I$100)-MIN(ROW($I$2:$I$100))+1), ROW(64:64))), " ")</f>
        <v xml:space="preserve"> </v>
      </c>
      <c r="S66" t="str">
        <f t="array" ref="S66">IFERROR(INDEX(E$2:E$100, SMALL(IF($I$2:$I$100="YES", ROW($I$2:$I$100)-MIN(ROW($I$2:$I$100))+1), ROW(64:64))), " ")</f>
        <v xml:space="preserve"> </v>
      </c>
      <c r="T66" t="str">
        <f t="array" ref="T66">IFERROR(INDEX(F$2:F$100, SMALL(IF($I$2:$I$100="YES", ROW($I$2:$I$100)-MIN(ROW($I$2:$I$100))+1), ROW(64:64))), " ")</f>
        <v xml:space="preserve"> </v>
      </c>
      <c r="U66" t="str">
        <f t="array" ref="U66">IFERROR(INDEX(G$2:G$100, SMALL(IF($I$2:$I$100="YES", ROW($I$2:$I$100)-MIN(ROW($I$2:$I$100))+1), ROW(64:64))), " ")</f>
        <v xml:space="preserve"> </v>
      </c>
    </row>
    <row r="67" spans="1:21">
      <c r="A67" s="225"/>
      <c r="D67" s="140" t="str">
        <f t="shared" ref="D67:D98" si="10">IF(INDEX($A$3:$A$1000, (ROW(D67)-ROW($D$3))*5+1) = "", "", INDEX($A$3:$A$1000, (ROW(D67)-ROW($D$3))*5+1))</f>
        <v/>
      </c>
      <c r="E67" s="140" t="str">
        <f t="shared" ref="E67:E98" si="11">IF(INDEX($A$3:$A$1000, (ROW(D67)-ROW($D$3))*5+2) = "", "", INDEX($A$3:$A$1000, (ROW(D67)-ROW($D$3))*5+2))</f>
        <v/>
      </c>
      <c r="F67" s="141" t="str">
        <f t="shared" ref="F67:F98" si="12">IF(INDEX($A$3:$A$1000, (ROW(D67)-ROW($D$3))*5+4) = "", "", INDEX($A$3:$A$1000, (ROW(D67)-ROW($D$3))*5+4))</f>
        <v/>
      </c>
      <c r="G67" s="141" t="str">
        <f t="shared" ref="G67:G98" si="13">IF(INDEX($A$3:$A$1000, (ROW(D67)-ROW($D$3))*5+3) = "", "", INDEX($A$3:$A$1000, (ROW(D67)-ROW($D$3))*5+3))</f>
        <v/>
      </c>
      <c r="H67" s="141" t="str">
        <f t="shared" ref="H67:H98" si="14">IF(INDEX($A$3:$A$1000, (ROW(D67)-ROW($D$3))*5+5) = "", "", INDEX($A$3:$A$1000, (ROW(D67)-ROW($D$3))*5+5))</f>
        <v/>
      </c>
      <c r="R67" t="str">
        <f t="array" ref="R67">IFERROR(INDEX(D$2:D$100, SMALL(IF($I$2:$I$100="YES", ROW($I$2:$I$100)-MIN(ROW($I$2:$I$100))+1), ROW(65:65))), " ")</f>
        <v xml:space="preserve"> </v>
      </c>
      <c r="S67" t="str">
        <f t="array" ref="S67">IFERROR(INDEX(E$2:E$100, SMALL(IF($I$2:$I$100="YES", ROW($I$2:$I$100)-MIN(ROW($I$2:$I$100))+1), ROW(65:65))), " ")</f>
        <v xml:space="preserve"> </v>
      </c>
      <c r="T67" t="str">
        <f t="array" ref="T67">IFERROR(INDEX(F$2:F$100, SMALL(IF($I$2:$I$100="YES", ROW($I$2:$I$100)-MIN(ROW($I$2:$I$100))+1), ROW(65:65))), " ")</f>
        <v xml:space="preserve"> </v>
      </c>
      <c r="U67" t="str">
        <f t="array" ref="U67">IFERROR(INDEX(G$2:G$100, SMALL(IF($I$2:$I$100="YES", ROW($I$2:$I$100)-MIN(ROW($I$2:$I$100))+1), ROW(65:65))), " ")</f>
        <v xml:space="preserve"> </v>
      </c>
    </row>
    <row r="68" spans="1:21">
      <c r="A68" s="225"/>
      <c r="D68" s="140" t="str">
        <f t="shared" si="10"/>
        <v/>
      </c>
      <c r="E68" s="140" t="str">
        <f t="shared" si="11"/>
        <v/>
      </c>
      <c r="F68" s="141" t="str">
        <f t="shared" si="12"/>
        <v/>
      </c>
      <c r="G68" s="141" t="str">
        <f t="shared" si="13"/>
        <v/>
      </c>
      <c r="H68" s="141" t="str">
        <f t="shared" si="14"/>
        <v/>
      </c>
      <c r="R68" t="str">
        <f t="array" ref="R68">IFERROR(INDEX(D$2:D$100, SMALL(IF($I$2:$I$100="YES", ROW($I$2:$I$100)-MIN(ROW($I$2:$I$100))+1), ROW(66:66))), " ")</f>
        <v xml:space="preserve"> </v>
      </c>
      <c r="S68" t="str">
        <f t="array" ref="S68">IFERROR(INDEX(E$2:E$100, SMALL(IF($I$2:$I$100="YES", ROW($I$2:$I$100)-MIN(ROW($I$2:$I$100))+1), ROW(66:66))), " ")</f>
        <v xml:space="preserve"> </v>
      </c>
      <c r="T68" t="str">
        <f t="array" ref="T68">IFERROR(INDEX(F$2:F$100, SMALL(IF($I$2:$I$100="YES", ROW($I$2:$I$100)-MIN(ROW($I$2:$I$100))+1), ROW(66:66))), " ")</f>
        <v xml:space="preserve"> </v>
      </c>
      <c r="U68" t="str">
        <f t="array" ref="U68">IFERROR(INDEX(G$2:G$100, SMALL(IF($I$2:$I$100="YES", ROW($I$2:$I$100)-MIN(ROW($I$2:$I$100))+1), ROW(66:66))), " ")</f>
        <v xml:space="preserve"> </v>
      </c>
    </row>
    <row r="69" spans="1:21">
      <c r="A69" s="225"/>
      <c r="D69" s="140" t="str">
        <f t="shared" si="10"/>
        <v/>
      </c>
      <c r="E69" s="140" t="str">
        <f t="shared" si="11"/>
        <v/>
      </c>
      <c r="F69" s="141" t="str">
        <f t="shared" si="12"/>
        <v/>
      </c>
      <c r="G69" s="141" t="str">
        <f t="shared" si="13"/>
        <v/>
      </c>
      <c r="H69" s="141" t="str">
        <f t="shared" si="14"/>
        <v/>
      </c>
      <c r="R69" t="str">
        <f t="array" ref="R69">IFERROR(INDEX(D$2:D$100, SMALL(IF($I$2:$I$100="YES", ROW($I$2:$I$100)-MIN(ROW($I$2:$I$100))+1), ROW(67:67))), " ")</f>
        <v xml:space="preserve"> </v>
      </c>
      <c r="S69" t="str">
        <f t="array" ref="S69">IFERROR(INDEX(E$2:E$100, SMALL(IF($I$2:$I$100="YES", ROW($I$2:$I$100)-MIN(ROW($I$2:$I$100))+1), ROW(67:67))), " ")</f>
        <v xml:space="preserve"> </v>
      </c>
      <c r="T69" t="str">
        <f t="array" ref="T69">IFERROR(INDEX(F$2:F$100, SMALL(IF($I$2:$I$100="YES", ROW($I$2:$I$100)-MIN(ROW($I$2:$I$100))+1), ROW(67:67))), " ")</f>
        <v xml:space="preserve"> </v>
      </c>
      <c r="U69" t="str">
        <f t="array" ref="U69">IFERROR(INDEX(G$2:G$100, SMALL(IF($I$2:$I$100="YES", ROW($I$2:$I$100)-MIN(ROW($I$2:$I$100))+1), ROW(67:67))), " ")</f>
        <v xml:space="preserve"> </v>
      </c>
    </row>
    <row r="70" spans="1:21">
      <c r="A70" s="226"/>
      <c r="D70" s="140" t="str">
        <f t="shared" si="10"/>
        <v/>
      </c>
      <c r="E70" s="140" t="str">
        <f t="shared" si="11"/>
        <v/>
      </c>
      <c r="F70" s="141" t="str">
        <f t="shared" si="12"/>
        <v/>
      </c>
      <c r="G70" s="141" t="str">
        <f t="shared" si="13"/>
        <v/>
      </c>
      <c r="H70" s="141" t="str">
        <f t="shared" si="14"/>
        <v/>
      </c>
      <c r="R70" t="str">
        <f t="array" ref="R70">IFERROR(INDEX(D$2:D$100, SMALL(IF($I$2:$I$100="YES", ROW($I$2:$I$100)-MIN(ROW($I$2:$I$100))+1), ROW(68:68))), " ")</f>
        <v xml:space="preserve"> </v>
      </c>
      <c r="S70" t="str">
        <f t="array" ref="S70">IFERROR(INDEX(E$2:E$100, SMALL(IF($I$2:$I$100="YES", ROW($I$2:$I$100)-MIN(ROW($I$2:$I$100))+1), ROW(68:68))), " ")</f>
        <v xml:space="preserve"> </v>
      </c>
      <c r="T70" t="str">
        <f t="array" ref="T70">IFERROR(INDEX(F$2:F$100, SMALL(IF($I$2:$I$100="YES", ROW($I$2:$I$100)-MIN(ROW($I$2:$I$100))+1), ROW(68:68))), " ")</f>
        <v xml:space="preserve"> </v>
      </c>
      <c r="U70" t="str">
        <f t="array" ref="U70">IFERROR(INDEX(G$2:G$100, SMALL(IF($I$2:$I$100="YES", ROW($I$2:$I$100)-MIN(ROW($I$2:$I$100))+1), ROW(68:68))), " ")</f>
        <v xml:space="preserve"> </v>
      </c>
    </row>
    <row r="71" spans="1:21">
      <c r="A71" s="226"/>
      <c r="D71" s="140" t="str">
        <f t="shared" si="10"/>
        <v/>
      </c>
      <c r="E71" s="140" t="str">
        <f t="shared" si="11"/>
        <v/>
      </c>
      <c r="F71" s="141" t="str">
        <f t="shared" si="12"/>
        <v/>
      </c>
      <c r="G71" s="141" t="str">
        <f t="shared" si="13"/>
        <v/>
      </c>
      <c r="H71" s="141" t="str">
        <f t="shared" si="14"/>
        <v/>
      </c>
      <c r="R71" t="str">
        <f t="array" ref="R71">IFERROR(INDEX(D$2:D$100, SMALL(IF($I$2:$I$100="YES", ROW($I$2:$I$100)-MIN(ROW($I$2:$I$100))+1), ROW(69:69))), " ")</f>
        <v xml:space="preserve"> </v>
      </c>
      <c r="S71" t="str">
        <f t="array" ref="S71">IFERROR(INDEX(E$2:E$100, SMALL(IF($I$2:$I$100="YES", ROW($I$2:$I$100)-MIN(ROW($I$2:$I$100))+1), ROW(69:69))), " ")</f>
        <v xml:space="preserve"> </v>
      </c>
      <c r="T71" t="str">
        <f t="array" ref="T71">IFERROR(INDEX(F$2:F$100, SMALL(IF($I$2:$I$100="YES", ROW($I$2:$I$100)-MIN(ROW($I$2:$I$100))+1), ROW(69:69))), " ")</f>
        <v xml:space="preserve"> </v>
      </c>
      <c r="U71" t="str">
        <f t="array" ref="U71">IFERROR(INDEX(G$2:G$100, SMALL(IF($I$2:$I$100="YES", ROW($I$2:$I$100)-MIN(ROW($I$2:$I$100))+1), ROW(69:69))), " ")</f>
        <v xml:space="preserve"> </v>
      </c>
    </row>
    <row r="72" spans="1:21">
      <c r="A72" s="225"/>
      <c r="D72" s="140" t="str">
        <f t="shared" si="10"/>
        <v/>
      </c>
      <c r="E72" s="140" t="str">
        <f t="shared" si="11"/>
        <v/>
      </c>
      <c r="F72" s="141" t="str">
        <f t="shared" si="12"/>
        <v/>
      </c>
      <c r="G72" s="141" t="str">
        <f t="shared" si="13"/>
        <v/>
      </c>
      <c r="H72" s="141" t="str">
        <f t="shared" si="14"/>
        <v/>
      </c>
      <c r="R72" t="str">
        <f t="array" ref="R72">IFERROR(INDEX(D$2:D$100, SMALL(IF($I$2:$I$100="YES", ROW($I$2:$I$100)-MIN(ROW($I$2:$I$100))+1), ROW(70:70))), " ")</f>
        <v xml:space="preserve"> </v>
      </c>
      <c r="S72" t="str">
        <f t="array" ref="S72">IFERROR(INDEX(E$2:E$100, SMALL(IF($I$2:$I$100="YES", ROW($I$2:$I$100)-MIN(ROW($I$2:$I$100))+1), ROW(70:70))), " ")</f>
        <v xml:space="preserve"> </v>
      </c>
      <c r="T72" t="str">
        <f t="array" ref="T72">IFERROR(INDEX(F$2:F$100, SMALL(IF($I$2:$I$100="YES", ROW($I$2:$I$100)-MIN(ROW($I$2:$I$100))+1), ROW(70:70))), " ")</f>
        <v xml:space="preserve"> </v>
      </c>
      <c r="U72" t="str">
        <f t="array" ref="U72">IFERROR(INDEX(G$2:G$100, SMALL(IF($I$2:$I$100="YES", ROW($I$2:$I$100)-MIN(ROW($I$2:$I$100))+1), ROW(70:70))), " ")</f>
        <v xml:space="preserve"> </v>
      </c>
    </row>
    <row r="73" spans="1:21">
      <c r="A73" s="225"/>
      <c r="D73" s="140" t="str">
        <f t="shared" si="10"/>
        <v/>
      </c>
      <c r="E73" s="140" t="str">
        <f t="shared" si="11"/>
        <v/>
      </c>
      <c r="F73" s="141" t="str">
        <f t="shared" si="12"/>
        <v/>
      </c>
      <c r="G73" s="141" t="str">
        <f t="shared" si="13"/>
        <v/>
      </c>
      <c r="H73" s="141" t="str">
        <f t="shared" si="14"/>
        <v/>
      </c>
      <c r="R73" t="str">
        <f t="array" ref="R73">IFERROR(INDEX(D$2:D$100, SMALL(IF($I$2:$I$100="YES", ROW($I$2:$I$100)-MIN(ROW($I$2:$I$100))+1), ROW(71:71))), " ")</f>
        <v xml:space="preserve"> </v>
      </c>
      <c r="S73" t="str">
        <f t="array" ref="S73">IFERROR(INDEX(E$2:E$100, SMALL(IF($I$2:$I$100="YES", ROW($I$2:$I$100)-MIN(ROW($I$2:$I$100))+1), ROW(71:71))), " ")</f>
        <v xml:space="preserve"> </v>
      </c>
      <c r="T73" t="str">
        <f t="array" ref="T73">IFERROR(INDEX(F$2:F$100, SMALL(IF($I$2:$I$100="YES", ROW($I$2:$I$100)-MIN(ROW($I$2:$I$100))+1), ROW(71:71))), " ")</f>
        <v xml:space="preserve"> </v>
      </c>
      <c r="U73" t="str">
        <f t="array" ref="U73">IFERROR(INDEX(G$2:G$100, SMALL(IF($I$2:$I$100="YES", ROW($I$2:$I$100)-MIN(ROW($I$2:$I$100))+1), ROW(71:71))), " ")</f>
        <v xml:space="preserve"> </v>
      </c>
    </row>
    <row r="74" spans="1:21">
      <c r="A74" s="225"/>
      <c r="D74" s="140" t="str">
        <f t="shared" si="10"/>
        <v/>
      </c>
      <c r="E74" s="140" t="str">
        <f t="shared" si="11"/>
        <v/>
      </c>
      <c r="F74" s="141" t="str">
        <f t="shared" si="12"/>
        <v/>
      </c>
      <c r="G74" s="141" t="str">
        <f t="shared" si="13"/>
        <v/>
      </c>
      <c r="H74" s="141" t="str">
        <f t="shared" si="14"/>
        <v/>
      </c>
      <c r="R74" t="str">
        <f t="array" ref="R74">IFERROR(INDEX(D$2:D$100, SMALL(IF($I$2:$I$100="YES", ROW($I$2:$I$100)-MIN(ROW($I$2:$I$100))+1), ROW(72:72))), " ")</f>
        <v xml:space="preserve"> </v>
      </c>
      <c r="S74" t="str">
        <f t="array" ref="S74">IFERROR(INDEX(E$2:E$100, SMALL(IF($I$2:$I$100="YES", ROW($I$2:$I$100)-MIN(ROW($I$2:$I$100))+1), ROW(72:72))), " ")</f>
        <v xml:space="preserve"> </v>
      </c>
      <c r="T74" t="str">
        <f t="array" ref="T74">IFERROR(INDEX(F$2:F$100, SMALL(IF($I$2:$I$100="YES", ROW($I$2:$I$100)-MIN(ROW($I$2:$I$100))+1), ROW(72:72))), " ")</f>
        <v xml:space="preserve"> </v>
      </c>
      <c r="U74" t="str">
        <f t="array" ref="U74">IFERROR(INDEX(G$2:G$100, SMALL(IF($I$2:$I$100="YES", ROW($I$2:$I$100)-MIN(ROW($I$2:$I$100))+1), ROW(72:72))), " ")</f>
        <v xml:space="preserve"> </v>
      </c>
    </row>
    <row r="75" spans="1:21">
      <c r="A75" s="226"/>
      <c r="D75" s="140" t="str">
        <f t="shared" si="10"/>
        <v/>
      </c>
      <c r="E75" s="140" t="str">
        <f t="shared" si="11"/>
        <v/>
      </c>
      <c r="F75" s="141" t="str">
        <f t="shared" si="12"/>
        <v/>
      </c>
      <c r="G75" s="141" t="str">
        <f t="shared" si="13"/>
        <v/>
      </c>
      <c r="H75" s="141" t="str">
        <f t="shared" si="14"/>
        <v/>
      </c>
      <c r="R75" t="str">
        <f t="array" ref="R75">IFERROR(INDEX(D$2:D$100, SMALL(IF($I$2:$I$100="YES", ROW($I$2:$I$100)-MIN(ROW($I$2:$I$100))+1), ROW(73:73))), " ")</f>
        <v xml:space="preserve"> </v>
      </c>
      <c r="S75" t="str">
        <f t="array" ref="S75">IFERROR(INDEX(E$2:E$100, SMALL(IF($I$2:$I$100="YES", ROW($I$2:$I$100)-MIN(ROW($I$2:$I$100))+1), ROW(73:73))), " ")</f>
        <v xml:space="preserve"> </v>
      </c>
      <c r="T75" t="str">
        <f t="array" ref="T75">IFERROR(INDEX(F$2:F$100, SMALL(IF($I$2:$I$100="YES", ROW($I$2:$I$100)-MIN(ROW($I$2:$I$100))+1), ROW(73:73))), " ")</f>
        <v xml:space="preserve"> </v>
      </c>
      <c r="U75" t="str">
        <f t="array" ref="U75">IFERROR(INDEX(G$2:G$100, SMALL(IF($I$2:$I$100="YES", ROW($I$2:$I$100)-MIN(ROW($I$2:$I$100))+1), ROW(73:73))), " ")</f>
        <v xml:space="preserve"> </v>
      </c>
    </row>
    <row r="76" spans="1:21">
      <c r="A76" s="226"/>
      <c r="D76" s="140" t="str">
        <f t="shared" si="10"/>
        <v/>
      </c>
      <c r="E76" s="140" t="str">
        <f t="shared" si="11"/>
        <v/>
      </c>
      <c r="F76" s="141" t="str">
        <f t="shared" si="12"/>
        <v/>
      </c>
      <c r="G76" s="141" t="str">
        <f t="shared" si="13"/>
        <v/>
      </c>
      <c r="H76" s="141" t="str">
        <f t="shared" si="14"/>
        <v/>
      </c>
      <c r="R76" t="str">
        <f t="array" ref="R76">IFERROR(INDEX(D$2:D$100, SMALL(IF($I$2:$I$100="YES", ROW($I$2:$I$100)-MIN(ROW($I$2:$I$100))+1), ROW(74:74))), " ")</f>
        <v xml:space="preserve"> </v>
      </c>
      <c r="S76" t="str">
        <f t="array" ref="S76">IFERROR(INDEX(E$2:E$100, SMALL(IF($I$2:$I$100="YES", ROW($I$2:$I$100)-MIN(ROW($I$2:$I$100))+1), ROW(74:74))), " ")</f>
        <v xml:space="preserve"> </v>
      </c>
      <c r="T76" t="str">
        <f t="array" ref="T76">IFERROR(INDEX(F$2:F$100, SMALL(IF($I$2:$I$100="YES", ROW($I$2:$I$100)-MIN(ROW($I$2:$I$100))+1), ROW(74:74))), " ")</f>
        <v xml:space="preserve"> </v>
      </c>
      <c r="U76" t="str">
        <f t="array" ref="U76">IFERROR(INDEX(G$2:G$100, SMALL(IF($I$2:$I$100="YES", ROW($I$2:$I$100)-MIN(ROW($I$2:$I$100))+1), ROW(74:74))), " ")</f>
        <v xml:space="preserve"> </v>
      </c>
    </row>
    <row r="77" spans="1:21">
      <c r="A77" s="225"/>
      <c r="D77" s="140" t="str">
        <f t="shared" si="10"/>
        <v/>
      </c>
      <c r="E77" s="140" t="str">
        <f t="shared" si="11"/>
        <v/>
      </c>
      <c r="F77" s="141" t="str">
        <f t="shared" si="12"/>
        <v/>
      </c>
      <c r="G77" s="141" t="str">
        <f t="shared" si="13"/>
        <v/>
      </c>
      <c r="H77" s="141" t="str">
        <f t="shared" si="14"/>
        <v/>
      </c>
      <c r="R77" t="str">
        <f t="array" ref="R77">IFERROR(INDEX(D$2:D$100, SMALL(IF($I$2:$I$100="YES", ROW($I$2:$I$100)-MIN(ROW($I$2:$I$100))+1), ROW(75:75))), " ")</f>
        <v xml:space="preserve"> </v>
      </c>
      <c r="S77" t="str">
        <f t="array" ref="S77">IFERROR(INDEX(E$2:E$100, SMALL(IF($I$2:$I$100="YES", ROW($I$2:$I$100)-MIN(ROW($I$2:$I$100))+1), ROW(75:75))), " ")</f>
        <v xml:space="preserve"> </v>
      </c>
      <c r="T77" t="str">
        <f t="array" ref="T77">IFERROR(INDEX(F$2:F$100, SMALL(IF($I$2:$I$100="YES", ROW($I$2:$I$100)-MIN(ROW($I$2:$I$100))+1), ROW(75:75))), " ")</f>
        <v xml:space="preserve"> </v>
      </c>
      <c r="U77" t="str">
        <f t="array" ref="U77">IFERROR(INDEX(G$2:G$100, SMALL(IF($I$2:$I$100="YES", ROW($I$2:$I$100)-MIN(ROW($I$2:$I$100))+1), ROW(75:75))), " ")</f>
        <v xml:space="preserve"> </v>
      </c>
    </row>
    <row r="78" spans="1:21">
      <c r="A78" s="225"/>
      <c r="D78" s="140" t="str">
        <f t="shared" si="10"/>
        <v/>
      </c>
      <c r="E78" s="140" t="str">
        <f t="shared" si="11"/>
        <v/>
      </c>
      <c r="F78" s="141" t="str">
        <f t="shared" si="12"/>
        <v/>
      </c>
      <c r="G78" s="141" t="str">
        <f t="shared" si="13"/>
        <v/>
      </c>
      <c r="H78" s="141" t="str">
        <f t="shared" si="14"/>
        <v/>
      </c>
      <c r="R78" t="str">
        <f t="array" ref="R78">IFERROR(INDEX(D$2:D$100, SMALL(IF($I$2:$I$100="YES", ROW($I$2:$I$100)-MIN(ROW($I$2:$I$100))+1), ROW(76:76))), " ")</f>
        <v xml:space="preserve"> </v>
      </c>
      <c r="S78" t="str">
        <f t="array" ref="S78">IFERROR(INDEX(E$2:E$100, SMALL(IF($I$2:$I$100="YES", ROW($I$2:$I$100)-MIN(ROW($I$2:$I$100))+1), ROW(76:76))), " ")</f>
        <v xml:space="preserve"> </v>
      </c>
      <c r="T78" t="str">
        <f t="array" ref="T78">IFERROR(INDEX(F$2:F$100, SMALL(IF($I$2:$I$100="YES", ROW($I$2:$I$100)-MIN(ROW($I$2:$I$100))+1), ROW(76:76))), " ")</f>
        <v xml:space="preserve"> </v>
      </c>
      <c r="U78" t="str">
        <f t="array" ref="U78">IFERROR(INDEX(G$2:G$100, SMALL(IF($I$2:$I$100="YES", ROW($I$2:$I$100)-MIN(ROW($I$2:$I$100))+1), ROW(76:76))), " ")</f>
        <v xml:space="preserve"> </v>
      </c>
    </row>
    <row r="79" spans="1:21">
      <c r="A79" s="225"/>
      <c r="D79" s="140" t="str">
        <f t="shared" si="10"/>
        <v/>
      </c>
      <c r="E79" s="140" t="str">
        <f t="shared" si="11"/>
        <v/>
      </c>
      <c r="F79" s="141" t="str">
        <f t="shared" si="12"/>
        <v/>
      </c>
      <c r="G79" s="141" t="str">
        <f t="shared" si="13"/>
        <v/>
      </c>
      <c r="H79" s="141" t="str">
        <f t="shared" si="14"/>
        <v/>
      </c>
      <c r="R79" t="str">
        <f t="array" ref="R79">IFERROR(INDEX(D$2:D$100, SMALL(IF($I$2:$I$100="YES", ROW($I$2:$I$100)-MIN(ROW($I$2:$I$100))+1), ROW(77:77))), " ")</f>
        <v xml:space="preserve"> </v>
      </c>
      <c r="S79" t="str">
        <f t="array" ref="S79">IFERROR(INDEX(E$2:E$100, SMALL(IF($I$2:$I$100="YES", ROW($I$2:$I$100)-MIN(ROW($I$2:$I$100))+1), ROW(77:77))), " ")</f>
        <v xml:space="preserve"> </v>
      </c>
      <c r="T79" t="str">
        <f t="array" ref="T79">IFERROR(INDEX(F$2:F$100, SMALL(IF($I$2:$I$100="YES", ROW($I$2:$I$100)-MIN(ROW($I$2:$I$100))+1), ROW(77:77))), " ")</f>
        <v xml:space="preserve"> </v>
      </c>
      <c r="U79" t="str">
        <f t="array" ref="U79">IFERROR(INDEX(G$2:G$100, SMALL(IF($I$2:$I$100="YES", ROW($I$2:$I$100)-MIN(ROW($I$2:$I$100))+1), ROW(77:77))), " ")</f>
        <v xml:space="preserve"> </v>
      </c>
    </row>
    <row r="80" spans="1:21">
      <c r="A80" s="226"/>
      <c r="D80" s="140" t="str">
        <f t="shared" si="10"/>
        <v/>
      </c>
      <c r="E80" s="140" t="str">
        <f t="shared" si="11"/>
        <v/>
      </c>
      <c r="F80" s="141" t="str">
        <f t="shared" si="12"/>
        <v/>
      </c>
      <c r="G80" s="141" t="str">
        <f t="shared" si="13"/>
        <v/>
      </c>
      <c r="H80" s="141" t="str">
        <f t="shared" si="14"/>
        <v/>
      </c>
      <c r="R80" t="str">
        <f t="array" ref="R80">IFERROR(INDEX(D$2:D$100, SMALL(IF($I$2:$I$100="YES", ROW($I$2:$I$100)-MIN(ROW($I$2:$I$100))+1), ROW(78:78))), " ")</f>
        <v xml:space="preserve"> </v>
      </c>
      <c r="S80" t="str">
        <f t="array" ref="S80">IFERROR(INDEX(E$2:E$100, SMALL(IF($I$2:$I$100="YES", ROW($I$2:$I$100)-MIN(ROW($I$2:$I$100))+1), ROW(78:78))), " ")</f>
        <v xml:space="preserve"> </v>
      </c>
      <c r="T80" t="str">
        <f t="array" ref="T80">IFERROR(INDEX(F$2:F$100, SMALL(IF($I$2:$I$100="YES", ROW($I$2:$I$100)-MIN(ROW($I$2:$I$100))+1), ROW(78:78))), " ")</f>
        <v xml:space="preserve"> </v>
      </c>
      <c r="U80" t="str">
        <f t="array" ref="U80">IFERROR(INDEX(G$2:G$100, SMALL(IF($I$2:$I$100="YES", ROW($I$2:$I$100)-MIN(ROW($I$2:$I$100))+1), ROW(78:78))), " ")</f>
        <v xml:space="preserve"> </v>
      </c>
    </row>
    <row r="81" spans="1:21">
      <c r="A81" s="226"/>
      <c r="D81" s="140" t="str">
        <f t="shared" si="10"/>
        <v/>
      </c>
      <c r="E81" s="140" t="str">
        <f t="shared" si="11"/>
        <v/>
      </c>
      <c r="F81" s="141" t="str">
        <f t="shared" si="12"/>
        <v/>
      </c>
      <c r="G81" s="141" t="str">
        <f t="shared" si="13"/>
        <v/>
      </c>
      <c r="H81" s="141" t="str">
        <f t="shared" si="14"/>
        <v/>
      </c>
      <c r="R81" t="str">
        <f t="array" ref="R81">IFERROR(INDEX(D$2:D$100, SMALL(IF($I$2:$I$100="YES", ROW($I$2:$I$100)-MIN(ROW($I$2:$I$100))+1), ROW(79:79))), " ")</f>
        <v xml:space="preserve"> </v>
      </c>
      <c r="S81" t="str">
        <f t="array" ref="S81">IFERROR(INDEX(E$2:E$100, SMALL(IF($I$2:$I$100="YES", ROW($I$2:$I$100)-MIN(ROW($I$2:$I$100))+1), ROW(79:79))), " ")</f>
        <v xml:space="preserve"> </v>
      </c>
      <c r="T81" t="str">
        <f t="array" ref="T81">IFERROR(INDEX(F$2:F$100, SMALL(IF($I$2:$I$100="YES", ROW($I$2:$I$100)-MIN(ROW($I$2:$I$100))+1), ROW(79:79))), " ")</f>
        <v xml:space="preserve"> </v>
      </c>
      <c r="U81" t="str">
        <f t="array" ref="U81">IFERROR(INDEX(G$2:G$100, SMALL(IF($I$2:$I$100="YES", ROW($I$2:$I$100)-MIN(ROW($I$2:$I$100))+1), ROW(79:79))), " ")</f>
        <v xml:space="preserve"> </v>
      </c>
    </row>
    <row r="82" spans="1:21">
      <c r="A82" s="225"/>
      <c r="D82" s="140" t="str">
        <f t="shared" si="10"/>
        <v/>
      </c>
      <c r="E82" s="140" t="str">
        <f t="shared" si="11"/>
        <v/>
      </c>
      <c r="F82" s="141" t="str">
        <f t="shared" si="12"/>
        <v/>
      </c>
      <c r="G82" s="141" t="str">
        <f t="shared" si="13"/>
        <v/>
      </c>
      <c r="H82" s="141" t="str">
        <f t="shared" si="14"/>
        <v/>
      </c>
      <c r="R82" t="str">
        <f t="array" ref="R82">IFERROR(INDEX(D$2:D$100, SMALL(IF($I$2:$I$100="YES", ROW($I$2:$I$100)-MIN(ROW($I$2:$I$100))+1), ROW(80:80))), " ")</f>
        <v xml:space="preserve"> </v>
      </c>
      <c r="S82" t="str">
        <f t="array" ref="S82">IFERROR(INDEX(E$2:E$100, SMALL(IF($I$2:$I$100="YES", ROW($I$2:$I$100)-MIN(ROW($I$2:$I$100))+1), ROW(80:80))), " ")</f>
        <v xml:space="preserve"> </v>
      </c>
      <c r="T82" t="str">
        <f t="array" ref="T82">IFERROR(INDEX(F$2:F$100, SMALL(IF($I$2:$I$100="YES", ROW($I$2:$I$100)-MIN(ROW($I$2:$I$100))+1), ROW(80:80))), " ")</f>
        <v xml:space="preserve"> </v>
      </c>
      <c r="U82" t="str">
        <f t="array" ref="U82">IFERROR(INDEX(G$2:G$100, SMALL(IF($I$2:$I$100="YES", ROW($I$2:$I$100)-MIN(ROW($I$2:$I$100))+1), ROW(80:80))), " ")</f>
        <v xml:space="preserve"> </v>
      </c>
    </row>
    <row r="83" spans="1:21">
      <c r="A83" s="225"/>
      <c r="D83" s="140" t="str">
        <f t="shared" si="10"/>
        <v/>
      </c>
      <c r="E83" s="140" t="str">
        <f t="shared" si="11"/>
        <v/>
      </c>
      <c r="F83" s="141" t="str">
        <f t="shared" si="12"/>
        <v/>
      </c>
      <c r="G83" s="141" t="str">
        <f t="shared" si="13"/>
        <v/>
      </c>
      <c r="H83" s="141" t="str">
        <f t="shared" si="14"/>
        <v/>
      </c>
      <c r="R83" t="str">
        <f t="array" ref="R83">IFERROR(INDEX(D$2:D$100, SMALL(IF($I$2:$I$100="YES", ROW($I$2:$I$100)-MIN(ROW($I$2:$I$100))+1), ROW(81:81))), " ")</f>
        <v xml:space="preserve"> </v>
      </c>
      <c r="S83" t="str">
        <f t="array" ref="S83">IFERROR(INDEX(E$2:E$100, SMALL(IF($I$2:$I$100="YES", ROW($I$2:$I$100)-MIN(ROW($I$2:$I$100))+1), ROW(81:81))), " ")</f>
        <v xml:space="preserve"> </v>
      </c>
      <c r="T83" t="str">
        <f t="array" ref="T83">IFERROR(INDEX(F$2:F$100, SMALL(IF($I$2:$I$100="YES", ROW($I$2:$I$100)-MIN(ROW($I$2:$I$100))+1), ROW(81:81))), " ")</f>
        <v xml:space="preserve"> </v>
      </c>
      <c r="U83" t="str">
        <f t="array" ref="U83">IFERROR(INDEX(G$2:G$100, SMALL(IF($I$2:$I$100="YES", ROW($I$2:$I$100)-MIN(ROW($I$2:$I$100))+1), ROW(81:81))), " ")</f>
        <v xml:space="preserve"> </v>
      </c>
    </row>
    <row r="84" spans="1:21">
      <c r="A84" s="225"/>
      <c r="D84" s="140" t="str">
        <f t="shared" si="10"/>
        <v/>
      </c>
      <c r="E84" s="140" t="str">
        <f t="shared" si="11"/>
        <v/>
      </c>
      <c r="F84" s="141" t="str">
        <f t="shared" si="12"/>
        <v/>
      </c>
      <c r="G84" s="141" t="str">
        <f t="shared" si="13"/>
        <v/>
      </c>
      <c r="H84" s="141" t="str">
        <f t="shared" si="14"/>
        <v/>
      </c>
      <c r="R84" t="str">
        <f t="array" ref="R84">IFERROR(INDEX(D$2:D$100, SMALL(IF($I$2:$I$100="YES", ROW($I$2:$I$100)-MIN(ROW($I$2:$I$100))+1), ROW(82:82))), " ")</f>
        <v xml:space="preserve"> </v>
      </c>
      <c r="S84" t="str">
        <f t="array" ref="S84">IFERROR(INDEX(E$2:E$100, SMALL(IF($I$2:$I$100="YES", ROW($I$2:$I$100)-MIN(ROW($I$2:$I$100))+1), ROW(82:82))), " ")</f>
        <v xml:space="preserve"> </v>
      </c>
      <c r="T84" t="str">
        <f t="array" ref="T84">IFERROR(INDEX(F$2:F$100, SMALL(IF($I$2:$I$100="YES", ROW($I$2:$I$100)-MIN(ROW($I$2:$I$100))+1), ROW(82:82))), " ")</f>
        <v xml:space="preserve"> </v>
      </c>
      <c r="U84" t="str">
        <f t="array" ref="U84">IFERROR(INDEX(G$2:G$100, SMALL(IF($I$2:$I$100="YES", ROW($I$2:$I$100)-MIN(ROW($I$2:$I$100))+1), ROW(82:82))), " ")</f>
        <v xml:space="preserve"> </v>
      </c>
    </row>
    <row r="85" spans="1:21">
      <c r="A85" s="226"/>
      <c r="D85" s="140" t="str">
        <f t="shared" si="10"/>
        <v/>
      </c>
      <c r="E85" s="140" t="str">
        <f t="shared" si="11"/>
        <v/>
      </c>
      <c r="F85" s="141" t="str">
        <f t="shared" si="12"/>
        <v/>
      </c>
      <c r="G85" s="141" t="str">
        <f t="shared" si="13"/>
        <v/>
      </c>
      <c r="H85" s="141" t="str">
        <f t="shared" si="14"/>
        <v/>
      </c>
      <c r="R85" t="str">
        <f t="array" ref="R85">IFERROR(INDEX(D$2:D$100, SMALL(IF($I$2:$I$100="YES", ROW($I$2:$I$100)-MIN(ROW($I$2:$I$100))+1), ROW(83:83))), " ")</f>
        <v xml:space="preserve"> </v>
      </c>
      <c r="S85" t="str">
        <f t="array" ref="S85">IFERROR(INDEX(E$2:E$100, SMALL(IF($I$2:$I$100="YES", ROW($I$2:$I$100)-MIN(ROW($I$2:$I$100))+1), ROW(83:83))), " ")</f>
        <v xml:space="preserve"> </v>
      </c>
      <c r="T85" t="str">
        <f t="array" ref="T85">IFERROR(INDEX(F$2:F$100, SMALL(IF($I$2:$I$100="YES", ROW($I$2:$I$100)-MIN(ROW($I$2:$I$100))+1), ROW(83:83))), " ")</f>
        <v xml:space="preserve"> </v>
      </c>
      <c r="U85" t="str">
        <f t="array" ref="U85">IFERROR(INDEX(G$2:G$100, SMALL(IF($I$2:$I$100="YES", ROW($I$2:$I$100)-MIN(ROW($I$2:$I$100))+1), ROW(83:83))), " ")</f>
        <v xml:space="preserve"> </v>
      </c>
    </row>
    <row r="86" spans="1:21">
      <c r="A86" s="226"/>
      <c r="D86" s="140" t="str">
        <f t="shared" si="10"/>
        <v/>
      </c>
      <c r="E86" s="140" t="str">
        <f t="shared" si="11"/>
        <v/>
      </c>
      <c r="F86" s="141" t="str">
        <f t="shared" si="12"/>
        <v/>
      </c>
      <c r="G86" s="141" t="str">
        <f t="shared" si="13"/>
        <v/>
      </c>
      <c r="H86" s="141" t="str">
        <f t="shared" si="14"/>
        <v/>
      </c>
      <c r="R86" t="str">
        <f t="array" ref="R86">IFERROR(INDEX(D$2:D$100, SMALL(IF($I$2:$I$100="YES", ROW($I$2:$I$100)-MIN(ROW($I$2:$I$100))+1), ROW(84:84))), " ")</f>
        <v xml:space="preserve"> </v>
      </c>
      <c r="S86" t="str">
        <f t="array" ref="S86">IFERROR(INDEX(E$2:E$100, SMALL(IF($I$2:$I$100="YES", ROW($I$2:$I$100)-MIN(ROW($I$2:$I$100))+1), ROW(84:84))), " ")</f>
        <v xml:space="preserve"> </v>
      </c>
      <c r="T86" t="str">
        <f t="array" ref="T86">IFERROR(INDEX(F$2:F$100, SMALL(IF($I$2:$I$100="YES", ROW($I$2:$I$100)-MIN(ROW($I$2:$I$100))+1), ROW(84:84))), " ")</f>
        <v xml:space="preserve"> </v>
      </c>
      <c r="U86" t="str">
        <f t="array" ref="U86">IFERROR(INDEX(G$2:G$100, SMALL(IF($I$2:$I$100="YES", ROW($I$2:$I$100)-MIN(ROW($I$2:$I$100))+1), ROW(84:84))), " ")</f>
        <v xml:space="preserve"> </v>
      </c>
    </row>
    <row r="87" spans="1:21">
      <c r="A87" s="225"/>
      <c r="D87" s="140" t="str">
        <f t="shared" si="10"/>
        <v/>
      </c>
      <c r="E87" s="140" t="str">
        <f t="shared" si="11"/>
        <v/>
      </c>
      <c r="F87" s="141" t="str">
        <f t="shared" si="12"/>
        <v/>
      </c>
      <c r="G87" s="141" t="str">
        <f t="shared" si="13"/>
        <v/>
      </c>
      <c r="H87" s="141" t="str">
        <f t="shared" si="14"/>
        <v/>
      </c>
      <c r="R87" t="str">
        <f t="array" ref="R87">IFERROR(INDEX(D$2:D$100, SMALL(IF($I$2:$I$100="YES", ROW($I$2:$I$100)-MIN(ROW($I$2:$I$100))+1), ROW(85:85))), " ")</f>
        <v xml:space="preserve"> </v>
      </c>
      <c r="S87" t="str">
        <f t="array" ref="S87">IFERROR(INDEX(E$2:E$100, SMALL(IF($I$2:$I$100="YES", ROW($I$2:$I$100)-MIN(ROW($I$2:$I$100))+1), ROW(85:85))), " ")</f>
        <v xml:space="preserve"> </v>
      </c>
      <c r="T87" t="str">
        <f t="array" ref="T87">IFERROR(INDEX(F$2:F$100, SMALL(IF($I$2:$I$100="YES", ROW($I$2:$I$100)-MIN(ROW($I$2:$I$100))+1), ROW(85:85))), " ")</f>
        <v xml:space="preserve"> </v>
      </c>
      <c r="U87" t="str">
        <f t="array" ref="U87">IFERROR(INDEX(G$2:G$100, SMALL(IF($I$2:$I$100="YES", ROW($I$2:$I$100)-MIN(ROW($I$2:$I$100))+1), ROW(85:85))), " ")</f>
        <v xml:space="preserve"> </v>
      </c>
    </row>
    <row r="88" spans="1:21">
      <c r="A88" s="225"/>
      <c r="D88" s="140" t="str">
        <f t="shared" si="10"/>
        <v/>
      </c>
      <c r="E88" s="140" t="str">
        <f t="shared" si="11"/>
        <v/>
      </c>
      <c r="F88" s="141" t="str">
        <f t="shared" si="12"/>
        <v/>
      </c>
      <c r="G88" s="141" t="str">
        <f t="shared" si="13"/>
        <v/>
      </c>
      <c r="H88" s="141" t="str">
        <f t="shared" si="14"/>
        <v/>
      </c>
      <c r="R88" t="str">
        <f t="array" ref="R88">IFERROR(INDEX(D$2:D$100, SMALL(IF($I$2:$I$100="YES", ROW($I$2:$I$100)-MIN(ROW($I$2:$I$100))+1), ROW(86:86))), " ")</f>
        <v xml:space="preserve"> </v>
      </c>
      <c r="S88" t="str">
        <f t="array" ref="S88">IFERROR(INDEX(E$2:E$100, SMALL(IF($I$2:$I$100="YES", ROW($I$2:$I$100)-MIN(ROW($I$2:$I$100))+1), ROW(86:86))), " ")</f>
        <v xml:space="preserve"> </v>
      </c>
      <c r="T88" t="str">
        <f t="array" ref="T88">IFERROR(INDEX(F$2:F$100, SMALL(IF($I$2:$I$100="YES", ROW($I$2:$I$100)-MIN(ROW($I$2:$I$100))+1), ROW(86:86))), " ")</f>
        <v xml:space="preserve"> </v>
      </c>
      <c r="U88" t="str">
        <f t="array" ref="U88">IFERROR(INDEX(G$2:G$100, SMALL(IF($I$2:$I$100="YES", ROW($I$2:$I$100)-MIN(ROW($I$2:$I$100))+1), ROW(86:86))), " ")</f>
        <v xml:space="preserve"> </v>
      </c>
    </row>
    <row r="89" spans="1:21">
      <c r="A89" s="225"/>
      <c r="D89" s="140" t="str">
        <f t="shared" si="10"/>
        <v/>
      </c>
      <c r="E89" s="140" t="str">
        <f t="shared" si="11"/>
        <v/>
      </c>
      <c r="F89" s="141" t="str">
        <f t="shared" si="12"/>
        <v/>
      </c>
      <c r="G89" s="141" t="str">
        <f t="shared" si="13"/>
        <v/>
      </c>
      <c r="H89" s="141" t="str">
        <f t="shared" si="14"/>
        <v/>
      </c>
      <c r="R89" t="str">
        <f t="array" ref="R89">IFERROR(INDEX(D$2:D$100, SMALL(IF($I$2:$I$100="YES", ROW($I$2:$I$100)-MIN(ROW($I$2:$I$100))+1), ROW(87:87))), " ")</f>
        <v xml:space="preserve"> </v>
      </c>
      <c r="S89" t="str">
        <f t="array" ref="S89">IFERROR(INDEX(E$2:E$100, SMALL(IF($I$2:$I$100="YES", ROW($I$2:$I$100)-MIN(ROW($I$2:$I$100))+1), ROW(87:87))), " ")</f>
        <v xml:space="preserve"> </v>
      </c>
      <c r="T89" t="str">
        <f t="array" ref="T89">IFERROR(INDEX(F$2:F$100, SMALL(IF($I$2:$I$100="YES", ROW($I$2:$I$100)-MIN(ROW($I$2:$I$100))+1), ROW(87:87))), " ")</f>
        <v xml:space="preserve"> </v>
      </c>
      <c r="U89" t="str">
        <f t="array" ref="U89">IFERROR(INDEX(G$2:G$100, SMALL(IF($I$2:$I$100="YES", ROW($I$2:$I$100)-MIN(ROW($I$2:$I$100))+1), ROW(87:87))), " ")</f>
        <v xml:space="preserve"> </v>
      </c>
    </row>
    <row r="90" spans="1:21">
      <c r="A90" s="226"/>
      <c r="D90" s="140" t="str">
        <f t="shared" si="10"/>
        <v/>
      </c>
      <c r="E90" s="140" t="str">
        <f t="shared" si="11"/>
        <v/>
      </c>
      <c r="F90" s="141" t="str">
        <f t="shared" si="12"/>
        <v/>
      </c>
      <c r="G90" s="141" t="str">
        <f t="shared" si="13"/>
        <v/>
      </c>
      <c r="H90" s="141" t="str">
        <f t="shared" si="14"/>
        <v/>
      </c>
      <c r="R90" t="str">
        <f t="array" ref="R90">IFERROR(INDEX(D$2:D$100, SMALL(IF($I$2:$I$100="YES", ROW($I$2:$I$100)-MIN(ROW($I$2:$I$100))+1), ROW(88:88))), " ")</f>
        <v xml:space="preserve"> </v>
      </c>
      <c r="S90" t="str">
        <f t="array" ref="S90">IFERROR(INDEX(E$2:E$100, SMALL(IF($I$2:$I$100="YES", ROW($I$2:$I$100)-MIN(ROW($I$2:$I$100))+1), ROW(88:88))), " ")</f>
        <v xml:space="preserve"> </v>
      </c>
      <c r="T90" t="str">
        <f t="array" ref="T90">IFERROR(INDEX(F$2:F$100, SMALL(IF($I$2:$I$100="YES", ROW($I$2:$I$100)-MIN(ROW($I$2:$I$100))+1), ROW(88:88))), " ")</f>
        <v xml:space="preserve"> </v>
      </c>
      <c r="U90" t="str">
        <f t="array" ref="U90">IFERROR(INDEX(G$2:G$100, SMALL(IF($I$2:$I$100="YES", ROW($I$2:$I$100)-MIN(ROW($I$2:$I$100))+1), ROW(88:88))), " ")</f>
        <v xml:space="preserve"> </v>
      </c>
    </row>
    <row r="91" spans="1:21">
      <c r="A91" s="226"/>
      <c r="D91" s="140" t="str">
        <f t="shared" si="10"/>
        <v/>
      </c>
      <c r="E91" s="140" t="str">
        <f t="shared" si="11"/>
        <v/>
      </c>
      <c r="F91" s="141" t="str">
        <f t="shared" si="12"/>
        <v/>
      </c>
      <c r="G91" s="141" t="str">
        <f t="shared" si="13"/>
        <v/>
      </c>
      <c r="H91" s="141" t="str">
        <f t="shared" si="14"/>
        <v/>
      </c>
      <c r="R91" t="str">
        <f t="array" ref="R91">IFERROR(INDEX(D$2:D$100, SMALL(IF($I$2:$I$100="YES", ROW($I$2:$I$100)-MIN(ROW($I$2:$I$100))+1), ROW(89:89))), " ")</f>
        <v xml:space="preserve"> </v>
      </c>
      <c r="S91" t="str">
        <f t="array" ref="S91">IFERROR(INDEX(E$2:E$100, SMALL(IF($I$2:$I$100="YES", ROW($I$2:$I$100)-MIN(ROW($I$2:$I$100))+1), ROW(89:89))), " ")</f>
        <v xml:space="preserve"> </v>
      </c>
      <c r="T91" t="str">
        <f t="array" ref="T91">IFERROR(INDEX(F$2:F$100, SMALL(IF($I$2:$I$100="YES", ROW($I$2:$I$100)-MIN(ROW($I$2:$I$100))+1), ROW(89:89))), " ")</f>
        <v xml:space="preserve"> </v>
      </c>
      <c r="U91" t="str">
        <f t="array" ref="U91">IFERROR(INDEX(G$2:G$100, SMALL(IF($I$2:$I$100="YES", ROW($I$2:$I$100)-MIN(ROW($I$2:$I$100))+1), ROW(89:89))), " ")</f>
        <v xml:space="preserve"> </v>
      </c>
    </row>
    <row r="92" spans="1:21">
      <c r="A92" s="225"/>
      <c r="D92" s="140" t="str">
        <f t="shared" si="10"/>
        <v/>
      </c>
      <c r="E92" s="140" t="str">
        <f t="shared" si="11"/>
        <v/>
      </c>
      <c r="F92" s="141" t="str">
        <f t="shared" si="12"/>
        <v/>
      </c>
      <c r="G92" s="141" t="str">
        <f t="shared" si="13"/>
        <v/>
      </c>
      <c r="H92" s="141" t="str">
        <f t="shared" si="14"/>
        <v/>
      </c>
      <c r="R92" t="str">
        <f t="array" ref="R92">IFERROR(INDEX(D$2:D$100, SMALL(IF($I$2:$I$100="YES", ROW($I$2:$I$100)-MIN(ROW($I$2:$I$100))+1), ROW(90:90))), " ")</f>
        <v xml:space="preserve"> </v>
      </c>
      <c r="S92" t="str">
        <f t="array" ref="S92">IFERROR(INDEX(E$2:E$100, SMALL(IF($I$2:$I$100="YES", ROW($I$2:$I$100)-MIN(ROW($I$2:$I$100))+1), ROW(90:90))), " ")</f>
        <v xml:space="preserve"> </v>
      </c>
      <c r="T92" t="str">
        <f t="array" ref="T92">IFERROR(INDEX(F$2:F$100, SMALL(IF($I$2:$I$100="YES", ROW($I$2:$I$100)-MIN(ROW($I$2:$I$100))+1), ROW(90:90))), " ")</f>
        <v xml:space="preserve"> </v>
      </c>
      <c r="U92" t="str">
        <f t="array" ref="U92">IFERROR(INDEX(G$2:G$100, SMALL(IF($I$2:$I$100="YES", ROW($I$2:$I$100)-MIN(ROW($I$2:$I$100))+1), ROW(90:90))), " ")</f>
        <v xml:space="preserve"> </v>
      </c>
    </row>
    <row r="93" spans="1:21">
      <c r="A93" s="225"/>
      <c r="D93" s="140" t="str">
        <f t="shared" si="10"/>
        <v/>
      </c>
      <c r="E93" s="140" t="str">
        <f t="shared" si="11"/>
        <v/>
      </c>
      <c r="F93" s="141" t="str">
        <f t="shared" si="12"/>
        <v/>
      </c>
      <c r="G93" s="141" t="str">
        <f t="shared" si="13"/>
        <v/>
      </c>
      <c r="H93" s="141" t="str">
        <f t="shared" si="14"/>
        <v/>
      </c>
      <c r="R93" t="str">
        <f t="array" ref="R93">IFERROR(INDEX(D$2:D$100, SMALL(IF($I$2:$I$100="YES", ROW($I$2:$I$100)-MIN(ROW($I$2:$I$100))+1), ROW(91:91))), " ")</f>
        <v xml:space="preserve"> </v>
      </c>
      <c r="S93" t="str">
        <f t="array" ref="S93">IFERROR(INDEX(E$2:E$100, SMALL(IF($I$2:$I$100="YES", ROW($I$2:$I$100)-MIN(ROW($I$2:$I$100))+1), ROW(91:91))), " ")</f>
        <v xml:space="preserve"> </v>
      </c>
      <c r="T93" t="str">
        <f t="array" ref="T93">IFERROR(INDEX(F$2:F$100, SMALL(IF($I$2:$I$100="YES", ROW($I$2:$I$100)-MIN(ROW($I$2:$I$100))+1), ROW(91:91))), " ")</f>
        <v xml:space="preserve"> </v>
      </c>
      <c r="U93" t="str">
        <f t="array" ref="U93">IFERROR(INDEX(G$2:G$100, SMALL(IF($I$2:$I$100="YES", ROW($I$2:$I$100)-MIN(ROW($I$2:$I$100))+1), ROW(91:91))), " ")</f>
        <v xml:space="preserve"> </v>
      </c>
    </row>
    <row r="94" spans="1:21">
      <c r="A94" s="225"/>
      <c r="D94" s="140" t="str">
        <f t="shared" si="10"/>
        <v/>
      </c>
      <c r="E94" s="140" t="str">
        <f t="shared" si="11"/>
        <v/>
      </c>
      <c r="F94" s="141" t="str">
        <f t="shared" si="12"/>
        <v/>
      </c>
      <c r="G94" s="141" t="str">
        <f t="shared" si="13"/>
        <v/>
      </c>
      <c r="H94" s="141" t="str">
        <f t="shared" si="14"/>
        <v/>
      </c>
      <c r="R94" t="str">
        <f t="array" ref="R94">IFERROR(INDEX(D$2:D$100, SMALL(IF($I$2:$I$100="YES", ROW($I$2:$I$100)-MIN(ROW($I$2:$I$100))+1), ROW(92:92))), " ")</f>
        <v xml:space="preserve"> </v>
      </c>
      <c r="S94" t="str">
        <f t="array" ref="S94">IFERROR(INDEX(E$2:E$100, SMALL(IF($I$2:$I$100="YES", ROW($I$2:$I$100)-MIN(ROW($I$2:$I$100))+1), ROW(92:92))), " ")</f>
        <v xml:space="preserve"> </v>
      </c>
      <c r="T94" t="str">
        <f t="array" ref="T94">IFERROR(INDEX(F$2:F$100, SMALL(IF($I$2:$I$100="YES", ROW($I$2:$I$100)-MIN(ROW($I$2:$I$100))+1), ROW(92:92))), " ")</f>
        <v xml:space="preserve"> </v>
      </c>
      <c r="U94" t="str">
        <f t="array" ref="U94">IFERROR(INDEX(G$2:G$100, SMALL(IF($I$2:$I$100="YES", ROW($I$2:$I$100)-MIN(ROW($I$2:$I$100))+1), ROW(92:92))), " ")</f>
        <v xml:space="preserve"> </v>
      </c>
    </row>
    <row r="95" spans="1:21">
      <c r="A95" s="226"/>
      <c r="D95" s="140" t="str">
        <f t="shared" si="10"/>
        <v/>
      </c>
      <c r="E95" s="140" t="str">
        <f t="shared" si="11"/>
        <v/>
      </c>
      <c r="F95" s="141" t="str">
        <f t="shared" si="12"/>
        <v/>
      </c>
      <c r="G95" s="141" t="str">
        <f t="shared" si="13"/>
        <v/>
      </c>
      <c r="H95" s="141" t="str">
        <f t="shared" si="14"/>
        <v/>
      </c>
      <c r="R95" t="str">
        <f t="array" ref="R95">IFERROR(INDEX(D$2:D$100, SMALL(IF($I$2:$I$100="YES", ROW($I$2:$I$100)-MIN(ROW($I$2:$I$100))+1), ROW(93:93))), " ")</f>
        <v xml:space="preserve"> </v>
      </c>
      <c r="S95" t="str">
        <f t="array" ref="S95">IFERROR(INDEX(E$2:E$100, SMALL(IF($I$2:$I$100="YES", ROW($I$2:$I$100)-MIN(ROW($I$2:$I$100))+1), ROW(93:93))), " ")</f>
        <v xml:space="preserve"> </v>
      </c>
      <c r="T95" t="str">
        <f t="array" ref="T95">IFERROR(INDEX(F$2:F$100, SMALL(IF($I$2:$I$100="YES", ROW($I$2:$I$100)-MIN(ROW($I$2:$I$100))+1), ROW(93:93))), " ")</f>
        <v xml:space="preserve"> </v>
      </c>
      <c r="U95" t="str">
        <f t="array" ref="U95">IFERROR(INDEX(G$2:G$100, SMALL(IF($I$2:$I$100="YES", ROW($I$2:$I$100)-MIN(ROW($I$2:$I$100))+1), ROW(93:93))), " ")</f>
        <v xml:space="preserve"> </v>
      </c>
    </row>
    <row r="96" spans="1:21">
      <c r="A96" s="226"/>
      <c r="D96" s="140" t="str">
        <f t="shared" si="10"/>
        <v/>
      </c>
      <c r="E96" s="140" t="str">
        <f t="shared" si="11"/>
        <v/>
      </c>
      <c r="F96" s="141" t="str">
        <f t="shared" si="12"/>
        <v/>
      </c>
      <c r="G96" s="141" t="str">
        <f t="shared" si="13"/>
        <v/>
      </c>
      <c r="H96" s="141" t="str">
        <f t="shared" si="14"/>
        <v/>
      </c>
      <c r="R96" t="str">
        <f t="array" ref="R96">IFERROR(INDEX(D$2:D$100, SMALL(IF($I$2:$I$100="YES", ROW($I$2:$I$100)-MIN(ROW($I$2:$I$100))+1), ROW(94:94))), " ")</f>
        <v xml:space="preserve"> </v>
      </c>
      <c r="S96" t="str">
        <f t="array" ref="S96">IFERROR(INDEX(E$2:E$100, SMALL(IF($I$2:$I$100="YES", ROW($I$2:$I$100)-MIN(ROW($I$2:$I$100))+1), ROW(94:94))), " ")</f>
        <v xml:space="preserve"> </v>
      </c>
      <c r="T96" t="str">
        <f t="array" ref="T96">IFERROR(INDEX(F$2:F$100, SMALL(IF($I$2:$I$100="YES", ROW($I$2:$I$100)-MIN(ROW($I$2:$I$100))+1), ROW(94:94))), " ")</f>
        <v xml:space="preserve"> </v>
      </c>
      <c r="U96" t="str">
        <f t="array" ref="U96">IFERROR(INDEX(G$2:G$100, SMALL(IF($I$2:$I$100="YES", ROW($I$2:$I$100)-MIN(ROW($I$2:$I$100))+1), ROW(94:94))), " ")</f>
        <v xml:space="preserve"> </v>
      </c>
    </row>
    <row r="97" spans="1:21">
      <c r="A97" s="225"/>
      <c r="D97" s="140" t="str">
        <f t="shared" si="10"/>
        <v/>
      </c>
      <c r="E97" s="140" t="str">
        <f t="shared" si="11"/>
        <v/>
      </c>
      <c r="F97" s="141" t="str">
        <f t="shared" si="12"/>
        <v/>
      </c>
      <c r="G97" s="141" t="str">
        <f t="shared" si="13"/>
        <v/>
      </c>
      <c r="H97" s="141" t="str">
        <f t="shared" si="14"/>
        <v/>
      </c>
      <c r="R97" t="str">
        <f t="array" ref="R97">IFERROR(INDEX(D$2:D$100, SMALL(IF($I$2:$I$100="YES", ROW($I$2:$I$100)-MIN(ROW($I$2:$I$100))+1), ROW(95:95))), " ")</f>
        <v xml:space="preserve"> </v>
      </c>
      <c r="S97" t="str">
        <f t="array" ref="S97">IFERROR(INDEX(E$2:E$100, SMALL(IF($I$2:$I$100="YES", ROW($I$2:$I$100)-MIN(ROW($I$2:$I$100))+1), ROW(95:95))), " ")</f>
        <v xml:space="preserve"> </v>
      </c>
      <c r="T97" t="str">
        <f t="array" ref="T97">IFERROR(INDEX(F$2:F$100, SMALL(IF($I$2:$I$100="YES", ROW($I$2:$I$100)-MIN(ROW($I$2:$I$100))+1), ROW(95:95))), " ")</f>
        <v xml:space="preserve"> </v>
      </c>
      <c r="U97" t="str">
        <f t="array" ref="U97">IFERROR(INDEX(G$2:G$100, SMALL(IF($I$2:$I$100="YES", ROW($I$2:$I$100)-MIN(ROW($I$2:$I$100))+1), ROW(95:95))), " ")</f>
        <v xml:space="preserve"> </v>
      </c>
    </row>
    <row r="98" spans="1:21">
      <c r="A98" s="225"/>
      <c r="D98" s="140" t="str">
        <f t="shared" si="10"/>
        <v/>
      </c>
      <c r="E98" s="140" t="str">
        <f t="shared" si="11"/>
        <v/>
      </c>
      <c r="F98" s="141" t="str">
        <f t="shared" si="12"/>
        <v/>
      </c>
      <c r="G98" s="141" t="str">
        <f t="shared" si="13"/>
        <v/>
      </c>
      <c r="H98" s="141" t="str">
        <f t="shared" si="14"/>
        <v/>
      </c>
      <c r="R98" t="str">
        <f t="array" ref="R98">IFERROR(INDEX(D$2:D$100, SMALL(IF($I$2:$I$100="YES", ROW($I$2:$I$100)-MIN(ROW($I$2:$I$100))+1), ROW(96:96))), " ")</f>
        <v xml:space="preserve"> </v>
      </c>
      <c r="S98" t="str">
        <f t="array" ref="S98">IFERROR(INDEX(E$2:E$100, SMALL(IF($I$2:$I$100="YES", ROW($I$2:$I$100)-MIN(ROW($I$2:$I$100))+1), ROW(96:96))), " ")</f>
        <v xml:space="preserve"> </v>
      </c>
      <c r="T98" t="str">
        <f t="array" ref="T98">IFERROR(INDEX(F$2:F$100, SMALL(IF($I$2:$I$100="YES", ROW($I$2:$I$100)-MIN(ROW($I$2:$I$100))+1), ROW(96:96))), " ")</f>
        <v xml:space="preserve"> </v>
      </c>
      <c r="U98" t="str">
        <f t="array" ref="U98">IFERROR(INDEX(G$2:G$100, SMALL(IF($I$2:$I$100="YES", ROW($I$2:$I$100)-MIN(ROW($I$2:$I$100))+1), ROW(96:96))), " ")</f>
        <v xml:space="preserve"> </v>
      </c>
    </row>
    <row r="99" spans="1:21">
      <c r="A99" s="225"/>
      <c r="D99" s="140" t="str">
        <f t="shared" ref="D99:D130" si="15">IF(INDEX($A$3:$A$1000, (ROW(D99)-ROW($D$3))*5+1) = "", "", INDEX($A$3:$A$1000, (ROW(D99)-ROW($D$3))*5+1))</f>
        <v/>
      </c>
      <c r="E99" s="140" t="str">
        <f t="shared" ref="E99:E130" si="16">IF(INDEX($A$3:$A$1000, (ROW(D99)-ROW($D$3))*5+2) = "", "", INDEX($A$3:$A$1000, (ROW(D99)-ROW($D$3))*5+2))</f>
        <v/>
      </c>
      <c r="F99" s="141" t="str">
        <f t="shared" ref="F99:F130" si="17">IF(INDEX($A$3:$A$1000, (ROW(D99)-ROW($D$3))*5+4) = "", "", INDEX($A$3:$A$1000, (ROW(D99)-ROW($D$3))*5+4))</f>
        <v/>
      </c>
      <c r="G99" s="141" t="str">
        <f t="shared" ref="G99:G130" si="18">IF(INDEX($A$3:$A$1000, (ROW(D99)-ROW($D$3))*5+3) = "", "", INDEX($A$3:$A$1000, (ROW(D99)-ROW($D$3))*5+3))</f>
        <v/>
      </c>
      <c r="H99" s="141" t="str">
        <f t="shared" ref="H99:H130" si="19">IF(INDEX($A$3:$A$1000, (ROW(D99)-ROW($D$3))*5+5) = "", "", INDEX($A$3:$A$1000, (ROW(D99)-ROW($D$3))*5+5))</f>
        <v/>
      </c>
      <c r="R99" t="str">
        <f t="array" ref="R99">IFERROR(INDEX(D$2:D$100, SMALL(IF($I$2:$I$100="YES", ROW($I$2:$I$100)-MIN(ROW($I$2:$I$100))+1), ROW(97:97))), " ")</f>
        <v xml:space="preserve"> </v>
      </c>
      <c r="S99" t="str">
        <f t="array" ref="S99">IFERROR(INDEX(E$2:E$100, SMALL(IF($I$2:$I$100="YES", ROW($I$2:$I$100)-MIN(ROW($I$2:$I$100))+1), ROW(97:97))), " ")</f>
        <v xml:space="preserve"> </v>
      </c>
      <c r="T99" t="str">
        <f t="array" ref="T99">IFERROR(INDEX(F$2:F$100, SMALL(IF($I$2:$I$100="YES", ROW($I$2:$I$100)-MIN(ROW($I$2:$I$100))+1), ROW(97:97))), " ")</f>
        <v xml:space="preserve"> </v>
      </c>
      <c r="U99" t="str">
        <f t="array" ref="U99">IFERROR(INDEX(G$2:G$100, SMALL(IF($I$2:$I$100="YES", ROW($I$2:$I$100)-MIN(ROW($I$2:$I$100))+1), ROW(97:97))), " ")</f>
        <v xml:space="preserve"> </v>
      </c>
    </row>
    <row r="100" spans="1:21">
      <c r="A100" s="226"/>
      <c r="D100" s="140" t="str">
        <f t="shared" si="15"/>
        <v/>
      </c>
      <c r="E100" s="140" t="str">
        <f t="shared" si="16"/>
        <v/>
      </c>
      <c r="F100" s="141" t="str">
        <f t="shared" si="17"/>
        <v/>
      </c>
      <c r="G100" s="141" t="str">
        <f t="shared" si="18"/>
        <v/>
      </c>
      <c r="H100" s="141" t="str">
        <f t="shared" si="19"/>
        <v/>
      </c>
      <c r="R100" t="str">
        <f t="array" ref="R100">IFERROR(INDEX(D$2:D$100, SMALL(IF($I$2:$I$100="YES", ROW($I$2:$I$100)-MIN(ROW($I$2:$I$100))+1), ROW(98:98))), " ")</f>
        <v xml:space="preserve"> </v>
      </c>
      <c r="S100" t="str">
        <f t="array" ref="S100">IFERROR(INDEX(E$2:E$100, SMALL(IF($I$2:$I$100="YES", ROW($I$2:$I$100)-MIN(ROW($I$2:$I$100))+1), ROW(98:98))), " ")</f>
        <v xml:space="preserve"> </v>
      </c>
      <c r="T100" t="str">
        <f t="array" ref="T100">IFERROR(INDEX(F$2:F$100, SMALL(IF($I$2:$I$100="YES", ROW($I$2:$I$100)-MIN(ROW($I$2:$I$100))+1), ROW(98:98))), " ")</f>
        <v xml:space="preserve"> </v>
      </c>
      <c r="U100" t="str">
        <f t="array" ref="U100">IFERROR(INDEX(G$2:G$100, SMALL(IF($I$2:$I$100="YES", ROW($I$2:$I$100)-MIN(ROW($I$2:$I$100))+1), ROW(98:98))), " ")</f>
        <v xml:space="preserve"> </v>
      </c>
    </row>
    <row r="101" spans="1:21">
      <c r="A101" s="226"/>
      <c r="D101" s="140" t="str">
        <f t="shared" si="15"/>
        <v/>
      </c>
      <c r="E101" s="140" t="str">
        <f t="shared" si="16"/>
        <v/>
      </c>
      <c r="F101" s="141" t="str">
        <f t="shared" si="17"/>
        <v/>
      </c>
      <c r="G101" s="141" t="str">
        <f t="shared" si="18"/>
        <v/>
      </c>
      <c r="H101" s="141" t="str">
        <f t="shared" si="19"/>
        <v/>
      </c>
      <c r="R101" t="str">
        <f t="array" ref="R101">IFERROR(INDEX(D$2:D$100, SMALL(IF($I$2:$I$100="YES", ROW($I$2:$I$100)-MIN(ROW($I$2:$I$100))+1), ROW(99:99))), " ")</f>
        <v xml:space="preserve"> </v>
      </c>
      <c r="S101" t="str">
        <f t="array" ref="S101">IFERROR(INDEX(E$2:E$100, SMALL(IF($I$2:$I$100="YES", ROW($I$2:$I$100)-MIN(ROW($I$2:$I$100))+1), ROW(99:99))), " ")</f>
        <v xml:space="preserve"> </v>
      </c>
      <c r="T101" t="str">
        <f t="array" ref="T101">IFERROR(INDEX(F$2:F$100, SMALL(IF($I$2:$I$100="YES", ROW($I$2:$I$100)-MIN(ROW($I$2:$I$100))+1), ROW(99:99))), " ")</f>
        <v xml:space="preserve"> </v>
      </c>
      <c r="U101" t="str">
        <f t="array" ref="U101">IFERROR(INDEX(G$2:G$100, SMALL(IF($I$2:$I$100="YES", ROW($I$2:$I$100)-MIN(ROW($I$2:$I$100))+1), ROW(99:99))), " ")</f>
        <v xml:space="preserve"> </v>
      </c>
    </row>
    <row r="102" spans="1:21">
      <c r="A102" s="225"/>
      <c r="D102" s="140" t="str">
        <f t="shared" si="15"/>
        <v/>
      </c>
      <c r="E102" s="140" t="str">
        <f t="shared" si="16"/>
        <v/>
      </c>
      <c r="F102" s="141" t="str">
        <f t="shared" si="17"/>
        <v/>
      </c>
      <c r="G102" s="141" t="str">
        <f t="shared" si="18"/>
        <v/>
      </c>
      <c r="H102" s="141" t="str">
        <f t="shared" si="19"/>
        <v/>
      </c>
    </row>
    <row r="103" spans="1:21">
      <c r="D103" s="140" t="str">
        <f t="shared" si="15"/>
        <v/>
      </c>
      <c r="E103" s="140" t="str">
        <f t="shared" si="16"/>
        <v/>
      </c>
      <c r="F103" s="141" t="str">
        <f t="shared" si="17"/>
        <v/>
      </c>
      <c r="G103" s="141" t="str">
        <f t="shared" si="18"/>
        <v/>
      </c>
      <c r="H103" s="141" t="str">
        <f t="shared" si="19"/>
        <v/>
      </c>
    </row>
    <row r="104" spans="1:21">
      <c r="D104" s="140" t="str">
        <f t="shared" si="15"/>
        <v/>
      </c>
      <c r="E104" s="140" t="str">
        <f t="shared" si="16"/>
        <v/>
      </c>
      <c r="F104" s="141" t="str">
        <f t="shared" si="17"/>
        <v/>
      </c>
      <c r="G104" s="141" t="str">
        <f t="shared" si="18"/>
        <v/>
      </c>
      <c r="H104" s="141" t="str">
        <f t="shared" si="19"/>
        <v/>
      </c>
    </row>
    <row r="105" spans="1:21">
      <c r="D105" s="140" t="str">
        <f t="shared" si="15"/>
        <v/>
      </c>
      <c r="E105" s="140" t="str">
        <f t="shared" si="16"/>
        <v/>
      </c>
      <c r="F105" s="141" t="str">
        <f t="shared" si="17"/>
        <v/>
      </c>
      <c r="G105" s="141" t="str">
        <f t="shared" si="18"/>
        <v/>
      </c>
      <c r="H105" s="141" t="str">
        <f t="shared" si="19"/>
        <v/>
      </c>
    </row>
    <row r="106" spans="1:21">
      <c r="D106" s="140" t="str">
        <f t="shared" si="15"/>
        <v/>
      </c>
      <c r="E106" s="140" t="str">
        <f t="shared" si="16"/>
        <v/>
      </c>
      <c r="F106" s="141" t="str">
        <f t="shared" si="17"/>
        <v/>
      </c>
      <c r="G106" s="141" t="str">
        <f t="shared" si="18"/>
        <v/>
      </c>
      <c r="H106" s="141" t="str">
        <f t="shared" si="19"/>
        <v/>
      </c>
    </row>
    <row r="107" spans="1:21">
      <c r="D107" s="140" t="str">
        <f t="shared" si="15"/>
        <v/>
      </c>
      <c r="E107" s="140" t="str">
        <f t="shared" si="16"/>
        <v/>
      </c>
      <c r="F107" s="141" t="str">
        <f t="shared" si="17"/>
        <v/>
      </c>
      <c r="G107" s="141" t="str">
        <f t="shared" si="18"/>
        <v/>
      </c>
      <c r="H107" s="141" t="str">
        <f t="shared" si="19"/>
        <v/>
      </c>
    </row>
    <row r="108" spans="1:21">
      <c r="D108" s="140" t="str">
        <f t="shared" si="15"/>
        <v/>
      </c>
      <c r="E108" s="140" t="str">
        <f t="shared" si="16"/>
        <v/>
      </c>
      <c r="F108" s="141" t="str">
        <f t="shared" si="17"/>
        <v/>
      </c>
      <c r="G108" s="141" t="str">
        <f t="shared" si="18"/>
        <v/>
      </c>
      <c r="H108" s="141" t="str">
        <f t="shared" si="19"/>
        <v/>
      </c>
    </row>
    <row r="109" spans="1:21">
      <c r="D109" s="140" t="str">
        <f t="shared" si="15"/>
        <v/>
      </c>
      <c r="E109" s="140" t="str">
        <f t="shared" si="16"/>
        <v/>
      </c>
      <c r="F109" s="141" t="str">
        <f t="shared" si="17"/>
        <v/>
      </c>
      <c r="G109" s="141" t="str">
        <f t="shared" si="18"/>
        <v/>
      </c>
      <c r="H109" s="141" t="str">
        <f t="shared" si="19"/>
        <v/>
      </c>
    </row>
    <row r="110" spans="1:21">
      <c r="D110" s="140" t="str">
        <f t="shared" si="15"/>
        <v/>
      </c>
      <c r="E110" s="140" t="str">
        <f t="shared" si="16"/>
        <v/>
      </c>
      <c r="F110" s="141" t="str">
        <f t="shared" si="17"/>
        <v/>
      </c>
      <c r="G110" s="141" t="str">
        <f t="shared" si="18"/>
        <v/>
      </c>
      <c r="H110" s="141" t="str">
        <f t="shared" si="19"/>
        <v/>
      </c>
    </row>
    <row r="111" spans="1:21">
      <c r="D111" s="140" t="str">
        <f t="shared" si="15"/>
        <v/>
      </c>
      <c r="E111" s="140" t="str">
        <f t="shared" si="16"/>
        <v/>
      </c>
      <c r="F111" s="141" t="str">
        <f t="shared" si="17"/>
        <v/>
      </c>
      <c r="G111" s="141" t="str">
        <f t="shared" si="18"/>
        <v/>
      </c>
      <c r="H111" s="141" t="str">
        <f t="shared" si="19"/>
        <v/>
      </c>
    </row>
    <row r="112" spans="1:21">
      <c r="D112" s="140" t="str">
        <f t="shared" si="15"/>
        <v/>
      </c>
      <c r="E112" s="140" t="str">
        <f t="shared" si="16"/>
        <v/>
      </c>
      <c r="F112" s="141" t="str">
        <f t="shared" si="17"/>
        <v/>
      </c>
      <c r="G112" s="141" t="str">
        <f t="shared" si="18"/>
        <v/>
      </c>
      <c r="H112" s="141" t="str">
        <f t="shared" si="19"/>
        <v/>
      </c>
    </row>
    <row r="113" spans="4:8">
      <c r="D113" s="140" t="str">
        <f t="shared" si="15"/>
        <v/>
      </c>
      <c r="E113" s="140" t="str">
        <f t="shared" si="16"/>
        <v/>
      </c>
      <c r="F113" s="141" t="str">
        <f t="shared" si="17"/>
        <v/>
      </c>
      <c r="G113" s="141" t="str">
        <f t="shared" si="18"/>
        <v/>
      </c>
      <c r="H113" s="141" t="str">
        <f t="shared" si="19"/>
        <v/>
      </c>
    </row>
    <row r="114" spans="4:8">
      <c r="D114" s="140" t="str">
        <f t="shared" si="15"/>
        <v/>
      </c>
      <c r="E114" s="140" t="str">
        <f t="shared" si="16"/>
        <v/>
      </c>
      <c r="F114" s="141" t="str">
        <f t="shared" si="17"/>
        <v/>
      </c>
      <c r="G114" s="141" t="str">
        <f t="shared" si="18"/>
        <v/>
      </c>
      <c r="H114" s="141" t="str">
        <f t="shared" si="19"/>
        <v/>
      </c>
    </row>
    <row r="115" spans="4:8">
      <c r="D115" s="140" t="str">
        <f t="shared" si="15"/>
        <v/>
      </c>
      <c r="E115" s="140" t="str">
        <f t="shared" si="16"/>
        <v/>
      </c>
      <c r="F115" s="141" t="str">
        <f t="shared" si="17"/>
        <v/>
      </c>
      <c r="G115" s="141" t="str">
        <f t="shared" si="18"/>
        <v/>
      </c>
      <c r="H115" s="141" t="str">
        <f t="shared" si="19"/>
        <v/>
      </c>
    </row>
    <row r="116" spans="4:8">
      <c r="D116" s="140" t="str">
        <f t="shared" si="15"/>
        <v/>
      </c>
      <c r="E116" s="140" t="str">
        <f t="shared" si="16"/>
        <v/>
      </c>
      <c r="F116" s="141" t="str">
        <f t="shared" si="17"/>
        <v/>
      </c>
      <c r="G116" s="141" t="str">
        <f t="shared" si="18"/>
        <v/>
      </c>
      <c r="H116" s="141" t="str">
        <f t="shared" si="19"/>
        <v/>
      </c>
    </row>
    <row r="117" spans="4:8">
      <c r="D117" s="140" t="str">
        <f t="shared" si="15"/>
        <v/>
      </c>
      <c r="E117" s="140" t="str">
        <f t="shared" si="16"/>
        <v/>
      </c>
      <c r="F117" s="141" t="str">
        <f t="shared" si="17"/>
        <v/>
      </c>
      <c r="G117" s="141" t="str">
        <f t="shared" si="18"/>
        <v/>
      </c>
      <c r="H117" s="141" t="str">
        <f t="shared" si="19"/>
        <v/>
      </c>
    </row>
    <row r="118" spans="4:8">
      <c r="D118" s="140" t="str">
        <f t="shared" si="15"/>
        <v/>
      </c>
      <c r="E118" s="140" t="str">
        <f t="shared" si="16"/>
        <v/>
      </c>
      <c r="F118" s="141" t="str">
        <f t="shared" si="17"/>
        <v/>
      </c>
      <c r="G118" s="141" t="str">
        <f t="shared" si="18"/>
        <v/>
      </c>
      <c r="H118" s="141" t="str">
        <f t="shared" si="19"/>
        <v/>
      </c>
    </row>
    <row r="119" spans="4:8">
      <c r="D119" s="140" t="str">
        <f t="shared" si="15"/>
        <v/>
      </c>
      <c r="E119" s="140" t="str">
        <f t="shared" si="16"/>
        <v/>
      </c>
      <c r="F119" s="141" t="str">
        <f t="shared" si="17"/>
        <v/>
      </c>
      <c r="G119" s="141" t="str">
        <f t="shared" si="18"/>
        <v/>
      </c>
      <c r="H119" s="141" t="str">
        <f t="shared" si="19"/>
        <v/>
      </c>
    </row>
    <row r="120" spans="4:8">
      <c r="D120" s="140" t="str">
        <f t="shared" si="15"/>
        <v/>
      </c>
      <c r="E120" s="140" t="str">
        <f t="shared" si="16"/>
        <v/>
      </c>
      <c r="F120" s="141" t="str">
        <f t="shared" si="17"/>
        <v/>
      </c>
      <c r="G120" s="141" t="str">
        <f t="shared" si="18"/>
        <v/>
      </c>
      <c r="H120" s="141" t="str">
        <f t="shared" si="19"/>
        <v/>
      </c>
    </row>
    <row r="121" spans="4:8">
      <c r="D121" s="140" t="str">
        <f t="shared" si="15"/>
        <v/>
      </c>
      <c r="E121" s="140" t="str">
        <f t="shared" si="16"/>
        <v/>
      </c>
      <c r="F121" s="141" t="str">
        <f t="shared" si="17"/>
        <v/>
      </c>
      <c r="G121" s="141" t="str">
        <f t="shared" si="18"/>
        <v/>
      </c>
      <c r="H121" s="141" t="str">
        <f t="shared" si="19"/>
        <v/>
      </c>
    </row>
    <row r="122" spans="4:8">
      <c r="D122" s="140" t="str">
        <f t="shared" si="15"/>
        <v/>
      </c>
      <c r="E122" s="140" t="str">
        <f t="shared" si="16"/>
        <v/>
      </c>
      <c r="F122" s="141" t="str">
        <f t="shared" si="17"/>
        <v/>
      </c>
      <c r="G122" s="141" t="str">
        <f t="shared" si="18"/>
        <v/>
      </c>
      <c r="H122" s="141" t="str">
        <f t="shared" si="19"/>
        <v/>
      </c>
    </row>
    <row r="123" spans="4:8">
      <c r="D123" s="140" t="str">
        <f t="shared" si="15"/>
        <v/>
      </c>
      <c r="E123" s="140" t="str">
        <f t="shared" si="16"/>
        <v/>
      </c>
      <c r="F123" s="141" t="str">
        <f t="shared" si="17"/>
        <v/>
      </c>
      <c r="G123" s="141" t="str">
        <f t="shared" si="18"/>
        <v/>
      </c>
      <c r="H123" s="141" t="str">
        <f t="shared" si="19"/>
        <v/>
      </c>
    </row>
    <row r="124" spans="4:8">
      <c r="D124" s="140" t="str">
        <f t="shared" si="15"/>
        <v/>
      </c>
      <c r="E124" s="140" t="str">
        <f t="shared" si="16"/>
        <v/>
      </c>
      <c r="F124" s="141" t="str">
        <f t="shared" si="17"/>
        <v/>
      </c>
      <c r="G124" s="141" t="str">
        <f t="shared" si="18"/>
        <v/>
      </c>
      <c r="H124" s="141" t="str">
        <f t="shared" si="19"/>
        <v/>
      </c>
    </row>
    <row r="125" spans="4:8">
      <c r="D125" s="140" t="str">
        <f t="shared" si="15"/>
        <v/>
      </c>
      <c r="E125" s="140" t="str">
        <f t="shared" si="16"/>
        <v/>
      </c>
      <c r="F125" s="141" t="str">
        <f t="shared" si="17"/>
        <v/>
      </c>
      <c r="G125" s="141" t="str">
        <f t="shared" si="18"/>
        <v/>
      </c>
      <c r="H125" s="141" t="str">
        <f t="shared" si="19"/>
        <v/>
      </c>
    </row>
    <row r="126" spans="4:8">
      <c r="D126" s="140" t="str">
        <f t="shared" si="15"/>
        <v/>
      </c>
      <c r="E126" s="140" t="str">
        <f t="shared" si="16"/>
        <v/>
      </c>
      <c r="F126" s="141" t="str">
        <f t="shared" si="17"/>
        <v/>
      </c>
      <c r="G126" s="141" t="str">
        <f t="shared" si="18"/>
        <v/>
      </c>
      <c r="H126" s="141" t="str">
        <f t="shared" si="19"/>
        <v/>
      </c>
    </row>
    <row r="127" spans="4:8">
      <c r="D127" s="140" t="str">
        <f t="shared" si="15"/>
        <v/>
      </c>
      <c r="E127" s="140" t="str">
        <f t="shared" si="16"/>
        <v/>
      </c>
      <c r="F127" s="141" t="str">
        <f t="shared" si="17"/>
        <v/>
      </c>
      <c r="G127" s="141" t="str">
        <f t="shared" si="18"/>
        <v/>
      </c>
      <c r="H127" s="141" t="str">
        <f t="shared" si="19"/>
        <v/>
      </c>
    </row>
    <row r="128" spans="4:8">
      <c r="D128" s="140" t="str">
        <f t="shared" si="15"/>
        <v/>
      </c>
      <c r="E128" s="140" t="str">
        <f t="shared" si="16"/>
        <v/>
      </c>
      <c r="F128" s="141" t="str">
        <f t="shared" si="17"/>
        <v/>
      </c>
      <c r="G128" s="141" t="str">
        <f t="shared" si="18"/>
        <v/>
      </c>
      <c r="H128" s="141" t="str">
        <f t="shared" si="19"/>
        <v/>
      </c>
    </row>
    <row r="129" spans="4:8">
      <c r="D129" s="140" t="str">
        <f t="shared" si="15"/>
        <v/>
      </c>
      <c r="E129" s="140" t="str">
        <f t="shared" si="16"/>
        <v/>
      </c>
      <c r="F129" s="141" t="str">
        <f t="shared" si="17"/>
        <v/>
      </c>
      <c r="G129" s="141" t="str">
        <f t="shared" si="18"/>
        <v/>
      </c>
      <c r="H129" s="141" t="str">
        <f t="shared" si="19"/>
        <v/>
      </c>
    </row>
    <row r="130" spans="4:8">
      <c r="D130" s="140" t="str">
        <f t="shared" si="15"/>
        <v/>
      </c>
      <c r="E130" s="140" t="str">
        <f t="shared" si="16"/>
        <v/>
      </c>
      <c r="F130" s="141" t="str">
        <f t="shared" si="17"/>
        <v/>
      </c>
      <c r="G130" s="141" t="str">
        <f t="shared" si="18"/>
        <v/>
      </c>
      <c r="H130" s="141" t="str">
        <f t="shared" si="19"/>
        <v/>
      </c>
    </row>
    <row r="131" spans="4:8">
      <c r="D131" s="140" t="str">
        <f t="shared" ref="D131:D162" si="20">IF(INDEX($A$3:$A$1000, (ROW(D131)-ROW($D$3))*5+1) = "", "", INDEX($A$3:$A$1000, (ROW(D131)-ROW($D$3))*5+1))</f>
        <v/>
      </c>
      <c r="E131" s="140" t="str">
        <f t="shared" ref="E131:E162" si="21">IF(INDEX($A$3:$A$1000, (ROW(D131)-ROW($D$3))*5+2) = "", "", INDEX($A$3:$A$1000, (ROW(D131)-ROW($D$3))*5+2))</f>
        <v/>
      </c>
      <c r="F131" s="141" t="str">
        <f t="shared" ref="F131:F162" si="22">IF(INDEX($A$3:$A$1000, (ROW(D131)-ROW($D$3))*5+4) = "", "", INDEX($A$3:$A$1000, (ROW(D131)-ROW($D$3))*5+4))</f>
        <v/>
      </c>
      <c r="G131" s="141" t="str">
        <f t="shared" ref="G131:G162" si="23">IF(INDEX($A$3:$A$1000, (ROW(D131)-ROW($D$3))*5+3) = "", "", INDEX($A$3:$A$1000, (ROW(D131)-ROW($D$3))*5+3))</f>
        <v/>
      </c>
      <c r="H131" s="141" t="str">
        <f t="shared" ref="H131:H162" si="24">IF(INDEX($A$3:$A$1000, (ROW(D131)-ROW($D$3))*5+5) = "", "", INDEX($A$3:$A$1000, (ROW(D131)-ROW($D$3))*5+5))</f>
        <v/>
      </c>
    </row>
    <row r="132" spans="4:8">
      <c r="D132" s="140" t="str">
        <f t="shared" si="20"/>
        <v/>
      </c>
      <c r="E132" s="140" t="str">
        <f t="shared" si="21"/>
        <v/>
      </c>
      <c r="F132" s="141" t="str">
        <f t="shared" si="22"/>
        <v/>
      </c>
      <c r="G132" s="141" t="str">
        <f t="shared" si="23"/>
        <v/>
      </c>
      <c r="H132" s="141" t="str">
        <f t="shared" si="24"/>
        <v/>
      </c>
    </row>
    <row r="133" spans="4:8">
      <c r="D133" s="140" t="str">
        <f t="shared" si="20"/>
        <v/>
      </c>
      <c r="E133" s="140" t="str">
        <f t="shared" si="21"/>
        <v/>
      </c>
      <c r="F133" s="141" t="str">
        <f t="shared" si="22"/>
        <v/>
      </c>
      <c r="G133" s="141" t="str">
        <f t="shared" si="23"/>
        <v/>
      </c>
      <c r="H133" s="141" t="str">
        <f t="shared" si="24"/>
        <v/>
      </c>
    </row>
    <row r="134" spans="4:8">
      <c r="D134" s="140" t="str">
        <f t="shared" si="20"/>
        <v/>
      </c>
      <c r="E134" s="140" t="str">
        <f t="shared" si="21"/>
        <v/>
      </c>
      <c r="F134" s="141" t="str">
        <f t="shared" si="22"/>
        <v/>
      </c>
      <c r="G134" s="141" t="str">
        <f t="shared" si="23"/>
        <v/>
      </c>
      <c r="H134" s="141" t="str">
        <f t="shared" si="24"/>
        <v/>
      </c>
    </row>
    <row r="135" spans="4:8">
      <c r="D135" s="140" t="str">
        <f t="shared" si="20"/>
        <v/>
      </c>
      <c r="E135" s="140" t="str">
        <f t="shared" si="21"/>
        <v/>
      </c>
      <c r="F135" s="141" t="str">
        <f t="shared" si="22"/>
        <v/>
      </c>
      <c r="G135" s="141" t="str">
        <f t="shared" si="23"/>
        <v/>
      </c>
      <c r="H135" s="141" t="str">
        <f t="shared" si="24"/>
        <v/>
      </c>
    </row>
    <row r="136" spans="4:8">
      <c r="D136" s="140" t="str">
        <f t="shared" si="20"/>
        <v/>
      </c>
      <c r="E136" s="140" t="str">
        <f t="shared" si="21"/>
        <v/>
      </c>
      <c r="F136" s="141" t="str">
        <f t="shared" si="22"/>
        <v/>
      </c>
      <c r="G136" s="141" t="str">
        <f t="shared" si="23"/>
        <v/>
      </c>
      <c r="H136" s="141" t="str">
        <f t="shared" si="24"/>
        <v/>
      </c>
    </row>
    <row r="137" spans="4:8">
      <c r="D137" s="140" t="str">
        <f t="shared" si="20"/>
        <v/>
      </c>
      <c r="E137" s="140" t="str">
        <f t="shared" si="21"/>
        <v/>
      </c>
      <c r="F137" s="141" t="str">
        <f t="shared" si="22"/>
        <v/>
      </c>
      <c r="G137" s="141" t="str">
        <f t="shared" si="23"/>
        <v/>
      </c>
      <c r="H137" s="141" t="str">
        <f t="shared" si="24"/>
        <v/>
      </c>
    </row>
    <row r="138" spans="4:8">
      <c r="D138" s="140" t="str">
        <f t="shared" si="20"/>
        <v/>
      </c>
      <c r="E138" s="140" t="str">
        <f t="shared" si="21"/>
        <v/>
      </c>
      <c r="F138" s="141" t="str">
        <f t="shared" si="22"/>
        <v/>
      </c>
      <c r="G138" s="141" t="str">
        <f t="shared" si="23"/>
        <v/>
      </c>
      <c r="H138" s="141" t="str">
        <f t="shared" si="24"/>
        <v/>
      </c>
    </row>
    <row r="139" spans="4:8">
      <c r="D139" s="140" t="str">
        <f t="shared" si="20"/>
        <v/>
      </c>
      <c r="E139" s="140" t="str">
        <f t="shared" si="21"/>
        <v/>
      </c>
      <c r="F139" s="141" t="str">
        <f t="shared" si="22"/>
        <v/>
      </c>
      <c r="G139" s="141" t="str">
        <f t="shared" si="23"/>
        <v/>
      </c>
      <c r="H139" s="141" t="str">
        <f t="shared" si="24"/>
        <v/>
      </c>
    </row>
    <row r="140" spans="4:8">
      <c r="D140" s="140" t="str">
        <f t="shared" si="20"/>
        <v/>
      </c>
      <c r="E140" s="140" t="str">
        <f t="shared" si="21"/>
        <v/>
      </c>
      <c r="F140" s="141" t="str">
        <f t="shared" si="22"/>
        <v/>
      </c>
      <c r="G140" s="141" t="str">
        <f t="shared" si="23"/>
        <v/>
      </c>
      <c r="H140" s="141" t="str">
        <f t="shared" si="24"/>
        <v/>
      </c>
    </row>
    <row r="141" spans="4:8">
      <c r="D141" s="140" t="str">
        <f t="shared" si="20"/>
        <v/>
      </c>
      <c r="E141" s="140" t="str">
        <f t="shared" si="21"/>
        <v/>
      </c>
      <c r="F141" s="141" t="str">
        <f t="shared" si="22"/>
        <v/>
      </c>
      <c r="G141" s="141" t="str">
        <f t="shared" si="23"/>
        <v/>
      </c>
      <c r="H141" s="141" t="str">
        <f t="shared" si="24"/>
        <v/>
      </c>
    </row>
    <row r="142" spans="4:8">
      <c r="D142" s="140" t="str">
        <f t="shared" si="20"/>
        <v/>
      </c>
      <c r="E142" s="140" t="str">
        <f t="shared" si="21"/>
        <v/>
      </c>
      <c r="F142" s="141" t="str">
        <f t="shared" si="22"/>
        <v/>
      </c>
      <c r="G142" s="141" t="str">
        <f t="shared" si="23"/>
        <v/>
      </c>
      <c r="H142" s="141" t="str">
        <f t="shared" si="24"/>
        <v/>
      </c>
    </row>
    <row r="143" spans="4:8">
      <c r="D143" s="140" t="str">
        <f t="shared" si="20"/>
        <v/>
      </c>
      <c r="E143" s="140" t="str">
        <f t="shared" si="21"/>
        <v/>
      </c>
      <c r="F143" s="141" t="str">
        <f t="shared" si="22"/>
        <v/>
      </c>
      <c r="G143" s="141" t="str">
        <f t="shared" si="23"/>
        <v/>
      </c>
      <c r="H143" s="141" t="str">
        <f t="shared" si="24"/>
        <v/>
      </c>
    </row>
    <row r="144" spans="4:8">
      <c r="D144" s="140" t="str">
        <f t="shared" si="20"/>
        <v/>
      </c>
      <c r="E144" s="140" t="str">
        <f t="shared" si="21"/>
        <v/>
      </c>
      <c r="F144" s="141" t="str">
        <f t="shared" si="22"/>
        <v/>
      </c>
      <c r="G144" s="141" t="str">
        <f t="shared" si="23"/>
        <v/>
      </c>
      <c r="H144" s="141" t="str">
        <f t="shared" si="24"/>
        <v/>
      </c>
    </row>
    <row r="145" spans="4:8">
      <c r="D145" s="140" t="str">
        <f t="shared" si="20"/>
        <v/>
      </c>
      <c r="E145" s="140" t="str">
        <f t="shared" si="21"/>
        <v/>
      </c>
      <c r="F145" s="141" t="str">
        <f t="shared" si="22"/>
        <v/>
      </c>
      <c r="G145" s="141" t="str">
        <f t="shared" si="23"/>
        <v/>
      </c>
      <c r="H145" s="141" t="str">
        <f t="shared" si="24"/>
        <v/>
      </c>
    </row>
    <row r="146" spans="4:8">
      <c r="D146" s="140" t="str">
        <f t="shared" si="20"/>
        <v/>
      </c>
      <c r="E146" s="140" t="str">
        <f t="shared" si="21"/>
        <v/>
      </c>
      <c r="F146" s="141" t="str">
        <f t="shared" si="22"/>
        <v/>
      </c>
      <c r="G146" s="141" t="str">
        <f t="shared" si="23"/>
        <v/>
      </c>
      <c r="H146" s="141" t="str">
        <f t="shared" si="24"/>
        <v/>
      </c>
    </row>
    <row r="147" spans="4:8">
      <c r="D147" s="140" t="str">
        <f t="shared" si="20"/>
        <v/>
      </c>
      <c r="E147" s="140" t="str">
        <f t="shared" si="21"/>
        <v/>
      </c>
      <c r="F147" s="141" t="str">
        <f t="shared" si="22"/>
        <v/>
      </c>
      <c r="G147" s="141" t="str">
        <f t="shared" si="23"/>
        <v/>
      </c>
      <c r="H147" s="141" t="str">
        <f t="shared" si="24"/>
        <v/>
      </c>
    </row>
    <row r="148" spans="4:8">
      <c r="D148" s="140" t="str">
        <f t="shared" si="20"/>
        <v/>
      </c>
      <c r="E148" s="140" t="str">
        <f t="shared" si="21"/>
        <v/>
      </c>
      <c r="F148" s="141" t="str">
        <f t="shared" si="22"/>
        <v/>
      </c>
      <c r="G148" s="141" t="str">
        <f t="shared" si="23"/>
        <v/>
      </c>
      <c r="H148" s="141" t="str">
        <f t="shared" si="24"/>
        <v/>
      </c>
    </row>
    <row r="149" spans="4:8">
      <c r="D149" s="140" t="str">
        <f t="shared" si="20"/>
        <v/>
      </c>
      <c r="E149" s="140" t="str">
        <f t="shared" si="21"/>
        <v/>
      </c>
      <c r="F149" s="141" t="str">
        <f t="shared" si="22"/>
        <v/>
      </c>
      <c r="G149" s="141" t="str">
        <f t="shared" si="23"/>
        <v/>
      </c>
      <c r="H149" s="141" t="str">
        <f t="shared" si="24"/>
        <v/>
      </c>
    </row>
    <row r="150" spans="4:8">
      <c r="D150" s="140" t="str">
        <f t="shared" si="20"/>
        <v/>
      </c>
      <c r="E150" s="140" t="str">
        <f t="shared" si="21"/>
        <v/>
      </c>
      <c r="F150" s="141" t="str">
        <f t="shared" si="22"/>
        <v/>
      </c>
      <c r="G150" s="141" t="str">
        <f t="shared" si="23"/>
        <v/>
      </c>
      <c r="H150" s="141" t="str">
        <f t="shared" si="24"/>
        <v/>
      </c>
    </row>
    <row r="151" spans="4:8">
      <c r="D151" s="140" t="str">
        <f t="shared" si="20"/>
        <v/>
      </c>
      <c r="E151" s="140" t="str">
        <f t="shared" si="21"/>
        <v/>
      </c>
      <c r="F151" s="141" t="str">
        <f t="shared" si="22"/>
        <v/>
      </c>
      <c r="G151" s="141" t="str">
        <f t="shared" si="23"/>
        <v/>
      </c>
      <c r="H151" s="141" t="str">
        <f t="shared" si="24"/>
        <v/>
      </c>
    </row>
    <row r="152" spans="4:8">
      <c r="D152" s="140" t="str">
        <f t="shared" si="20"/>
        <v/>
      </c>
      <c r="E152" s="140" t="str">
        <f t="shared" si="21"/>
        <v/>
      </c>
      <c r="F152" s="141" t="str">
        <f t="shared" si="22"/>
        <v/>
      </c>
      <c r="G152" s="141" t="str">
        <f t="shared" si="23"/>
        <v/>
      </c>
      <c r="H152" s="141" t="str">
        <f t="shared" si="24"/>
        <v/>
      </c>
    </row>
    <row r="153" spans="4:8">
      <c r="D153" s="140" t="str">
        <f t="shared" si="20"/>
        <v/>
      </c>
      <c r="E153" s="140" t="str">
        <f t="shared" si="21"/>
        <v/>
      </c>
      <c r="F153" s="141" t="str">
        <f t="shared" si="22"/>
        <v/>
      </c>
      <c r="G153" s="141" t="str">
        <f t="shared" si="23"/>
        <v/>
      </c>
      <c r="H153" s="141" t="str">
        <f t="shared" si="24"/>
        <v/>
      </c>
    </row>
    <row r="154" spans="4:8">
      <c r="D154" s="140" t="str">
        <f t="shared" si="20"/>
        <v/>
      </c>
      <c r="E154" s="140" t="str">
        <f t="shared" si="21"/>
        <v/>
      </c>
      <c r="F154" s="141" t="str">
        <f t="shared" si="22"/>
        <v/>
      </c>
      <c r="G154" s="141" t="str">
        <f t="shared" si="23"/>
        <v/>
      </c>
      <c r="H154" s="141" t="str">
        <f t="shared" si="24"/>
        <v/>
      </c>
    </row>
    <row r="155" spans="4:8">
      <c r="D155" s="140" t="str">
        <f t="shared" si="20"/>
        <v/>
      </c>
      <c r="E155" s="140" t="str">
        <f t="shared" si="21"/>
        <v/>
      </c>
      <c r="F155" s="141" t="str">
        <f t="shared" si="22"/>
        <v/>
      </c>
      <c r="G155" s="141" t="str">
        <f t="shared" si="23"/>
        <v/>
      </c>
      <c r="H155" s="141" t="str">
        <f t="shared" si="24"/>
        <v/>
      </c>
    </row>
    <row r="156" spans="4:8">
      <c r="D156" s="140" t="str">
        <f t="shared" si="20"/>
        <v/>
      </c>
      <c r="E156" s="140" t="str">
        <f t="shared" si="21"/>
        <v/>
      </c>
      <c r="F156" s="141" t="str">
        <f t="shared" si="22"/>
        <v/>
      </c>
      <c r="G156" s="141" t="str">
        <f t="shared" si="23"/>
        <v/>
      </c>
      <c r="H156" s="141" t="str">
        <f t="shared" si="24"/>
        <v/>
      </c>
    </row>
    <row r="157" spans="4:8">
      <c r="D157" s="140" t="str">
        <f t="shared" si="20"/>
        <v/>
      </c>
      <c r="E157" s="140" t="str">
        <f t="shared" si="21"/>
        <v/>
      </c>
      <c r="F157" s="141" t="str">
        <f t="shared" si="22"/>
        <v/>
      </c>
      <c r="G157" s="141" t="str">
        <f t="shared" si="23"/>
        <v/>
      </c>
      <c r="H157" s="141" t="str">
        <f t="shared" si="24"/>
        <v/>
      </c>
    </row>
    <row r="158" spans="4:8">
      <c r="D158" s="140" t="str">
        <f t="shared" si="20"/>
        <v/>
      </c>
      <c r="E158" s="140" t="str">
        <f t="shared" si="21"/>
        <v/>
      </c>
      <c r="F158" s="141" t="str">
        <f t="shared" si="22"/>
        <v/>
      </c>
      <c r="G158" s="141" t="str">
        <f t="shared" si="23"/>
        <v/>
      </c>
      <c r="H158" s="141" t="str">
        <f t="shared" si="24"/>
        <v/>
      </c>
    </row>
    <row r="159" spans="4:8">
      <c r="D159" s="140" t="str">
        <f t="shared" si="20"/>
        <v/>
      </c>
      <c r="E159" s="140" t="str">
        <f t="shared" si="21"/>
        <v/>
      </c>
      <c r="F159" s="141" t="str">
        <f t="shared" si="22"/>
        <v/>
      </c>
      <c r="G159" s="141" t="str">
        <f t="shared" si="23"/>
        <v/>
      </c>
      <c r="H159" s="141" t="str">
        <f t="shared" si="24"/>
        <v/>
      </c>
    </row>
    <row r="160" spans="4:8">
      <c r="D160" s="140" t="str">
        <f t="shared" si="20"/>
        <v/>
      </c>
      <c r="E160" s="140" t="str">
        <f t="shared" si="21"/>
        <v/>
      </c>
      <c r="F160" s="141" t="str">
        <f t="shared" si="22"/>
        <v/>
      </c>
      <c r="G160" s="141" t="str">
        <f t="shared" si="23"/>
        <v/>
      </c>
      <c r="H160" s="141" t="str">
        <f t="shared" si="24"/>
        <v/>
      </c>
    </row>
    <row r="161" spans="4:8">
      <c r="D161" s="140" t="str">
        <f t="shared" si="20"/>
        <v/>
      </c>
      <c r="E161" s="140" t="str">
        <f t="shared" si="21"/>
        <v/>
      </c>
      <c r="F161" s="141" t="str">
        <f t="shared" si="22"/>
        <v/>
      </c>
      <c r="G161" s="141" t="str">
        <f t="shared" si="23"/>
        <v/>
      </c>
      <c r="H161" s="141" t="str">
        <f t="shared" si="24"/>
        <v/>
      </c>
    </row>
    <row r="162" spans="4:8">
      <c r="D162" s="140" t="str">
        <f t="shared" si="20"/>
        <v/>
      </c>
      <c r="E162" s="140" t="str">
        <f t="shared" si="21"/>
        <v/>
      </c>
      <c r="F162" s="141" t="str">
        <f t="shared" si="22"/>
        <v/>
      </c>
      <c r="G162" s="141" t="str">
        <f t="shared" si="23"/>
        <v/>
      </c>
      <c r="H162" s="141" t="str">
        <f t="shared" si="24"/>
        <v/>
      </c>
    </row>
    <row r="163" spans="4:8">
      <c r="D163" s="140" t="str">
        <f t="shared" ref="D163:D194" si="25">IF(INDEX($A$3:$A$1000, (ROW(D163)-ROW($D$3))*5+1) = "", "", INDEX($A$3:$A$1000, (ROW(D163)-ROW($D$3))*5+1))</f>
        <v/>
      </c>
      <c r="E163" s="140" t="str">
        <f t="shared" ref="E163:E194" si="26">IF(INDEX($A$3:$A$1000, (ROW(D163)-ROW($D$3))*5+2) = "", "", INDEX($A$3:$A$1000, (ROW(D163)-ROW($D$3))*5+2))</f>
        <v/>
      </c>
      <c r="F163" s="141" t="str">
        <f t="shared" ref="F163:F194" si="27">IF(INDEX($A$3:$A$1000, (ROW(D163)-ROW($D$3))*5+4) = "", "", INDEX($A$3:$A$1000, (ROW(D163)-ROW($D$3))*5+4))</f>
        <v/>
      </c>
      <c r="G163" s="141" t="str">
        <f t="shared" ref="G163:G194" si="28">IF(INDEX($A$3:$A$1000, (ROW(D163)-ROW($D$3))*5+3) = "", "", INDEX($A$3:$A$1000, (ROW(D163)-ROW($D$3))*5+3))</f>
        <v/>
      </c>
      <c r="H163" s="141" t="str">
        <f t="shared" ref="H163:H194" si="29">IF(INDEX($A$3:$A$1000, (ROW(D163)-ROW($D$3))*5+5) = "", "", INDEX($A$3:$A$1000, (ROW(D163)-ROW($D$3))*5+5))</f>
        <v/>
      </c>
    </row>
    <row r="164" spans="4:8">
      <c r="D164" s="140" t="str">
        <f t="shared" si="25"/>
        <v/>
      </c>
      <c r="E164" s="140" t="str">
        <f t="shared" si="26"/>
        <v/>
      </c>
      <c r="F164" s="141" t="str">
        <f t="shared" si="27"/>
        <v/>
      </c>
      <c r="G164" s="141" t="str">
        <f t="shared" si="28"/>
        <v/>
      </c>
      <c r="H164" s="141" t="str">
        <f t="shared" si="29"/>
        <v/>
      </c>
    </row>
    <row r="165" spans="4:8">
      <c r="D165" s="140" t="str">
        <f t="shared" si="25"/>
        <v/>
      </c>
      <c r="E165" s="140" t="str">
        <f t="shared" si="26"/>
        <v/>
      </c>
      <c r="F165" s="141" t="str">
        <f t="shared" si="27"/>
        <v/>
      </c>
      <c r="G165" s="141" t="str">
        <f t="shared" si="28"/>
        <v/>
      </c>
      <c r="H165" s="141" t="str">
        <f t="shared" si="29"/>
        <v/>
      </c>
    </row>
    <row r="166" spans="4:8">
      <c r="D166" s="140" t="str">
        <f t="shared" si="25"/>
        <v/>
      </c>
      <c r="E166" s="140" t="str">
        <f t="shared" si="26"/>
        <v/>
      </c>
      <c r="F166" s="141" t="str">
        <f t="shared" si="27"/>
        <v/>
      </c>
      <c r="G166" s="141" t="str">
        <f t="shared" si="28"/>
        <v/>
      </c>
      <c r="H166" s="141" t="str">
        <f t="shared" si="29"/>
        <v/>
      </c>
    </row>
    <row r="167" spans="4:8">
      <c r="D167" s="140" t="str">
        <f t="shared" si="25"/>
        <v/>
      </c>
      <c r="E167" s="140" t="str">
        <f t="shared" si="26"/>
        <v/>
      </c>
      <c r="F167" s="141" t="str">
        <f t="shared" si="27"/>
        <v/>
      </c>
      <c r="G167" s="141" t="str">
        <f t="shared" si="28"/>
        <v/>
      </c>
      <c r="H167" s="141" t="str">
        <f t="shared" si="29"/>
        <v/>
      </c>
    </row>
    <row r="168" spans="4:8">
      <c r="D168" s="140" t="str">
        <f t="shared" si="25"/>
        <v/>
      </c>
      <c r="E168" s="140" t="str">
        <f t="shared" si="26"/>
        <v/>
      </c>
      <c r="F168" s="141" t="str">
        <f t="shared" si="27"/>
        <v/>
      </c>
      <c r="G168" s="141" t="str">
        <f t="shared" si="28"/>
        <v/>
      </c>
      <c r="H168" s="141" t="str">
        <f t="shared" si="29"/>
        <v/>
      </c>
    </row>
    <row r="169" spans="4:8">
      <c r="D169" s="140" t="str">
        <f t="shared" si="25"/>
        <v/>
      </c>
      <c r="E169" s="140" t="str">
        <f t="shared" si="26"/>
        <v/>
      </c>
      <c r="F169" s="141" t="str">
        <f t="shared" si="27"/>
        <v/>
      </c>
      <c r="G169" s="141" t="str">
        <f t="shared" si="28"/>
        <v/>
      </c>
      <c r="H169" s="141" t="str">
        <f t="shared" si="29"/>
        <v/>
      </c>
    </row>
    <row r="170" spans="4:8">
      <c r="D170" s="140" t="str">
        <f t="shared" si="25"/>
        <v/>
      </c>
      <c r="E170" s="140" t="str">
        <f t="shared" si="26"/>
        <v/>
      </c>
      <c r="F170" s="141" t="str">
        <f t="shared" si="27"/>
        <v/>
      </c>
      <c r="G170" s="141" t="str">
        <f t="shared" si="28"/>
        <v/>
      </c>
      <c r="H170" s="141" t="str">
        <f t="shared" si="29"/>
        <v/>
      </c>
    </row>
    <row r="171" spans="4:8">
      <c r="D171" s="140" t="str">
        <f t="shared" si="25"/>
        <v/>
      </c>
      <c r="E171" s="140" t="str">
        <f t="shared" si="26"/>
        <v/>
      </c>
      <c r="F171" s="141" t="str">
        <f t="shared" si="27"/>
        <v/>
      </c>
      <c r="G171" s="141" t="str">
        <f t="shared" si="28"/>
        <v/>
      </c>
      <c r="H171" s="141" t="str">
        <f t="shared" si="29"/>
        <v/>
      </c>
    </row>
    <row r="172" spans="4:8">
      <c r="D172" s="140" t="str">
        <f t="shared" si="25"/>
        <v/>
      </c>
      <c r="E172" s="140" t="str">
        <f t="shared" si="26"/>
        <v/>
      </c>
      <c r="F172" s="141" t="str">
        <f t="shared" si="27"/>
        <v/>
      </c>
      <c r="G172" s="141" t="str">
        <f t="shared" si="28"/>
        <v/>
      </c>
      <c r="H172" s="141" t="str">
        <f t="shared" si="29"/>
        <v/>
      </c>
    </row>
    <row r="173" spans="4:8">
      <c r="D173" s="140" t="str">
        <f t="shared" si="25"/>
        <v/>
      </c>
      <c r="E173" s="140" t="str">
        <f t="shared" si="26"/>
        <v/>
      </c>
      <c r="F173" s="141" t="str">
        <f t="shared" si="27"/>
        <v/>
      </c>
      <c r="G173" s="141" t="str">
        <f t="shared" si="28"/>
        <v/>
      </c>
      <c r="H173" s="141" t="str">
        <f t="shared" si="29"/>
        <v/>
      </c>
    </row>
    <row r="174" spans="4:8">
      <c r="D174" s="140" t="str">
        <f t="shared" si="25"/>
        <v/>
      </c>
      <c r="E174" s="140" t="str">
        <f t="shared" si="26"/>
        <v/>
      </c>
      <c r="F174" s="141" t="str">
        <f t="shared" si="27"/>
        <v/>
      </c>
      <c r="G174" s="141" t="str">
        <f t="shared" si="28"/>
        <v/>
      </c>
      <c r="H174" s="141" t="str">
        <f t="shared" si="29"/>
        <v/>
      </c>
    </row>
    <row r="175" spans="4:8">
      <c r="D175" s="140" t="str">
        <f t="shared" si="25"/>
        <v/>
      </c>
      <c r="E175" s="140" t="str">
        <f t="shared" si="26"/>
        <v/>
      </c>
      <c r="F175" s="141" t="str">
        <f t="shared" si="27"/>
        <v/>
      </c>
      <c r="G175" s="141" t="str">
        <f t="shared" si="28"/>
        <v/>
      </c>
      <c r="H175" s="141" t="str">
        <f t="shared" si="29"/>
        <v/>
      </c>
    </row>
    <row r="176" spans="4:8">
      <c r="D176" s="140" t="str">
        <f t="shared" si="25"/>
        <v/>
      </c>
      <c r="E176" s="140" t="str">
        <f t="shared" si="26"/>
        <v/>
      </c>
      <c r="F176" s="141" t="str">
        <f t="shared" si="27"/>
        <v/>
      </c>
      <c r="G176" s="141" t="str">
        <f t="shared" si="28"/>
        <v/>
      </c>
      <c r="H176" s="141" t="str">
        <f t="shared" si="29"/>
        <v/>
      </c>
    </row>
    <row r="177" spans="4:8">
      <c r="D177" s="140" t="str">
        <f t="shared" si="25"/>
        <v/>
      </c>
      <c r="E177" s="140" t="str">
        <f t="shared" si="26"/>
        <v/>
      </c>
      <c r="F177" s="141" t="str">
        <f t="shared" si="27"/>
        <v/>
      </c>
      <c r="G177" s="141" t="str">
        <f t="shared" si="28"/>
        <v/>
      </c>
      <c r="H177" s="141" t="str">
        <f t="shared" si="29"/>
        <v/>
      </c>
    </row>
    <row r="178" spans="4:8">
      <c r="D178" s="140" t="str">
        <f t="shared" si="25"/>
        <v/>
      </c>
      <c r="E178" s="140" t="str">
        <f t="shared" si="26"/>
        <v/>
      </c>
      <c r="F178" s="141" t="str">
        <f t="shared" si="27"/>
        <v/>
      </c>
      <c r="G178" s="141" t="str">
        <f t="shared" si="28"/>
        <v/>
      </c>
      <c r="H178" s="141" t="str">
        <f t="shared" si="29"/>
        <v/>
      </c>
    </row>
    <row r="179" spans="4:8">
      <c r="D179" s="140" t="str">
        <f t="shared" si="25"/>
        <v/>
      </c>
      <c r="E179" s="140" t="str">
        <f t="shared" si="26"/>
        <v/>
      </c>
      <c r="F179" s="141" t="str">
        <f t="shared" si="27"/>
        <v/>
      </c>
      <c r="G179" s="141" t="str">
        <f t="shared" si="28"/>
        <v/>
      </c>
      <c r="H179" s="141" t="str">
        <f t="shared" si="29"/>
        <v/>
      </c>
    </row>
    <row r="180" spans="4:8">
      <c r="D180" s="140" t="str">
        <f t="shared" si="25"/>
        <v/>
      </c>
      <c r="E180" s="140" t="str">
        <f t="shared" si="26"/>
        <v/>
      </c>
      <c r="F180" s="141" t="str">
        <f t="shared" si="27"/>
        <v/>
      </c>
      <c r="G180" s="141" t="str">
        <f t="shared" si="28"/>
        <v/>
      </c>
      <c r="H180" s="141" t="str">
        <f t="shared" si="29"/>
        <v/>
      </c>
    </row>
    <row r="181" spans="4:8">
      <c r="D181" s="140" t="str">
        <f t="shared" si="25"/>
        <v/>
      </c>
      <c r="E181" s="140" t="str">
        <f t="shared" si="26"/>
        <v/>
      </c>
      <c r="F181" s="141" t="str">
        <f t="shared" si="27"/>
        <v/>
      </c>
      <c r="G181" s="141" t="str">
        <f t="shared" si="28"/>
        <v/>
      </c>
      <c r="H181" s="141" t="str">
        <f t="shared" si="29"/>
        <v/>
      </c>
    </row>
    <row r="182" spans="4:8">
      <c r="D182" s="140" t="str">
        <f t="shared" si="25"/>
        <v/>
      </c>
      <c r="E182" s="140" t="str">
        <f t="shared" si="26"/>
        <v/>
      </c>
      <c r="F182" s="141" t="str">
        <f t="shared" si="27"/>
        <v/>
      </c>
      <c r="G182" s="141" t="str">
        <f t="shared" si="28"/>
        <v/>
      </c>
      <c r="H182" s="141" t="str">
        <f t="shared" si="29"/>
        <v/>
      </c>
    </row>
    <row r="183" spans="4:8">
      <c r="D183" s="140" t="str">
        <f t="shared" si="25"/>
        <v/>
      </c>
      <c r="E183" s="140" t="str">
        <f t="shared" si="26"/>
        <v/>
      </c>
      <c r="F183" s="141" t="str">
        <f t="shared" si="27"/>
        <v/>
      </c>
      <c r="G183" s="141" t="str">
        <f t="shared" si="28"/>
        <v/>
      </c>
      <c r="H183" s="141" t="str">
        <f t="shared" si="29"/>
        <v/>
      </c>
    </row>
    <row r="184" spans="4:8">
      <c r="D184" s="140" t="str">
        <f t="shared" si="25"/>
        <v/>
      </c>
      <c r="E184" s="140" t="str">
        <f t="shared" si="26"/>
        <v/>
      </c>
      <c r="F184" s="141" t="str">
        <f t="shared" si="27"/>
        <v/>
      </c>
      <c r="G184" s="141" t="str">
        <f t="shared" si="28"/>
        <v/>
      </c>
      <c r="H184" s="141" t="str">
        <f t="shared" si="29"/>
        <v/>
      </c>
    </row>
    <row r="185" spans="4:8">
      <c r="D185" s="140" t="str">
        <f t="shared" si="25"/>
        <v/>
      </c>
      <c r="E185" s="140" t="str">
        <f t="shared" si="26"/>
        <v/>
      </c>
      <c r="F185" s="141" t="str">
        <f t="shared" si="27"/>
        <v/>
      </c>
      <c r="G185" s="141" t="str">
        <f t="shared" si="28"/>
        <v/>
      </c>
      <c r="H185" s="141" t="str">
        <f t="shared" si="29"/>
        <v/>
      </c>
    </row>
    <row r="186" spans="4:8">
      <c r="D186" s="140" t="str">
        <f t="shared" si="25"/>
        <v/>
      </c>
      <c r="E186" s="140" t="str">
        <f t="shared" si="26"/>
        <v/>
      </c>
      <c r="F186" s="141" t="str">
        <f t="shared" si="27"/>
        <v/>
      </c>
      <c r="G186" s="141" t="str">
        <f t="shared" si="28"/>
        <v/>
      </c>
      <c r="H186" s="141" t="str">
        <f t="shared" si="29"/>
        <v/>
      </c>
    </row>
    <row r="187" spans="4:8">
      <c r="D187" s="140" t="str">
        <f t="shared" si="25"/>
        <v/>
      </c>
      <c r="E187" s="140" t="str">
        <f t="shared" si="26"/>
        <v/>
      </c>
      <c r="F187" s="141" t="str">
        <f t="shared" si="27"/>
        <v/>
      </c>
      <c r="G187" s="141" t="str">
        <f t="shared" si="28"/>
        <v/>
      </c>
      <c r="H187" s="141" t="str">
        <f t="shared" si="29"/>
        <v/>
      </c>
    </row>
    <row r="188" spans="4:8">
      <c r="D188" s="140" t="str">
        <f t="shared" si="25"/>
        <v/>
      </c>
      <c r="E188" s="140" t="str">
        <f t="shared" si="26"/>
        <v/>
      </c>
      <c r="F188" s="141" t="str">
        <f t="shared" si="27"/>
        <v/>
      </c>
      <c r="G188" s="141" t="str">
        <f t="shared" si="28"/>
        <v/>
      </c>
      <c r="H188" s="141" t="str">
        <f t="shared" si="29"/>
        <v/>
      </c>
    </row>
    <row r="189" spans="4:8">
      <c r="D189" s="140" t="str">
        <f t="shared" si="25"/>
        <v/>
      </c>
      <c r="E189" s="140" t="str">
        <f t="shared" si="26"/>
        <v/>
      </c>
      <c r="F189" s="141" t="str">
        <f t="shared" si="27"/>
        <v/>
      </c>
      <c r="G189" s="141" t="str">
        <f t="shared" si="28"/>
        <v/>
      </c>
      <c r="H189" s="141" t="str">
        <f t="shared" si="29"/>
        <v/>
      </c>
    </row>
    <row r="190" spans="4:8">
      <c r="D190" s="140" t="str">
        <f t="shared" si="25"/>
        <v/>
      </c>
      <c r="E190" s="140" t="str">
        <f t="shared" si="26"/>
        <v/>
      </c>
      <c r="F190" s="141" t="str">
        <f t="shared" si="27"/>
        <v/>
      </c>
      <c r="G190" s="141" t="str">
        <f t="shared" si="28"/>
        <v/>
      </c>
      <c r="H190" s="141" t="str">
        <f t="shared" si="29"/>
        <v/>
      </c>
    </row>
    <row r="191" spans="4:8">
      <c r="D191" s="140" t="str">
        <f t="shared" si="25"/>
        <v/>
      </c>
      <c r="E191" s="140" t="str">
        <f t="shared" si="26"/>
        <v/>
      </c>
      <c r="F191" s="141" t="str">
        <f t="shared" si="27"/>
        <v/>
      </c>
      <c r="G191" s="141" t="str">
        <f t="shared" si="28"/>
        <v/>
      </c>
      <c r="H191" s="141" t="str">
        <f t="shared" si="29"/>
        <v/>
      </c>
    </row>
    <row r="192" spans="4:8">
      <c r="D192" s="140" t="str">
        <f t="shared" si="25"/>
        <v/>
      </c>
      <c r="E192" s="140" t="str">
        <f t="shared" si="26"/>
        <v/>
      </c>
      <c r="F192" s="141" t="str">
        <f t="shared" si="27"/>
        <v/>
      </c>
      <c r="G192" s="141" t="str">
        <f t="shared" si="28"/>
        <v/>
      </c>
      <c r="H192" s="141" t="str">
        <f t="shared" si="29"/>
        <v/>
      </c>
    </row>
    <row r="193" spans="4:8">
      <c r="D193" s="140" t="str">
        <f t="shared" si="25"/>
        <v/>
      </c>
      <c r="E193" s="140" t="str">
        <f t="shared" si="26"/>
        <v/>
      </c>
      <c r="F193" s="141" t="str">
        <f t="shared" si="27"/>
        <v/>
      </c>
      <c r="G193" s="141" t="str">
        <f t="shared" si="28"/>
        <v/>
      </c>
      <c r="H193" s="141" t="str">
        <f t="shared" si="29"/>
        <v/>
      </c>
    </row>
    <row r="194" spans="4:8">
      <c r="D194" s="140" t="str">
        <f t="shared" si="25"/>
        <v/>
      </c>
      <c r="E194" s="140" t="str">
        <f t="shared" si="26"/>
        <v/>
      </c>
      <c r="F194" s="141" t="str">
        <f t="shared" si="27"/>
        <v/>
      </c>
      <c r="G194" s="141" t="str">
        <f t="shared" si="28"/>
        <v/>
      </c>
      <c r="H194" s="141" t="str">
        <f t="shared" si="29"/>
        <v/>
      </c>
    </row>
    <row r="195" spans="4:8">
      <c r="D195" s="140" t="str">
        <f t="shared" ref="D195:D201" si="30">IF(INDEX($A$3:$A$1000, (ROW(D195)-ROW($D$3))*5+1) = "", "", INDEX($A$3:$A$1000, (ROW(D195)-ROW($D$3))*5+1))</f>
        <v/>
      </c>
      <c r="E195" s="140" t="str">
        <f t="shared" ref="E195:E201" si="31">IF(INDEX($A$3:$A$1000, (ROW(D195)-ROW($D$3))*5+2) = "", "", INDEX($A$3:$A$1000, (ROW(D195)-ROW($D$3))*5+2))</f>
        <v/>
      </c>
      <c r="F195" s="141" t="str">
        <f t="shared" ref="F195:F201" si="32">IF(INDEX($A$3:$A$1000, (ROW(D195)-ROW($D$3))*5+4) = "", "", INDEX($A$3:$A$1000, (ROW(D195)-ROW($D$3))*5+4))</f>
        <v/>
      </c>
      <c r="G195" s="141" t="str">
        <f t="shared" ref="G195:G201" si="33">IF(INDEX($A$3:$A$1000, (ROW(D195)-ROW($D$3))*5+3) = "", "", INDEX($A$3:$A$1000, (ROW(D195)-ROW($D$3))*5+3))</f>
        <v/>
      </c>
      <c r="H195" s="141" t="str">
        <f t="shared" ref="H195:H201" si="34">IF(INDEX($A$3:$A$1000, (ROW(D195)-ROW($D$3))*5+5) = "", "", INDEX($A$3:$A$1000, (ROW(D195)-ROW($D$3))*5+5))</f>
        <v/>
      </c>
    </row>
    <row r="196" spans="4:8">
      <c r="D196" s="140" t="str">
        <f t="shared" si="30"/>
        <v/>
      </c>
      <c r="E196" s="140" t="str">
        <f t="shared" si="31"/>
        <v/>
      </c>
      <c r="F196" s="141" t="str">
        <f t="shared" si="32"/>
        <v/>
      </c>
      <c r="G196" s="141" t="str">
        <f t="shared" si="33"/>
        <v/>
      </c>
      <c r="H196" s="141" t="str">
        <f t="shared" si="34"/>
        <v/>
      </c>
    </row>
    <row r="197" spans="4:8">
      <c r="D197" s="140" t="str">
        <f t="shared" si="30"/>
        <v/>
      </c>
      <c r="E197" s="140" t="str">
        <f t="shared" si="31"/>
        <v/>
      </c>
      <c r="F197" s="141" t="str">
        <f t="shared" si="32"/>
        <v/>
      </c>
      <c r="G197" s="141" t="str">
        <f t="shared" si="33"/>
        <v/>
      </c>
      <c r="H197" s="141" t="str">
        <f t="shared" si="34"/>
        <v/>
      </c>
    </row>
    <row r="198" spans="4:8">
      <c r="D198" s="140" t="str">
        <f t="shared" si="30"/>
        <v/>
      </c>
      <c r="E198" s="140" t="str">
        <f t="shared" si="31"/>
        <v/>
      </c>
      <c r="F198" s="141" t="str">
        <f t="shared" si="32"/>
        <v/>
      </c>
      <c r="G198" s="141" t="str">
        <f t="shared" si="33"/>
        <v/>
      </c>
      <c r="H198" s="141" t="str">
        <f t="shared" si="34"/>
        <v/>
      </c>
    </row>
    <row r="199" spans="4:8">
      <c r="D199" s="140" t="str">
        <f t="shared" si="30"/>
        <v/>
      </c>
      <c r="E199" s="140" t="str">
        <f t="shared" si="31"/>
        <v/>
      </c>
      <c r="F199" s="141" t="str">
        <f t="shared" si="32"/>
        <v/>
      </c>
      <c r="G199" s="141" t="str">
        <f t="shared" si="33"/>
        <v/>
      </c>
      <c r="H199" s="141" t="str">
        <f t="shared" si="34"/>
        <v/>
      </c>
    </row>
    <row r="200" spans="4:8">
      <c r="D200" s="140" t="str">
        <f t="shared" si="30"/>
        <v/>
      </c>
      <c r="E200" s="140" t="str">
        <f t="shared" si="31"/>
        <v/>
      </c>
      <c r="F200" s="141" t="str">
        <f t="shared" si="32"/>
        <v/>
      </c>
      <c r="G200" s="141" t="str">
        <f t="shared" si="33"/>
        <v/>
      </c>
      <c r="H200" s="141" t="str">
        <f t="shared" si="34"/>
        <v/>
      </c>
    </row>
    <row r="201" spans="4:8">
      <c r="D201" s="140" t="str">
        <f t="shared" si="30"/>
        <v/>
      </c>
      <c r="E201" s="140" t="str">
        <f t="shared" si="31"/>
        <v/>
      </c>
      <c r="F201" s="141" t="str">
        <f t="shared" si="32"/>
        <v/>
      </c>
      <c r="G201" s="141" t="str">
        <f t="shared" si="33"/>
        <v/>
      </c>
      <c r="H201" s="141" t="str">
        <f t="shared" si="34"/>
        <v/>
      </c>
    </row>
    <row r="202" spans="4:8">
      <c r="D202" s="140"/>
      <c r="E202" s="140"/>
      <c r="F202" s="141"/>
      <c r="G202" s="141"/>
      <c r="H202" s="141"/>
    </row>
    <row r="203" spans="4:8">
      <c r="D203" s="134"/>
    </row>
    <row r="204" spans="4:8">
      <c r="D204" s="134"/>
    </row>
    <row r="205" spans="4:8">
      <c r="D205" s="134"/>
    </row>
    <row r="206" spans="4:8">
      <c r="D206" s="134"/>
    </row>
    <row r="207" spans="4:8">
      <c r="D207" s="134"/>
    </row>
    <row r="208" spans="4:8">
      <c r="D208" s="134"/>
    </row>
    <row r="209" spans="4:4">
      <c r="D209" s="134"/>
    </row>
    <row r="210" spans="4:4">
      <c r="D210" s="134"/>
    </row>
    <row r="211" spans="4:4">
      <c r="D211" s="134"/>
    </row>
    <row r="212" spans="4:4">
      <c r="D212" s="134"/>
    </row>
    <row r="213" spans="4:4">
      <c r="D213" s="134"/>
    </row>
    <row r="214" spans="4:4">
      <c r="D214" s="134"/>
    </row>
    <row r="215" spans="4:4">
      <c r="D215" s="134"/>
    </row>
    <row r="216" spans="4:4">
      <c r="D216" s="134"/>
    </row>
    <row r="217" spans="4:4">
      <c r="D217" s="134"/>
    </row>
    <row r="218" spans="4:4">
      <c r="D218" s="134"/>
    </row>
    <row r="219" spans="4:4">
      <c r="D219" s="134"/>
    </row>
    <row r="220" spans="4:4">
      <c r="D220" s="134"/>
    </row>
    <row r="221" spans="4:4">
      <c r="D221" s="134"/>
    </row>
    <row r="222" spans="4:4">
      <c r="D222" s="134"/>
    </row>
    <row r="223" spans="4:4">
      <c r="D223" s="134"/>
    </row>
    <row r="224" spans="4:4">
      <c r="D224" s="134"/>
    </row>
    <row r="225" spans="4:4">
      <c r="D225" s="134"/>
    </row>
    <row r="226" spans="4:4">
      <c r="D226" s="134"/>
    </row>
    <row r="227" spans="4:4">
      <c r="D227" s="134"/>
    </row>
    <row r="228" spans="4:4">
      <c r="D228" s="134"/>
    </row>
    <row r="229" spans="4:4">
      <c r="D229" s="134"/>
    </row>
    <row r="230" spans="4:4">
      <c r="D230" s="134"/>
    </row>
    <row r="231" spans="4:4">
      <c r="D231" s="134"/>
    </row>
    <row r="232" spans="4:4">
      <c r="D232" s="134"/>
    </row>
    <row r="233" spans="4:4">
      <c r="D233" s="134"/>
    </row>
    <row r="234" spans="4:4">
      <c r="D234" s="134"/>
    </row>
    <row r="235" spans="4:4">
      <c r="D235" s="134"/>
    </row>
    <row r="236" spans="4:4">
      <c r="D236" s="134"/>
    </row>
    <row r="237" spans="4:4">
      <c r="D237" s="134"/>
    </row>
    <row r="238" spans="4:4">
      <c r="D238" s="134"/>
    </row>
    <row r="239" spans="4:4">
      <c r="D239" s="134"/>
    </row>
    <row r="240" spans="4:4">
      <c r="D240" s="134"/>
    </row>
    <row r="241" spans="4:4">
      <c r="D241" s="134"/>
    </row>
    <row r="242" spans="4:4">
      <c r="D242" s="134"/>
    </row>
    <row r="243" spans="4:4">
      <c r="D243" s="134"/>
    </row>
    <row r="244" spans="4:4">
      <c r="D244" s="134"/>
    </row>
    <row r="245" spans="4:4">
      <c r="D245" s="134"/>
    </row>
    <row r="246" spans="4:4">
      <c r="D246" s="134"/>
    </row>
    <row r="247" spans="4:4">
      <c r="D247" s="134"/>
    </row>
    <row r="248" spans="4:4">
      <c r="D248" s="134"/>
    </row>
    <row r="249" spans="4:4">
      <c r="D249" s="134"/>
    </row>
    <row r="250" spans="4:4">
      <c r="D250" s="134"/>
    </row>
    <row r="251" spans="4:4">
      <c r="D251" s="134"/>
    </row>
    <row r="252" spans="4:4">
      <c r="D252" s="134"/>
    </row>
    <row r="253" spans="4:4">
      <c r="D253" s="134"/>
    </row>
    <row r="254" spans="4:4">
      <c r="D254" s="134"/>
    </row>
    <row r="255" spans="4:4">
      <c r="D255" s="134"/>
    </row>
    <row r="256" spans="4:4">
      <c r="D256" s="134"/>
    </row>
    <row r="257" spans="4:4">
      <c r="D257" s="134"/>
    </row>
    <row r="258" spans="4:4">
      <c r="D258" s="134"/>
    </row>
    <row r="259" spans="4:4">
      <c r="D259" s="134"/>
    </row>
    <row r="260" spans="4:4">
      <c r="D260" s="134"/>
    </row>
    <row r="261" spans="4:4">
      <c r="D261" s="134"/>
    </row>
    <row r="262" spans="4:4">
      <c r="D262" s="134"/>
    </row>
    <row r="263" spans="4:4">
      <c r="D263" s="134"/>
    </row>
    <row r="264" spans="4:4">
      <c r="D264" s="134"/>
    </row>
    <row r="265" spans="4:4">
      <c r="D265" s="134"/>
    </row>
    <row r="266" spans="4:4">
      <c r="D266" s="134"/>
    </row>
    <row r="267" spans="4:4">
      <c r="D267" s="134"/>
    </row>
    <row r="268" spans="4:4">
      <c r="D268" s="134"/>
    </row>
    <row r="269" spans="4:4">
      <c r="D269" s="134"/>
    </row>
    <row r="270" spans="4:4">
      <c r="D270" s="134"/>
    </row>
    <row r="271" spans="4:4">
      <c r="D271" s="134"/>
    </row>
    <row r="272" spans="4:4">
      <c r="D272" s="134"/>
    </row>
    <row r="273" spans="4:4">
      <c r="D273" s="134"/>
    </row>
    <row r="274" spans="4:4">
      <c r="D274" s="134"/>
    </row>
    <row r="275" spans="4:4">
      <c r="D275" s="134"/>
    </row>
    <row r="276" spans="4:4">
      <c r="D276" s="134"/>
    </row>
    <row r="277" spans="4:4">
      <c r="D277" s="134"/>
    </row>
    <row r="278" spans="4:4">
      <c r="D278" s="134"/>
    </row>
    <row r="279" spans="4:4">
      <c r="D279" s="134"/>
    </row>
    <row r="280" spans="4:4">
      <c r="D280" s="134"/>
    </row>
    <row r="281" spans="4:4">
      <c r="D281" s="134"/>
    </row>
    <row r="282" spans="4:4">
      <c r="D282" s="134"/>
    </row>
    <row r="283" spans="4:4">
      <c r="D283" s="134"/>
    </row>
    <row r="284" spans="4:4">
      <c r="D284" s="134"/>
    </row>
    <row r="285" spans="4:4">
      <c r="D285" s="134"/>
    </row>
    <row r="286" spans="4:4">
      <c r="D286" s="134"/>
    </row>
    <row r="287" spans="4:4">
      <c r="D287" s="134"/>
    </row>
    <row r="288" spans="4:4">
      <c r="D288" s="134"/>
    </row>
    <row r="289" spans="4:4">
      <c r="D289" s="134"/>
    </row>
    <row r="290" spans="4:4">
      <c r="D290" s="134"/>
    </row>
    <row r="291" spans="4:4">
      <c r="D291" s="134"/>
    </row>
    <row r="292" spans="4:4">
      <c r="D292" s="134"/>
    </row>
    <row r="293" spans="4:4">
      <c r="D293" s="134"/>
    </row>
    <row r="294" spans="4:4">
      <c r="D294" s="134"/>
    </row>
    <row r="295" spans="4:4">
      <c r="D295" s="134"/>
    </row>
    <row r="296" spans="4:4">
      <c r="D296" s="134"/>
    </row>
    <row r="297" spans="4:4">
      <c r="D297" s="134"/>
    </row>
    <row r="298" spans="4:4">
      <c r="D298" s="134"/>
    </row>
    <row r="299" spans="4:4">
      <c r="D299" s="134"/>
    </row>
    <row r="300" spans="4:4">
      <c r="D300" s="134"/>
    </row>
    <row r="301" spans="4:4">
      <c r="D301" s="134"/>
    </row>
    <row r="302" spans="4:4">
      <c r="D302" s="134"/>
    </row>
    <row r="303" spans="4:4">
      <c r="D303" s="134"/>
    </row>
    <row r="304" spans="4:4">
      <c r="D304" s="134"/>
    </row>
    <row r="305" spans="4:4">
      <c r="D305" s="134"/>
    </row>
    <row r="306" spans="4:4">
      <c r="D306" s="134"/>
    </row>
    <row r="307" spans="4:4">
      <c r="D307" s="134"/>
    </row>
    <row r="308" spans="4:4">
      <c r="D308" s="134"/>
    </row>
    <row r="309" spans="4:4">
      <c r="D309" s="134"/>
    </row>
    <row r="310" spans="4:4">
      <c r="D310" s="134"/>
    </row>
    <row r="311" spans="4:4">
      <c r="D311" s="134"/>
    </row>
    <row r="312" spans="4:4">
      <c r="D312" s="134"/>
    </row>
    <row r="313" spans="4:4">
      <c r="D313" s="134"/>
    </row>
    <row r="314" spans="4:4">
      <c r="D314" s="134"/>
    </row>
    <row r="315" spans="4:4">
      <c r="D315" s="134"/>
    </row>
    <row r="316" spans="4:4">
      <c r="D316" s="134"/>
    </row>
    <row r="317" spans="4:4">
      <c r="D317" s="134"/>
    </row>
    <row r="318" spans="4:4">
      <c r="D318" s="134"/>
    </row>
    <row r="319" spans="4:4">
      <c r="D319" s="134"/>
    </row>
    <row r="320" spans="4:4">
      <c r="D320" s="134"/>
    </row>
    <row r="321" spans="4:4">
      <c r="D321" s="134"/>
    </row>
    <row r="322" spans="4:4">
      <c r="D322" s="134"/>
    </row>
    <row r="323" spans="4:4">
      <c r="D323" s="134"/>
    </row>
    <row r="324" spans="4:4">
      <c r="D324" s="134"/>
    </row>
    <row r="325" spans="4:4">
      <c r="D325" s="134"/>
    </row>
    <row r="326" spans="4:4">
      <c r="D326" s="134"/>
    </row>
    <row r="327" spans="4:4">
      <c r="D327" s="134"/>
    </row>
    <row r="328" spans="4:4">
      <c r="D328" s="134"/>
    </row>
    <row r="329" spans="4:4">
      <c r="D329" s="134"/>
    </row>
    <row r="330" spans="4:4">
      <c r="D330" s="134"/>
    </row>
    <row r="331" spans="4:4">
      <c r="D331" s="134"/>
    </row>
    <row r="332" spans="4:4">
      <c r="D332" s="134"/>
    </row>
    <row r="333" spans="4:4">
      <c r="D333" s="134"/>
    </row>
    <row r="334" spans="4:4">
      <c r="D334" s="134"/>
    </row>
    <row r="335" spans="4:4">
      <c r="D335" s="134"/>
    </row>
    <row r="336" spans="4:4">
      <c r="D336" s="134"/>
    </row>
    <row r="337" spans="4:4">
      <c r="D337" s="134"/>
    </row>
    <row r="338" spans="4:4">
      <c r="D338" s="134"/>
    </row>
    <row r="339" spans="4:4">
      <c r="D339" s="134"/>
    </row>
    <row r="340" spans="4:4">
      <c r="D340" s="134"/>
    </row>
    <row r="341" spans="4:4">
      <c r="D341" s="134"/>
    </row>
    <row r="342" spans="4:4">
      <c r="D342" s="134"/>
    </row>
    <row r="343" spans="4:4">
      <c r="D343" s="134"/>
    </row>
    <row r="344" spans="4:4">
      <c r="D344" s="134"/>
    </row>
    <row r="345" spans="4:4">
      <c r="D345" s="134"/>
    </row>
    <row r="346" spans="4:4">
      <c r="D346" s="134"/>
    </row>
    <row r="347" spans="4:4">
      <c r="D347" s="134"/>
    </row>
    <row r="348" spans="4:4">
      <c r="D348" s="134"/>
    </row>
    <row r="349" spans="4:4">
      <c r="D349" s="134"/>
    </row>
    <row r="350" spans="4:4">
      <c r="D350" s="134"/>
    </row>
    <row r="351" spans="4:4">
      <c r="D351" s="134"/>
    </row>
    <row r="352" spans="4:4">
      <c r="D352" s="134"/>
    </row>
    <row r="353" spans="4:4">
      <c r="D353" s="134"/>
    </row>
    <row r="354" spans="4:4">
      <c r="D354" s="134"/>
    </row>
    <row r="355" spans="4:4">
      <c r="D355" s="134"/>
    </row>
    <row r="356" spans="4:4">
      <c r="D356" s="134"/>
    </row>
    <row r="357" spans="4:4">
      <c r="D357" s="134"/>
    </row>
    <row r="358" spans="4:4">
      <c r="D358" s="134"/>
    </row>
    <row r="359" spans="4:4">
      <c r="D359" s="134"/>
    </row>
    <row r="360" spans="4:4">
      <c r="D360" s="134"/>
    </row>
    <row r="361" spans="4:4">
      <c r="D361" s="134"/>
    </row>
    <row r="362" spans="4:4">
      <c r="D362" s="134"/>
    </row>
    <row r="363" spans="4:4">
      <c r="D363" s="134"/>
    </row>
    <row r="364" spans="4:4">
      <c r="D364" s="134"/>
    </row>
    <row r="365" spans="4:4">
      <c r="D365" s="134"/>
    </row>
    <row r="366" spans="4:4">
      <c r="D366" s="134"/>
    </row>
    <row r="367" spans="4:4">
      <c r="D367" s="134"/>
    </row>
    <row r="368" spans="4:4">
      <c r="D368" s="134"/>
    </row>
    <row r="369" spans="4:4">
      <c r="D369" s="134"/>
    </row>
    <row r="370" spans="4:4">
      <c r="D370" s="134"/>
    </row>
    <row r="371" spans="4:4">
      <c r="D371" s="134"/>
    </row>
    <row r="372" spans="4:4">
      <c r="D372" s="134"/>
    </row>
    <row r="373" spans="4:4">
      <c r="D373" s="134"/>
    </row>
    <row r="374" spans="4:4">
      <c r="D374" s="134"/>
    </row>
    <row r="375" spans="4:4">
      <c r="D375" s="134"/>
    </row>
    <row r="376" spans="4:4">
      <c r="D376" s="134"/>
    </row>
    <row r="377" spans="4:4">
      <c r="D377" s="134"/>
    </row>
    <row r="378" spans="4:4">
      <c r="D378" s="134"/>
    </row>
    <row r="379" spans="4:4">
      <c r="D379" s="134"/>
    </row>
    <row r="380" spans="4:4">
      <c r="D380" s="134"/>
    </row>
    <row r="381" spans="4:4">
      <c r="D381" s="134"/>
    </row>
    <row r="382" spans="4:4">
      <c r="D382" s="134"/>
    </row>
    <row r="383" spans="4:4">
      <c r="D383" s="134"/>
    </row>
    <row r="384" spans="4:4">
      <c r="D384" s="134"/>
    </row>
    <row r="385" spans="4:4">
      <c r="D385" s="134"/>
    </row>
    <row r="386" spans="4:4">
      <c r="D386" s="134"/>
    </row>
    <row r="387" spans="4:4">
      <c r="D387" s="134"/>
    </row>
    <row r="388" spans="4:4">
      <c r="D388" s="134"/>
    </row>
    <row r="389" spans="4:4">
      <c r="D389" s="134"/>
    </row>
    <row r="390" spans="4:4">
      <c r="D390" s="134"/>
    </row>
    <row r="391" spans="4:4">
      <c r="D391" s="134"/>
    </row>
    <row r="392" spans="4:4">
      <c r="D392" s="134"/>
    </row>
    <row r="393" spans="4:4">
      <c r="D393" s="134"/>
    </row>
    <row r="394" spans="4:4">
      <c r="D394" s="134"/>
    </row>
    <row r="395" spans="4:4">
      <c r="D395" s="134"/>
    </row>
    <row r="396" spans="4:4">
      <c r="D396" s="134"/>
    </row>
    <row r="397" spans="4:4">
      <c r="D397" s="134"/>
    </row>
    <row r="398" spans="4:4">
      <c r="D398" s="134"/>
    </row>
    <row r="399" spans="4:4">
      <c r="D399" s="134"/>
    </row>
    <row r="400" spans="4:4">
      <c r="D400" s="134"/>
    </row>
    <row r="401" spans="4:4">
      <c r="D401" s="134"/>
    </row>
    <row r="402" spans="4:4">
      <c r="D402" s="134"/>
    </row>
    <row r="403" spans="4:4">
      <c r="D403" s="134"/>
    </row>
    <row r="404" spans="4:4">
      <c r="D404" s="134"/>
    </row>
    <row r="405" spans="4:4">
      <c r="D405" s="134"/>
    </row>
    <row r="406" spans="4:4">
      <c r="D406" s="134"/>
    </row>
    <row r="407" spans="4:4">
      <c r="D407" s="134"/>
    </row>
    <row r="408" spans="4:4">
      <c r="D408" s="134"/>
    </row>
    <row r="409" spans="4:4">
      <c r="D409" s="134"/>
    </row>
    <row r="410" spans="4:4">
      <c r="D410" s="134"/>
    </row>
    <row r="411" spans="4:4">
      <c r="D411" s="134"/>
    </row>
    <row r="412" spans="4:4">
      <c r="D412" s="134"/>
    </row>
    <row r="413" spans="4:4">
      <c r="D413" s="134"/>
    </row>
    <row r="414" spans="4:4">
      <c r="D414" s="134"/>
    </row>
    <row r="415" spans="4:4">
      <c r="D415" s="134"/>
    </row>
    <row r="416" spans="4:4">
      <c r="D416" s="134"/>
    </row>
    <row r="417" spans="4:4">
      <c r="D417" s="134"/>
    </row>
    <row r="418" spans="4:4">
      <c r="D418" s="134"/>
    </row>
    <row r="419" spans="4:4">
      <c r="D419" s="134"/>
    </row>
    <row r="420" spans="4:4">
      <c r="D420" s="134"/>
    </row>
    <row r="421" spans="4:4">
      <c r="D421" s="134"/>
    </row>
    <row r="422" spans="4:4">
      <c r="D422" s="134"/>
    </row>
    <row r="423" spans="4:4">
      <c r="D423" s="134"/>
    </row>
    <row r="424" spans="4:4">
      <c r="D424" s="134"/>
    </row>
    <row r="425" spans="4:4">
      <c r="D425" s="134"/>
    </row>
    <row r="426" spans="4:4">
      <c r="D426" s="134"/>
    </row>
    <row r="427" spans="4:4">
      <c r="D427" s="134"/>
    </row>
    <row r="428" spans="4:4">
      <c r="D428" s="134"/>
    </row>
    <row r="429" spans="4:4">
      <c r="D429" s="134"/>
    </row>
    <row r="430" spans="4:4">
      <c r="D430" s="134"/>
    </row>
    <row r="431" spans="4:4">
      <c r="D431" s="134"/>
    </row>
    <row r="432" spans="4:4">
      <c r="D432" s="134"/>
    </row>
    <row r="433" spans="4:4">
      <c r="D433" s="134"/>
    </row>
    <row r="434" spans="4:4">
      <c r="D434" s="134"/>
    </row>
    <row r="435" spans="4:4">
      <c r="D435" s="134"/>
    </row>
    <row r="436" spans="4:4">
      <c r="D436" s="134"/>
    </row>
    <row r="437" spans="4:4">
      <c r="D437" s="134"/>
    </row>
    <row r="438" spans="4:4">
      <c r="D438" s="134"/>
    </row>
    <row r="439" spans="4:4">
      <c r="D439" s="134"/>
    </row>
    <row r="440" spans="4:4">
      <c r="D440" s="134"/>
    </row>
    <row r="441" spans="4:4">
      <c r="D441" s="134"/>
    </row>
    <row r="442" spans="4:4">
      <c r="D442" s="134"/>
    </row>
    <row r="443" spans="4:4">
      <c r="D443" s="134"/>
    </row>
    <row r="444" spans="4:4">
      <c r="D444" s="134"/>
    </row>
    <row r="445" spans="4:4">
      <c r="D445" s="134"/>
    </row>
    <row r="446" spans="4:4">
      <c r="D446" s="134"/>
    </row>
    <row r="447" spans="4:4">
      <c r="D447" s="134"/>
    </row>
    <row r="448" spans="4:4">
      <c r="D448" s="134"/>
    </row>
    <row r="449" spans="4:4">
      <c r="D449" s="134"/>
    </row>
    <row r="450" spans="4:4">
      <c r="D450" s="134"/>
    </row>
    <row r="451" spans="4:4">
      <c r="D451" s="134"/>
    </row>
    <row r="452" spans="4:4">
      <c r="D452" s="134"/>
    </row>
    <row r="453" spans="4:4">
      <c r="D453" s="134"/>
    </row>
    <row r="454" spans="4:4">
      <c r="D454" s="134"/>
    </row>
    <row r="455" spans="4:4">
      <c r="D455" s="134"/>
    </row>
    <row r="456" spans="4:4">
      <c r="D456" s="134"/>
    </row>
    <row r="457" spans="4:4">
      <c r="D457" s="134"/>
    </row>
    <row r="458" spans="4:4">
      <c r="D458" s="134"/>
    </row>
    <row r="459" spans="4:4">
      <c r="D459" s="134"/>
    </row>
    <row r="460" spans="4:4">
      <c r="D460" s="134"/>
    </row>
    <row r="461" spans="4:4">
      <c r="D461" s="134"/>
    </row>
    <row r="462" spans="4:4">
      <c r="D462" s="134"/>
    </row>
    <row r="463" spans="4:4">
      <c r="D463" s="134"/>
    </row>
    <row r="464" spans="4:4">
      <c r="D464" s="134"/>
    </row>
    <row r="465" spans="4:4">
      <c r="D465" s="134"/>
    </row>
    <row r="466" spans="4:4">
      <c r="D466" s="134"/>
    </row>
    <row r="467" spans="4:4">
      <c r="D467" s="134"/>
    </row>
    <row r="468" spans="4:4">
      <c r="D468" s="134"/>
    </row>
    <row r="469" spans="4:4">
      <c r="D469" s="134"/>
    </row>
    <row r="470" spans="4:4">
      <c r="D470" s="134"/>
    </row>
    <row r="471" spans="4:4">
      <c r="D471" s="134"/>
    </row>
    <row r="472" spans="4:4">
      <c r="D472" s="134"/>
    </row>
    <row r="473" spans="4:4">
      <c r="D473" s="134"/>
    </row>
    <row r="474" spans="4:4">
      <c r="D474" s="134"/>
    </row>
    <row r="475" spans="4:4">
      <c r="D475" s="134"/>
    </row>
    <row r="476" spans="4:4">
      <c r="D476" s="134"/>
    </row>
    <row r="477" spans="4:4">
      <c r="D477" s="134"/>
    </row>
    <row r="478" spans="4:4">
      <c r="D478" s="134"/>
    </row>
    <row r="479" spans="4:4">
      <c r="D479" s="134"/>
    </row>
    <row r="480" spans="4:4">
      <c r="D480" s="134"/>
    </row>
    <row r="481" spans="4:4">
      <c r="D481" s="134"/>
    </row>
    <row r="482" spans="4:4">
      <c r="D482" s="134"/>
    </row>
    <row r="483" spans="4:4">
      <c r="D483" s="134"/>
    </row>
    <row r="484" spans="4:4">
      <c r="D484" s="134"/>
    </row>
    <row r="485" spans="4:4">
      <c r="D485" s="134"/>
    </row>
    <row r="486" spans="4:4">
      <c r="D486" s="134"/>
    </row>
    <row r="487" spans="4:4">
      <c r="D487" s="134"/>
    </row>
    <row r="488" spans="4:4">
      <c r="D488" s="134"/>
    </row>
    <row r="489" spans="4:4">
      <c r="D489" s="134"/>
    </row>
    <row r="490" spans="4:4">
      <c r="D490" s="134"/>
    </row>
    <row r="491" spans="4:4">
      <c r="D491" s="134"/>
    </row>
    <row r="492" spans="4:4">
      <c r="D492" s="134"/>
    </row>
    <row r="493" spans="4:4">
      <c r="D493" s="134"/>
    </row>
    <row r="494" spans="4:4">
      <c r="D494" s="134"/>
    </row>
    <row r="495" spans="4:4">
      <c r="D495" s="134"/>
    </row>
    <row r="496" spans="4:4">
      <c r="D496" s="134"/>
    </row>
    <row r="497" spans="4:4">
      <c r="D497" s="134"/>
    </row>
    <row r="498" spans="4:4">
      <c r="D498" s="134"/>
    </row>
    <row r="499" spans="4:4">
      <c r="D499" s="134"/>
    </row>
    <row r="500" spans="4:4">
      <c r="D500" s="134"/>
    </row>
    <row r="501" spans="4:4">
      <c r="D501" s="134"/>
    </row>
    <row r="502" spans="4:4">
      <c r="D502" s="134"/>
    </row>
    <row r="503" spans="4:4">
      <c r="D503" s="134"/>
    </row>
    <row r="504" spans="4:4">
      <c r="D504" s="134"/>
    </row>
    <row r="505" spans="4:4">
      <c r="D505" s="134"/>
    </row>
    <row r="506" spans="4:4">
      <c r="D506" s="134"/>
    </row>
    <row r="507" spans="4:4">
      <c r="D507" s="134"/>
    </row>
    <row r="508" spans="4:4">
      <c r="D508" s="134"/>
    </row>
    <row r="509" spans="4:4">
      <c r="D509" s="134"/>
    </row>
    <row r="510" spans="4:4">
      <c r="D510" s="134"/>
    </row>
    <row r="511" spans="4:4">
      <c r="D511" s="134"/>
    </row>
    <row r="512" spans="4:4">
      <c r="D512" s="134"/>
    </row>
    <row r="513" spans="4:4">
      <c r="D513" s="134"/>
    </row>
    <row r="514" spans="4:4">
      <c r="D514" s="134"/>
    </row>
    <row r="515" spans="4:4">
      <c r="D515" s="134"/>
    </row>
    <row r="516" spans="4:4">
      <c r="D516" s="134"/>
    </row>
    <row r="517" spans="4:4">
      <c r="D517" s="134"/>
    </row>
    <row r="518" spans="4:4">
      <c r="D518" s="134"/>
    </row>
    <row r="519" spans="4:4">
      <c r="D519" s="134"/>
    </row>
    <row r="520" spans="4:4">
      <c r="D520" s="134"/>
    </row>
    <row r="521" spans="4:4">
      <c r="D521" s="134"/>
    </row>
    <row r="522" spans="4:4">
      <c r="D522" s="134"/>
    </row>
    <row r="523" spans="4:4">
      <c r="D523" s="134"/>
    </row>
    <row r="524" spans="4:4">
      <c r="D524" s="134"/>
    </row>
    <row r="525" spans="4:4">
      <c r="D525" s="134"/>
    </row>
    <row r="526" spans="4:4">
      <c r="D526" s="134"/>
    </row>
    <row r="527" spans="4:4">
      <c r="D527" s="134"/>
    </row>
    <row r="528" spans="4:4">
      <c r="D528" s="134"/>
    </row>
    <row r="529" spans="4:4">
      <c r="D529" s="134"/>
    </row>
    <row r="530" spans="4:4">
      <c r="D530" s="134"/>
    </row>
    <row r="531" spans="4:4">
      <c r="D531" s="134"/>
    </row>
    <row r="532" spans="4:4">
      <c r="D532" s="134"/>
    </row>
    <row r="533" spans="4:4">
      <c r="D533" s="134"/>
    </row>
    <row r="534" spans="4:4">
      <c r="D534" s="134"/>
    </row>
    <row r="535" spans="4:4">
      <c r="D535" s="134"/>
    </row>
    <row r="536" spans="4:4">
      <c r="D536" s="134"/>
    </row>
    <row r="537" spans="4:4">
      <c r="D537" s="134"/>
    </row>
    <row r="538" spans="4:4">
      <c r="D538" s="134"/>
    </row>
    <row r="539" spans="4:4">
      <c r="D539" s="134"/>
    </row>
    <row r="540" spans="4:4">
      <c r="D540" s="134"/>
    </row>
    <row r="541" spans="4:4">
      <c r="D541" s="134"/>
    </row>
    <row r="542" spans="4:4">
      <c r="D542" s="134"/>
    </row>
    <row r="543" spans="4:4">
      <c r="D543" s="134"/>
    </row>
    <row r="544" spans="4:4">
      <c r="D544" s="134"/>
    </row>
    <row r="545" spans="4:4">
      <c r="D545" s="134"/>
    </row>
    <row r="546" spans="4:4">
      <c r="D546" s="134"/>
    </row>
    <row r="547" spans="4:4">
      <c r="D547" s="134"/>
    </row>
    <row r="548" spans="4:4">
      <c r="D548" s="134"/>
    </row>
    <row r="549" spans="4:4">
      <c r="D549" s="134"/>
    </row>
    <row r="550" spans="4:4">
      <c r="D550" s="134"/>
    </row>
    <row r="551" spans="4:4">
      <c r="D551" s="134"/>
    </row>
    <row r="552" spans="4:4">
      <c r="D552" s="134"/>
    </row>
    <row r="553" spans="4:4">
      <c r="D553" s="134"/>
    </row>
    <row r="554" spans="4:4">
      <c r="D554" s="134"/>
    </row>
    <row r="555" spans="4:4">
      <c r="D555" s="134"/>
    </row>
    <row r="556" spans="4:4">
      <c r="D556" s="134"/>
    </row>
    <row r="557" spans="4:4">
      <c r="D557" s="134"/>
    </row>
    <row r="558" spans="4:4">
      <c r="D558" s="134"/>
    </row>
    <row r="559" spans="4:4">
      <c r="D559" s="134"/>
    </row>
    <row r="560" spans="4:4">
      <c r="D560" s="134"/>
    </row>
    <row r="561" spans="4:4">
      <c r="D561" s="134"/>
    </row>
    <row r="562" spans="4:4">
      <c r="D562" s="134"/>
    </row>
    <row r="563" spans="4:4">
      <c r="D563" s="134"/>
    </row>
    <row r="564" spans="4:4">
      <c r="D564" s="134"/>
    </row>
    <row r="565" spans="4:4">
      <c r="D565" s="134"/>
    </row>
    <row r="566" spans="4:4">
      <c r="D566" s="134"/>
    </row>
    <row r="567" spans="4:4">
      <c r="D567" s="134"/>
    </row>
    <row r="568" spans="4:4">
      <c r="D568" s="134"/>
    </row>
    <row r="569" spans="4:4">
      <c r="D569" s="134"/>
    </row>
    <row r="570" spans="4:4">
      <c r="D570" s="134"/>
    </row>
    <row r="571" spans="4:4">
      <c r="D571" s="134"/>
    </row>
    <row r="572" spans="4:4">
      <c r="D572" s="134"/>
    </row>
    <row r="573" spans="4:4">
      <c r="D573" s="134"/>
    </row>
    <row r="574" spans="4:4">
      <c r="D574" s="134"/>
    </row>
    <row r="575" spans="4:4">
      <c r="D575" s="134"/>
    </row>
    <row r="576" spans="4:4">
      <c r="D576" s="134"/>
    </row>
    <row r="577" spans="4:4">
      <c r="D577" s="134"/>
    </row>
    <row r="578" spans="4:4">
      <c r="D578" s="134"/>
    </row>
    <row r="579" spans="4:4">
      <c r="D579" s="134"/>
    </row>
    <row r="580" spans="4:4">
      <c r="D580" s="134"/>
    </row>
    <row r="581" spans="4:4">
      <c r="D581" s="134"/>
    </row>
    <row r="582" spans="4:4">
      <c r="D582" s="134"/>
    </row>
    <row r="583" spans="4:4">
      <c r="D583" s="134"/>
    </row>
    <row r="584" spans="4:4">
      <c r="D584" s="134"/>
    </row>
    <row r="585" spans="4:4">
      <c r="D585" s="134"/>
    </row>
    <row r="586" spans="4:4">
      <c r="D586" s="134"/>
    </row>
    <row r="587" spans="4:4">
      <c r="D587" s="134"/>
    </row>
    <row r="588" spans="4:4">
      <c r="D588" s="134"/>
    </row>
    <row r="589" spans="4:4">
      <c r="D589" s="134"/>
    </row>
    <row r="590" spans="4:4">
      <c r="D590" s="134"/>
    </row>
    <row r="591" spans="4:4">
      <c r="D591" s="134"/>
    </row>
    <row r="592" spans="4:4">
      <c r="D592" s="134"/>
    </row>
    <row r="593" spans="4:4">
      <c r="D593" s="134"/>
    </row>
    <row r="594" spans="4:4">
      <c r="D594" s="134"/>
    </row>
    <row r="595" spans="4:4">
      <c r="D595" s="134"/>
    </row>
    <row r="596" spans="4:4">
      <c r="D596" s="134"/>
    </row>
    <row r="597" spans="4:4">
      <c r="D597" s="134"/>
    </row>
    <row r="598" spans="4:4">
      <c r="D598" s="134"/>
    </row>
    <row r="599" spans="4:4">
      <c r="D599" s="134"/>
    </row>
    <row r="600" spans="4:4">
      <c r="D600" s="134"/>
    </row>
    <row r="601" spans="4:4">
      <c r="D601" s="134"/>
    </row>
    <row r="602" spans="4:4">
      <c r="D602" s="134"/>
    </row>
    <row r="603" spans="4:4">
      <c r="D603" s="134"/>
    </row>
    <row r="604" spans="4:4">
      <c r="D604" s="134"/>
    </row>
    <row r="605" spans="4:4">
      <c r="D605" s="134"/>
    </row>
    <row r="606" spans="4:4">
      <c r="D606" s="134"/>
    </row>
    <row r="607" spans="4:4">
      <c r="D607" s="134"/>
    </row>
    <row r="608" spans="4:4">
      <c r="D608" s="134"/>
    </row>
    <row r="609" spans="4:4">
      <c r="D609" s="134"/>
    </row>
    <row r="610" spans="4:4">
      <c r="D610" s="134"/>
    </row>
    <row r="611" spans="4:4">
      <c r="D611" s="134"/>
    </row>
    <row r="612" spans="4:4">
      <c r="D612" s="134"/>
    </row>
    <row r="613" spans="4:4">
      <c r="D613" s="134"/>
    </row>
    <row r="614" spans="4:4">
      <c r="D614" s="134"/>
    </row>
    <row r="615" spans="4:4">
      <c r="D615" s="134"/>
    </row>
    <row r="616" spans="4:4">
      <c r="D616" s="134"/>
    </row>
    <row r="617" spans="4:4">
      <c r="D617" s="134"/>
    </row>
    <row r="618" spans="4:4">
      <c r="D618" s="134"/>
    </row>
    <row r="619" spans="4:4">
      <c r="D619" s="134"/>
    </row>
    <row r="620" spans="4:4">
      <c r="D620" s="134"/>
    </row>
    <row r="621" spans="4:4">
      <c r="D621" s="134"/>
    </row>
    <row r="622" spans="4:4">
      <c r="D622" s="134"/>
    </row>
    <row r="623" spans="4:4">
      <c r="D623" s="134"/>
    </row>
    <row r="624" spans="4:4">
      <c r="D624" s="134"/>
    </row>
    <row r="625" spans="4:4">
      <c r="D625" s="134"/>
    </row>
    <row r="626" spans="4:4">
      <c r="D626" s="134"/>
    </row>
    <row r="627" spans="4:4">
      <c r="D627" s="134"/>
    </row>
    <row r="628" spans="4:4">
      <c r="D628" s="134"/>
    </row>
    <row r="629" spans="4:4">
      <c r="D629" s="134"/>
    </row>
    <row r="630" spans="4:4">
      <c r="D630" s="134"/>
    </row>
    <row r="631" spans="4:4">
      <c r="D631" s="134"/>
    </row>
    <row r="632" spans="4:4">
      <c r="D632" s="134"/>
    </row>
    <row r="633" spans="4:4">
      <c r="D633" s="134"/>
    </row>
    <row r="634" spans="4:4">
      <c r="D634" s="134"/>
    </row>
    <row r="635" spans="4:4">
      <c r="D635" s="134"/>
    </row>
    <row r="636" spans="4:4">
      <c r="D636" s="134"/>
    </row>
    <row r="637" spans="4:4">
      <c r="D637" s="134"/>
    </row>
    <row r="638" spans="4:4">
      <c r="D638" s="134"/>
    </row>
    <row r="639" spans="4:4">
      <c r="D639" s="134"/>
    </row>
    <row r="640" spans="4:4">
      <c r="D640" s="134"/>
    </row>
    <row r="641" spans="4:4">
      <c r="D641" s="134"/>
    </row>
    <row r="642" spans="4:4">
      <c r="D642" s="134"/>
    </row>
    <row r="643" spans="4:4">
      <c r="D643" s="134"/>
    </row>
    <row r="644" spans="4:4">
      <c r="D644" s="134"/>
    </row>
    <row r="645" spans="4:4">
      <c r="D645" s="134"/>
    </row>
    <row r="646" spans="4:4">
      <c r="D646" s="134"/>
    </row>
    <row r="647" spans="4:4">
      <c r="D647" s="134"/>
    </row>
    <row r="648" spans="4:4">
      <c r="D648" s="134"/>
    </row>
    <row r="649" spans="4:4">
      <c r="D649" s="134"/>
    </row>
    <row r="650" spans="4:4">
      <c r="D650" s="134"/>
    </row>
    <row r="651" spans="4:4">
      <c r="D651" s="134"/>
    </row>
    <row r="652" spans="4:4">
      <c r="D652" s="134"/>
    </row>
    <row r="653" spans="4:4">
      <c r="D653" s="134"/>
    </row>
    <row r="654" spans="4:4">
      <c r="D654" s="134"/>
    </row>
    <row r="655" spans="4:4">
      <c r="D655" s="134"/>
    </row>
    <row r="656" spans="4:4">
      <c r="D656" s="134"/>
    </row>
    <row r="657" spans="4:4">
      <c r="D657" s="134"/>
    </row>
    <row r="658" spans="4:4">
      <c r="D658" s="134"/>
    </row>
    <row r="659" spans="4:4">
      <c r="D659" s="134"/>
    </row>
    <row r="660" spans="4:4">
      <c r="D660" s="134"/>
    </row>
    <row r="661" spans="4:4">
      <c r="D661" s="134"/>
    </row>
    <row r="662" spans="4:4">
      <c r="D662" s="134"/>
    </row>
    <row r="663" spans="4:4">
      <c r="D663" s="134"/>
    </row>
    <row r="664" spans="4:4">
      <c r="D664" s="134"/>
    </row>
    <row r="665" spans="4:4">
      <c r="D665" s="134"/>
    </row>
    <row r="666" spans="4:4">
      <c r="D666" s="134"/>
    </row>
    <row r="667" spans="4:4">
      <c r="D667" s="134"/>
    </row>
    <row r="668" spans="4:4">
      <c r="D668" s="134"/>
    </row>
    <row r="669" spans="4:4">
      <c r="D669" s="134"/>
    </row>
    <row r="670" spans="4:4">
      <c r="D670" s="134"/>
    </row>
    <row r="671" spans="4:4">
      <c r="D671" s="134"/>
    </row>
    <row r="672" spans="4:4">
      <c r="D672" s="134"/>
    </row>
    <row r="673" spans="4:4">
      <c r="D673" s="134"/>
    </row>
    <row r="674" spans="4:4">
      <c r="D674" s="134"/>
    </row>
    <row r="675" spans="4:4">
      <c r="D675" s="134"/>
    </row>
    <row r="676" spans="4:4">
      <c r="D676" s="134"/>
    </row>
    <row r="677" spans="4:4">
      <c r="D677" s="134"/>
    </row>
    <row r="678" spans="4:4">
      <c r="D678" s="134"/>
    </row>
    <row r="679" spans="4:4">
      <c r="D679" s="134"/>
    </row>
    <row r="680" spans="4:4">
      <c r="D680" s="134"/>
    </row>
    <row r="681" spans="4:4">
      <c r="D681" s="134"/>
    </row>
    <row r="682" spans="4:4">
      <c r="D682" s="134"/>
    </row>
    <row r="683" spans="4:4">
      <c r="D683" s="134"/>
    </row>
    <row r="684" spans="4:4">
      <c r="D684" s="134"/>
    </row>
    <row r="685" spans="4:4">
      <c r="D685" s="134"/>
    </row>
    <row r="686" spans="4:4">
      <c r="D686" s="134"/>
    </row>
    <row r="687" spans="4:4">
      <c r="D687" s="134"/>
    </row>
    <row r="688" spans="4:4">
      <c r="D688" s="134"/>
    </row>
    <row r="689" spans="4:4">
      <c r="D689" s="134"/>
    </row>
    <row r="690" spans="4:4">
      <c r="D690" s="134"/>
    </row>
    <row r="691" spans="4:4">
      <c r="D691" s="134"/>
    </row>
    <row r="692" spans="4:4">
      <c r="D692" s="134"/>
    </row>
    <row r="693" spans="4:4">
      <c r="D693" s="134"/>
    </row>
    <row r="694" spans="4:4">
      <c r="D694" s="134"/>
    </row>
    <row r="695" spans="4:4">
      <c r="D695" s="134"/>
    </row>
    <row r="696" spans="4:4">
      <c r="D696" s="134"/>
    </row>
    <row r="697" spans="4:4">
      <c r="D697" s="134"/>
    </row>
    <row r="698" spans="4:4">
      <c r="D698" s="134"/>
    </row>
    <row r="699" spans="4:4">
      <c r="D699" s="134"/>
    </row>
    <row r="700" spans="4:4">
      <c r="D700" s="134"/>
    </row>
    <row r="701" spans="4:4">
      <c r="D701" s="134"/>
    </row>
    <row r="702" spans="4:4">
      <c r="D702" s="134"/>
    </row>
    <row r="703" spans="4:4">
      <c r="D703" s="134"/>
    </row>
    <row r="704" spans="4:4">
      <c r="D704" s="134"/>
    </row>
    <row r="705" spans="4:4">
      <c r="D705" s="134"/>
    </row>
    <row r="706" spans="4:4">
      <c r="D706" s="134"/>
    </row>
    <row r="707" spans="4:4">
      <c r="D707" s="134"/>
    </row>
    <row r="708" spans="4:4">
      <c r="D708" s="134"/>
    </row>
    <row r="709" spans="4:4">
      <c r="D709" s="134"/>
    </row>
    <row r="710" spans="4:4">
      <c r="D710" s="134"/>
    </row>
    <row r="711" spans="4:4">
      <c r="D711" s="134"/>
    </row>
    <row r="712" spans="4:4">
      <c r="D712" s="134"/>
    </row>
    <row r="713" spans="4:4">
      <c r="D713" s="134"/>
    </row>
    <row r="714" spans="4:4">
      <c r="D714" s="134"/>
    </row>
    <row r="715" spans="4:4">
      <c r="D715" s="134"/>
    </row>
    <row r="716" spans="4:4">
      <c r="D716" s="134"/>
    </row>
    <row r="717" spans="4:4">
      <c r="D717" s="134"/>
    </row>
    <row r="718" spans="4:4">
      <c r="D718" s="134"/>
    </row>
    <row r="719" spans="4:4">
      <c r="D719" s="134"/>
    </row>
    <row r="720" spans="4:4">
      <c r="D720" s="134"/>
    </row>
    <row r="721" spans="4:4">
      <c r="D721" s="134"/>
    </row>
    <row r="722" spans="4:4">
      <c r="D722" s="134"/>
    </row>
    <row r="723" spans="4:4">
      <c r="D723" s="134"/>
    </row>
    <row r="724" spans="4:4">
      <c r="D724" s="134"/>
    </row>
    <row r="725" spans="4:4">
      <c r="D725" s="134"/>
    </row>
    <row r="726" spans="4:4">
      <c r="D726" s="134"/>
    </row>
    <row r="727" spans="4:4">
      <c r="D727" s="134"/>
    </row>
    <row r="728" spans="4:4">
      <c r="D728" s="134"/>
    </row>
    <row r="729" spans="4:4">
      <c r="D729" s="134"/>
    </row>
    <row r="730" spans="4:4">
      <c r="D730" s="134"/>
    </row>
    <row r="731" spans="4:4">
      <c r="D731" s="134"/>
    </row>
    <row r="732" spans="4:4">
      <c r="D732" s="134"/>
    </row>
    <row r="733" spans="4:4">
      <c r="D733" s="134"/>
    </row>
    <row r="734" spans="4:4">
      <c r="D734" s="134"/>
    </row>
    <row r="735" spans="4:4">
      <c r="D735" s="134"/>
    </row>
    <row r="736" spans="4:4">
      <c r="D736" s="134"/>
    </row>
    <row r="737" spans="4:4">
      <c r="D737" s="134"/>
    </row>
    <row r="738" spans="4:4">
      <c r="D738" s="134"/>
    </row>
    <row r="739" spans="4:4">
      <c r="D739" s="134"/>
    </row>
    <row r="740" spans="4:4">
      <c r="D740" s="134"/>
    </row>
    <row r="741" spans="4:4">
      <c r="D741" s="134"/>
    </row>
    <row r="742" spans="4:4">
      <c r="D742" s="134"/>
    </row>
    <row r="743" spans="4:4">
      <c r="D743" s="134"/>
    </row>
    <row r="744" spans="4:4">
      <c r="D744" s="134"/>
    </row>
    <row r="745" spans="4:4">
      <c r="D745" s="134"/>
    </row>
    <row r="746" spans="4:4">
      <c r="D746" s="134"/>
    </row>
    <row r="747" spans="4:4">
      <c r="D747" s="134"/>
    </row>
    <row r="748" spans="4:4">
      <c r="D748" s="134"/>
    </row>
    <row r="749" spans="4:4">
      <c r="D749" s="134"/>
    </row>
    <row r="750" spans="4:4">
      <c r="D750" s="134"/>
    </row>
    <row r="751" spans="4:4">
      <c r="D751" s="134"/>
    </row>
    <row r="752" spans="4:4">
      <c r="D752" s="134"/>
    </row>
    <row r="753" spans="4:4">
      <c r="D753" s="134"/>
    </row>
    <row r="754" spans="4:4">
      <c r="D754" s="134"/>
    </row>
    <row r="755" spans="4:4">
      <c r="D755" s="134"/>
    </row>
    <row r="756" spans="4:4">
      <c r="D756" s="134"/>
    </row>
    <row r="757" spans="4:4">
      <c r="D757" s="134"/>
    </row>
    <row r="758" spans="4:4">
      <c r="D758" s="134"/>
    </row>
    <row r="759" spans="4:4">
      <c r="D759" s="134"/>
    </row>
    <row r="760" spans="4:4">
      <c r="D760" s="134"/>
    </row>
    <row r="761" spans="4:4">
      <c r="D761" s="134"/>
    </row>
    <row r="762" spans="4:4">
      <c r="D762" s="134"/>
    </row>
    <row r="763" spans="4:4">
      <c r="D763" s="134"/>
    </row>
    <row r="764" spans="4:4">
      <c r="D764" s="134"/>
    </row>
    <row r="765" spans="4:4">
      <c r="D765" s="134"/>
    </row>
    <row r="766" spans="4:4">
      <c r="D766" s="134"/>
    </row>
    <row r="767" spans="4:4">
      <c r="D767" s="134"/>
    </row>
    <row r="768" spans="4:4">
      <c r="D768" s="134"/>
    </row>
    <row r="769" spans="4:4">
      <c r="D769" s="134"/>
    </row>
    <row r="770" spans="4:4">
      <c r="D770" s="134"/>
    </row>
    <row r="771" spans="4:4">
      <c r="D771" s="134"/>
    </row>
    <row r="772" spans="4:4">
      <c r="D772" s="134"/>
    </row>
    <row r="773" spans="4:4">
      <c r="D773" s="134"/>
    </row>
    <row r="774" spans="4:4">
      <c r="D774" s="134"/>
    </row>
    <row r="775" spans="4:4">
      <c r="D775" s="134"/>
    </row>
    <row r="776" spans="4:4">
      <c r="D776" s="134"/>
    </row>
    <row r="777" spans="4:4">
      <c r="D777" s="134"/>
    </row>
    <row r="778" spans="4:4">
      <c r="D778" s="134"/>
    </row>
    <row r="779" spans="4:4">
      <c r="D779" s="134"/>
    </row>
    <row r="780" spans="4:4">
      <c r="D780" s="134"/>
    </row>
    <row r="781" spans="4:4">
      <c r="D781" s="134"/>
    </row>
    <row r="782" spans="4:4">
      <c r="D782" s="134"/>
    </row>
    <row r="783" spans="4:4">
      <c r="D783" s="134"/>
    </row>
    <row r="784" spans="4:4">
      <c r="D784" s="134"/>
    </row>
    <row r="785" spans="4:4">
      <c r="D785" s="134"/>
    </row>
    <row r="786" spans="4:4">
      <c r="D786" s="134"/>
    </row>
    <row r="787" spans="4:4">
      <c r="D787" s="134"/>
    </row>
    <row r="788" spans="4:4">
      <c r="D788" s="134"/>
    </row>
    <row r="789" spans="4:4">
      <c r="D789" s="134"/>
    </row>
    <row r="790" spans="4:4">
      <c r="D790" s="134"/>
    </row>
    <row r="791" spans="4:4">
      <c r="D791" s="134"/>
    </row>
    <row r="792" spans="4:4">
      <c r="D792" s="134"/>
    </row>
    <row r="793" spans="4:4">
      <c r="D793" s="134"/>
    </row>
    <row r="794" spans="4:4">
      <c r="D794" s="134"/>
    </row>
    <row r="795" spans="4:4">
      <c r="D795" s="134"/>
    </row>
    <row r="796" spans="4:4">
      <c r="D796" s="134"/>
    </row>
    <row r="797" spans="4:4">
      <c r="D797" s="134"/>
    </row>
    <row r="798" spans="4:4">
      <c r="D798" s="134"/>
    </row>
    <row r="799" spans="4:4">
      <c r="D799" s="134"/>
    </row>
    <row r="800" spans="4:4">
      <c r="D800" s="134"/>
    </row>
    <row r="801" spans="4:4">
      <c r="D801" s="134"/>
    </row>
    <row r="802" spans="4:4">
      <c r="D802" s="134"/>
    </row>
    <row r="803" spans="4:4">
      <c r="D803" s="134"/>
    </row>
    <row r="804" spans="4:4">
      <c r="D804" s="134"/>
    </row>
    <row r="805" spans="4:4">
      <c r="D805" s="134"/>
    </row>
    <row r="806" spans="4:4">
      <c r="D806" s="134"/>
    </row>
    <row r="807" spans="4:4">
      <c r="D807" s="134"/>
    </row>
    <row r="808" spans="4:4">
      <c r="D808" s="134"/>
    </row>
    <row r="809" spans="4:4">
      <c r="D809" s="134"/>
    </row>
    <row r="810" spans="4:4">
      <c r="D810" s="134"/>
    </row>
    <row r="811" spans="4:4">
      <c r="D811" s="134"/>
    </row>
    <row r="812" spans="4:4">
      <c r="D812" s="134"/>
    </row>
    <row r="813" spans="4:4">
      <c r="D813" s="134"/>
    </row>
    <row r="814" spans="4:4">
      <c r="D814" s="134"/>
    </row>
    <row r="815" spans="4:4">
      <c r="D815" s="134"/>
    </row>
    <row r="816" spans="4:4">
      <c r="D816" s="134"/>
    </row>
    <row r="817" spans="4:4">
      <c r="D817" s="134"/>
    </row>
    <row r="818" spans="4:4">
      <c r="D818" s="134"/>
    </row>
    <row r="819" spans="4:4">
      <c r="D819" s="134"/>
    </row>
    <row r="820" spans="4:4">
      <c r="D820" s="134"/>
    </row>
    <row r="821" spans="4:4">
      <c r="D821" s="134"/>
    </row>
    <row r="822" spans="4:4">
      <c r="D822" s="134"/>
    </row>
    <row r="823" spans="4:4">
      <c r="D823" s="134"/>
    </row>
    <row r="824" spans="4:4">
      <c r="D824" s="134"/>
    </row>
    <row r="825" spans="4:4">
      <c r="D825" s="134"/>
    </row>
    <row r="826" spans="4:4">
      <c r="D826" s="134"/>
    </row>
    <row r="827" spans="4:4">
      <c r="D827" s="134"/>
    </row>
    <row r="828" spans="4:4">
      <c r="D828" s="134"/>
    </row>
    <row r="829" spans="4:4">
      <c r="D829" s="134"/>
    </row>
    <row r="830" spans="4:4">
      <c r="D830" s="134"/>
    </row>
    <row r="831" spans="4:4">
      <c r="D831" s="134"/>
    </row>
    <row r="832" spans="4:4">
      <c r="D832" s="134"/>
    </row>
    <row r="833" spans="4:4">
      <c r="D833" s="134"/>
    </row>
    <row r="834" spans="4:4">
      <c r="D834" s="134"/>
    </row>
    <row r="835" spans="4:4">
      <c r="D835" s="134"/>
    </row>
    <row r="836" spans="4:4">
      <c r="D836" s="134"/>
    </row>
    <row r="837" spans="4:4">
      <c r="D837" s="134"/>
    </row>
    <row r="838" spans="4:4">
      <c r="D838" s="134"/>
    </row>
    <row r="839" spans="4:4">
      <c r="D839" s="134"/>
    </row>
    <row r="840" spans="4:4">
      <c r="D840" s="134"/>
    </row>
    <row r="841" spans="4:4">
      <c r="D841" s="134"/>
    </row>
    <row r="842" spans="4:4">
      <c r="D842" s="134"/>
    </row>
    <row r="843" spans="4:4">
      <c r="D843" s="134"/>
    </row>
    <row r="844" spans="4:4">
      <c r="D844" s="134"/>
    </row>
    <row r="845" spans="4:4">
      <c r="D845" s="134"/>
    </row>
    <row r="846" spans="4:4">
      <c r="D846" s="134"/>
    </row>
    <row r="847" spans="4:4">
      <c r="D847" s="134"/>
    </row>
    <row r="848" spans="4:4">
      <c r="D848" s="134"/>
    </row>
    <row r="849" spans="4:4">
      <c r="D849" s="134"/>
    </row>
    <row r="850" spans="4:4">
      <c r="D850" s="134"/>
    </row>
    <row r="851" spans="4:4">
      <c r="D851" s="134"/>
    </row>
    <row r="852" spans="4:4">
      <c r="D852" s="134"/>
    </row>
    <row r="853" spans="4:4">
      <c r="D853" s="134"/>
    </row>
    <row r="854" spans="4:4">
      <c r="D854" s="134"/>
    </row>
    <row r="855" spans="4:4">
      <c r="D855" s="134"/>
    </row>
    <row r="856" spans="4:4">
      <c r="D856" s="134"/>
    </row>
    <row r="857" spans="4:4">
      <c r="D857" s="134"/>
    </row>
    <row r="858" spans="4:4">
      <c r="D858" s="134"/>
    </row>
    <row r="859" spans="4:4">
      <c r="D859" s="134"/>
    </row>
    <row r="860" spans="4:4">
      <c r="D860" s="134"/>
    </row>
    <row r="861" spans="4:4">
      <c r="D861" s="134"/>
    </row>
    <row r="862" spans="4:4">
      <c r="D862" s="134"/>
    </row>
    <row r="863" spans="4:4">
      <c r="D863" s="134"/>
    </row>
    <row r="864" spans="4:4">
      <c r="D864" s="134"/>
    </row>
    <row r="865" spans="4:4">
      <c r="D865" s="134"/>
    </row>
    <row r="866" spans="4:4">
      <c r="D866" s="134"/>
    </row>
    <row r="867" spans="4:4">
      <c r="D867" s="134"/>
    </row>
    <row r="868" spans="4:4">
      <c r="D868" s="134"/>
    </row>
    <row r="869" spans="4:4">
      <c r="D869" s="134"/>
    </row>
    <row r="870" spans="4:4">
      <c r="D870" s="134"/>
    </row>
    <row r="871" spans="4:4">
      <c r="D871" s="134"/>
    </row>
    <row r="872" spans="4:4">
      <c r="D872" s="134"/>
    </row>
    <row r="873" spans="4:4">
      <c r="D873" s="134"/>
    </row>
    <row r="874" spans="4:4">
      <c r="D874" s="134"/>
    </row>
    <row r="875" spans="4:4">
      <c r="D875" s="134"/>
    </row>
    <row r="876" spans="4:4">
      <c r="D876" s="134"/>
    </row>
    <row r="877" spans="4:4">
      <c r="D877" s="134"/>
    </row>
    <row r="878" spans="4:4">
      <c r="D878" s="134"/>
    </row>
    <row r="879" spans="4:4">
      <c r="D879" s="134"/>
    </row>
    <row r="880" spans="4:4">
      <c r="D880" s="134"/>
    </row>
    <row r="881" spans="4:4">
      <c r="D881" s="134"/>
    </row>
    <row r="882" spans="4:4">
      <c r="D882" s="134"/>
    </row>
    <row r="883" spans="4:4">
      <c r="D883" s="134"/>
    </row>
    <row r="884" spans="4:4">
      <c r="D884" s="134"/>
    </row>
    <row r="885" spans="4:4">
      <c r="D885" s="134"/>
    </row>
    <row r="886" spans="4:4">
      <c r="D886" s="134"/>
    </row>
    <row r="887" spans="4:4">
      <c r="D887" s="134"/>
    </row>
    <row r="888" spans="4:4">
      <c r="D888" s="134"/>
    </row>
    <row r="889" spans="4:4">
      <c r="D889" s="134"/>
    </row>
    <row r="890" spans="4:4">
      <c r="D890" s="134"/>
    </row>
    <row r="891" spans="4:4">
      <c r="D891" s="134"/>
    </row>
    <row r="892" spans="4:4">
      <c r="D892" s="134"/>
    </row>
    <row r="893" spans="4:4">
      <c r="D893" s="134"/>
    </row>
    <row r="894" spans="4:4">
      <c r="D894" s="134"/>
    </row>
    <row r="895" spans="4:4">
      <c r="D895" s="134"/>
    </row>
    <row r="896" spans="4:4">
      <c r="D896" s="134"/>
    </row>
    <row r="897" spans="4:4">
      <c r="D897" s="134"/>
    </row>
    <row r="898" spans="4:4">
      <c r="D898" s="134"/>
    </row>
    <row r="899" spans="4:4">
      <c r="D899" s="134"/>
    </row>
    <row r="900" spans="4:4">
      <c r="D900" s="134"/>
    </row>
    <row r="901" spans="4:4">
      <c r="D901" s="134"/>
    </row>
    <row r="902" spans="4:4">
      <c r="D902" s="134"/>
    </row>
    <row r="903" spans="4:4">
      <c r="D903" s="134"/>
    </row>
    <row r="904" spans="4:4">
      <c r="D904" s="134"/>
    </row>
    <row r="905" spans="4:4">
      <c r="D905" s="134"/>
    </row>
    <row r="906" spans="4:4">
      <c r="D906" s="134"/>
    </row>
    <row r="907" spans="4:4">
      <c r="D907" s="134"/>
    </row>
    <row r="908" spans="4:4">
      <c r="D908" s="134"/>
    </row>
    <row r="909" spans="4:4">
      <c r="D909" s="134"/>
    </row>
    <row r="910" spans="4:4">
      <c r="D910" s="134"/>
    </row>
    <row r="911" spans="4:4">
      <c r="D911" s="134"/>
    </row>
    <row r="912" spans="4:4">
      <c r="D912" s="134"/>
    </row>
    <row r="913" spans="4:4">
      <c r="D913" s="134"/>
    </row>
    <row r="914" spans="4:4">
      <c r="D914" s="134"/>
    </row>
    <row r="915" spans="4:4">
      <c r="D915" s="134"/>
    </row>
    <row r="916" spans="4:4">
      <c r="D916" s="134"/>
    </row>
    <row r="917" spans="4:4">
      <c r="D917" s="134"/>
    </row>
    <row r="918" spans="4:4">
      <c r="D918" s="134"/>
    </row>
    <row r="919" spans="4:4">
      <c r="D919" s="134"/>
    </row>
    <row r="920" spans="4:4">
      <c r="D920" s="134"/>
    </row>
    <row r="921" spans="4:4">
      <c r="D921" s="134"/>
    </row>
    <row r="922" spans="4:4">
      <c r="D922" s="134"/>
    </row>
    <row r="923" spans="4:4">
      <c r="D923" s="134"/>
    </row>
    <row r="924" spans="4:4">
      <c r="D924" s="134"/>
    </row>
    <row r="925" spans="4:4">
      <c r="D925" s="134"/>
    </row>
    <row r="926" spans="4:4">
      <c r="D926" s="134"/>
    </row>
    <row r="927" spans="4:4">
      <c r="D927" s="134"/>
    </row>
    <row r="928" spans="4:4">
      <c r="D928" s="134"/>
    </row>
    <row r="929" spans="4:4">
      <c r="D929" s="134"/>
    </row>
    <row r="930" spans="4:4">
      <c r="D930" s="134"/>
    </row>
    <row r="931" spans="4:4">
      <c r="D931" s="134"/>
    </row>
    <row r="932" spans="4:4">
      <c r="D932" s="134"/>
    </row>
    <row r="933" spans="4:4">
      <c r="D933" s="134"/>
    </row>
    <row r="934" spans="4:4">
      <c r="D934" s="134"/>
    </row>
    <row r="935" spans="4:4">
      <c r="D935" s="134"/>
    </row>
    <row r="936" spans="4:4">
      <c r="D936" s="134"/>
    </row>
    <row r="937" spans="4:4">
      <c r="D937" s="134"/>
    </row>
    <row r="938" spans="4:4">
      <c r="D938" s="134"/>
    </row>
    <row r="939" spans="4:4">
      <c r="D939" s="134"/>
    </row>
    <row r="940" spans="4:4">
      <c r="D940" s="134"/>
    </row>
    <row r="941" spans="4:4">
      <c r="D941" s="134"/>
    </row>
    <row r="942" spans="4:4">
      <c r="D942" s="134"/>
    </row>
    <row r="943" spans="4:4">
      <c r="D943" s="134"/>
    </row>
    <row r="944" spans="4:4">
      <c r="D944" s="134"/>
    </row>
    <row r="945" spans="4:4">
      <c r="D945" s="134"/>
    </row>
    <row r="946" spans="4:4">
      <c r="D946" s="134"/>
    </row>
    <row r="947" spans="4:4">
      <c r="D947" s="134"/>
    </row>
    <row r="948" spans="4:4">
      <c r="D948" s="134"/>
    </row>
    <row r="949" spans="4:4">
      <c r="D949" s="134"/>
    </row>
    <row r="950" spans="4:4">
      <c r="D950" s="134"/>
    </row>
    <row r="951" spans="4:4">
      <c r="D951" s="134"/>
    </row>
    <row r="952" spans="4:4">
      <c r="D952" s="134"/>
    </row>
    <row r="953" spans="4:4">
      <c r="D953" s="134"/>
    </row>
    <row r="954" spans="4:4">
      <c r="D954" s="134"/>
    </row>
    <row r="955" spans="4:4">
      <c r="D955" s="134"/>
    </row>
    <row r="956" spans="4:4">
      <c r="D956" s="134"/>
    </row>
    <row r="957" spans="4:4">
      <c r="D957" s="134"/>
    </row>
    <row r="958" spans="4:4">
      <c r="D958" s="134"/>
    </row>
    <row r="959" spans="4:4">
      <c r="D959" s="134"/>
    </row>
    <row r="960" spans="4:4">
      <c r="D960" s="134"/>
    </row>
    <row r="961" spans="4:4">
      <c r="D961" s="134"/>
    </row>
    <row r="962" spans="4:4">
      <c r="D962" s="134"/>
    </row>
    <row r="963" spans="4:4">
      <c r="D963" s="134"/>
    </row>
    <row r="964" spans="4:4">
      <c r="D964" s="134"/>
    </row>
    <row r="965" spans="4:4">
      <c r="D965" s="134"/>
    </row>
    <row r="966" spans="4:4">
      <c r="D966" s="134"/>
    </row>
    <row r="967" spans="4:4">
      <c r="D967" s="134"/>
    </row>
    <row r="968" spans="4:4">
      <c r="D968" s="134"/>
    </row>
    <row r="969" spans="4:4">
      <c r="D969" s="134"/>
    </row>
    <row r="970" spans="4:4">
      <c r="D970" s="134"/>
    </row>
    <row r="971" spans="4:4">
      <c r="D971" s="134"/>
    </row>
    <row r="972" spans="4:4">
      <c r="D972" s="134"/>
    </row>
    <row r="973" spans="4:4">
      <c r="D973" s="134"/>
    </row>
    <row r="974" spans="4:4">
      <c r="D974" s="134"/>
    </row>
    <row r="975" spans="4:4">
      <c r="D975" s="134"/>
    </row>
    <row r="976" spans="4:4">
      <c r="D976" s="134"/>
    </row>
    <row r="977" spans="4:4">
      <c r="D977" s="134"/>
    </row>
    <row r="978" spans="4:4">
      <c r="D978" s="134"/>
    </row>
    <row r="979" spans="4:4">
      <c r="D979" s="134"/>
    </row>
    <row r="980" spans="4:4">
      <c r="D980" s="134"/>
    </row>
    <row r="981" spans="4:4">
      <c r="D981" s="134"/>
    </row>
    <row r="982" spans="4:4">
      <c r="D982" s="134"/>
    </row>
    <row r="983" spans="4:4">
      <c r="D983" s="134"/>
    </row>
    <row r="984" spans="4:4">
      <c r="D984" s="134"/>
    </row>
    <row r="985" spans="4:4">
      <c r="D985" s="134"/>
    </row>
    <row r="986" spans="4:4">
      <c r="D986" s="134"/>
    </row>
    <row r="987" spans="4:4">
      <c r="D987" s="134"/>
    </row>
    <row r="988" spans="4:4">
      <c r="D988" s="134"/>
    </row>
    <row r="989" spans="4:4">
      <c r="D989" s="134"/>
    </row>
    <row r="990" spans="4:4">
      <c r="D990" s="134"/>
    </row>
    <row r="991" spans="4:4">
      <c r="D991" s="134"/>
    </row>
    <row r="992" spans="4:4">
      <c r="D992" s="134"/>
    </row>
    <row r="993" spans="4:4">
      <c r="D993" s="134"/>
    </row>
    <row r="994" spans="4:4">
      <c r="D994" s="134"/>
    </row>
    <row r="995" spans="4:4">
      <c r="D995" s="134"/>
    </row>
    <row r="996" spans="4:4">
      <c r="D996" s="134"/>
    </row>
    <row r="997" spans="4:4">
      <c r="D997" s="134"/>
    </row>
    <row r="998" spans="4:4">
      <c r="D998" s="134"/>
    </row>
    <row r="999" spans="4:4">
      <c r="D999" s="134"/>
    </row>
    <row r="1000" spans="4:4">
      <c r="D1000" s="134"/>
    </row>
  </sheetData>
  <protectedRanges>
    <protectedRange sqref="I2" name="INPUT LIABILITIES_1_3"/>
  </protectedRanges>
  <conditionalFormatting sqref="I2">
    <cfRule type="cellIs" dxfId="83" priority="3" operator="equal">
      <formula>"YES"</formula>
    </cfRule>
  </conditionalFormatting>
  <conditionalFormatting sqref="I3:I14">
    <cfRule type="cellIs" dxfId="82" priority="2" operator="equal">
      <formula>"YES"</formula>
    </cfRule>
  </conditionalFormatting>
  <conditionalFormatting sqref="I15:I60">
    <cfRule type="cellIs" dxfId="81" priority="1" operator="equal">
      <formula>"YES"</formula>
    </cfRule>
  </conditionalFormatting>
  <dataValidations count="1">
    <dataValidation type="list" allowBlank="1" showInputMessage="1" showErrorMessage="1" sqref="I3:I60" xr:uid="{00000000-0002-0000-0600-000000000000}">
      <formula1>$J$1:$K$1</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4" r:id="rId3" name="Button 2">
              <controlPr defaultSize="0" print="0" autoFill="0" autoPict="0" macro="[0]!PasteRCPre">
                <anchor moveWithCells="1" sizeWithCells="1">
                  <from>
                    <xdr:col>0</xdr:col>
                    <xdr:colOff>30480</xdr:colOff>
                    <xdr:row>1</xdr:row>
                    <xdr:rowOff>22860</xdr:rowOff>
                  </from>
                  <to>
                    <xdr:col>0</xdr:col>
                    <xdr:colOff>1821180</xdr:colOff>
                    <xdr:row>1</xdr:row>
                    <xdr:rowOff>327660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D26F7E-69D6-4638-9C37-BB2C9C852375}">
  <sheetPr codeName="Sheet16"/>
  <dimension ref="A1:L200"/>
  <sheetViews>
    <sheetView topLeftCell="A50" workbookViewId="0">
      <selection activeCell="J61" sqref="J61"/>
    </sheetView>
  </sheetViews>
  <sheetFormatPr defaultRowHeight="14.4"/>
  <cols>
    <col min="1" max="1" width="25.44140625" customWidth="1"/>
    <col min="2" max="2" width="14.44140625" bestFit="1" customWidth="1"/>
    <col min="3" max="3" width="14.44140625" customWidth="1"/>
    <col min="4" max="4" width="12" customWidth="1"/>
    <col min="5" max="5" width="11" customWidth="1"/>
    <col min="6" max="6" width="11.109375" customWidth="1"/>
    <col min="7" max="7" width="11.44140625" customWidth="1"/>
    <col min="10" max="10" width="32.109375" bestFit="1" customWidth="1"/>
  </cols>
  <sheetData>
    <row r="1" spans="1:12" ht="48" customHeight="1" thickBot="1">
      <c r="A1" s="228"/>
      <c r="B1" s="228"/>
      <c r="C1" s="228"/>
      <c r="D1" s="228"/>
      <c r="E1" s="228"/>
      <c r="F1" s="228"/>
    </row>
    <row r="2" spans="1:12" ht="40.799999999999997" thickBot="1">
      <c r="A2" s="130" t="s">
        <v>162</v>
      </c>
      <c r="B2" s="130" t="s">
        <v>132</v>
      </c>
      <c r="C2" s="130" t="s">
        <v>135</v>
      </c>
      <c r="D2" s="130" t="s">
        <v>306</v>
      </c>
      <c r="E2" s="130" t="s">
        <v>307</v>
      </c>
      <c r="F2" s="130" t="s">
        <v>308</v>
      </c>
      <c r="G2" s="229" t="s">
        <v>133</v>
      </c>
      <c r="J2" s="104" t="s">
        <v>134</v>
      </c>
      <c r="K2" s="104" t="s">
        <v>132</v>
      </c>
      <c r="L2" s="104" t="s">
        <v>135</v>
      </c>
    </row>
    <row r="3" spans="1:12" ht="15" thickBot="1">
      <c r="A3" s="115" t="s">
        <v>309</v>
      </c>
      <c r="B3" s="117">
        <v>9687</v>
      </c>
      <c r="C3" s="118">
        <v>48.44</v>
      </c>
      <c r="D3" s="115" t="s">
        <v>310</v>
      </c>
      <c r="E3" s="115" t="s">
        <v>310</v>
      </c>
      <c r="F3" s="230" t="s">
        <v>311</v>
      </c>
      <c r="G3" s="295" t="s">
        <v>174</v>
      </c>
      <c r="J3" t="str">
        <f t="array" ref="J3">IFERROR(INDEX(A$1:A$99, SMALL(IF($G$1:$G$99="YES", ROW($G$1:$G$99)-MIN(ROW($G$1:$G$99))+1), ROW(1:1))), " ")</f>
        <v>DEPTEDNELNET</v>
      </c>
      <c r="K3">
        <f t="array" ref="K3">IFERROR(INDEX(B$1:B$99, SMALL(IF($G$1:$G$99="YES", ROW($G$1:$G$99)-MIN(ROW($G$1:$G$99))+1), ROW(1:1))), " ")</f>
        <v>9687</v>
      </c>
      <c r="L3">
        <f t="array" ref="L3">IFERROR(INDEX(C$1:C$99, SMALL(IF($G$1:$G$99="YES", ROW($G$1:$G$99)-MIN(ROW($G$1:$G$99))+1), ROW(1:1))), " ")</f>
        <v>48.44</v>
      </c>
    </row>
    <row r="4" spans="1:12" ht="15" thickBot="1">
      <c r="A4" s="115" t="s">
        <v>312</v>
      </c>
      <c r="B4" s="117"/>
      <c r="C4" s="118"/>
      <c r="D4" s="115"/>
      <c r="E4" s="115"/>
      <c r="F4" s="230"/>
      <c r="G4" s="293"/>
      <c r="J4" t="str">
        <f t="array" ref="J4">IFERROR(INDEX(A$1:A$99, SMALL(IF($G$1:$G$99="YES", ROW($G$1:$G$99)-MIN(ROW($G$1:$G$99))+1), ROW(2:2))), " ")</f>
        <v xml:space="preserve"> </v>
      </c>
      <c r="K4" t="str">
        <f t="array" ref="K4">IFERROR(INDEX(B$1:B$99, SMALL(IF($G$1:$G$99="YES", ROW($G$1:$G$99)-MIN(ROW($G$1:$G$99))+1), ROW(2:2))), " ")</f>
        <v xml:space="preserve"> </v>
      </c>
      <c r="L4" t="str">
        <f t="array" ref="L4">IFERROR(INDEX(C$1:C$99, SMALL(IF($G$1:$G$99="YES", ROW($G$1:$G$99)-MIN(ROW($G$1:$G$99))+1), ROW(2:2))), " ")</f>
        <v xml:space="preserve"> </v>
      </c>
    </row>
    <row r="5" spans="1:12" ht="16.2" customHeight="1" thickBot="1">
      <c r="A5" s="115" t="s">
        <v>313</v>
      </c>
      <c r="B5" s="117">
        <v>5515</v>
      </c>
      <c r="C5" s="118">
        <v>258</v>
      </c>
      <c r="D5" s="115" t="s">
        <v>311</v>
      </c>
      <c r="E5" s="115" t="s">
        <v>310</v>
      </c>
      <c r="F5" s="230" t="s">
        <v>310</v>
      </c>
      <c r="G5" s="293" t="s">
        <v>175</v>
      </c>
      <c r="J5" t="str">
        <f t="array" ref="J5">IFERROR(INDEX(A$1:A$99, SMALL(IF($G$1:$G$99="YES", ROW($G$1:$G$99)-MIN(ROW($G$1:$G$99))+1), ROW(3:3))), " ")</f>
        <v xml:space="preserve"> </v>
      </c>
      <c r="K5" t="str">
        <f t="array" ref="K5">IFERROR(INDEX(B$1:B$99, SMALL(IF($G$1:$G$99="YES", ROW($G$1:$G$99)-MIN(ROW($G$1:$G$99))+1), ROW(3:3))), " ")</f>
        <v xml:space="preserve"> </v>
      </c>
      <c r="L5" t="str">
        <f t="array" ref="L5">IFERROR(INDEX(C$1:C$99, SMALL(IF($G$1:$G$99="YES", ROW($G$1:$G$99)-MIN(ROW($G$1:$G$99))+1), ROW(3:3))), " ")</f>
        <v xml:space="preserve"> </v>
      </c>
    </row>
    <row r="6" spans="1:12" ht="19.95" customHeight="1" thickBot="1">
      <c r="A6" s="115" t="s">
        <v>314</v>
      </c>
      <c r="B6" s="117"/>
      <c r="C6" s="118"/>
      <c r="D6" s="115"/>
      <c r="E6" s="115"/>
      <c r="F6" s="230"/>
      <c r="G6" s="293"/>
      <c r="J6" t="str">
        <f t="array" ref="J6">IFERROR(INDEX(A$1:A$99, SMALL(IF($G$1:$G$99="YES", ROW($G$1:$G$99)-MIN(ROW($G$1:$G$99))+1), ROW(4:4))), " ")</f>
        <v xml:space="preserve"> </v>
      </c>
      <c r="K6" t="str">
        <f t="array" ref="K6">IFERROR(INDEX(B$1:B$99, SMALL(IF($G$1:$G$99="YES", ROW($G$1:$G$99)-MIN(ROW($G$1:$G$99))+1), ROW(4:4))), " ")</f>
        <v xml:space="preserve"> </v>
      </c>
      <c r="L6" t="str">
        <f t="array" ref="L6">IFERROR(INDEX(C$1:C$99, SMALL(IF($G$1:$G$99="YES", ROW($G$1:$G$99)-MIN(ROW($G$1:$G$99))+1), ROW(4:4))), " ")</f>
        <v xml:space="preserve"> </v>
      </c>
    </row>
    <row r="7" spans="1:12" ht="15" thickBot="1">
      <c r="A7" s="115" t="s">
        <v>315</v>
      </c>
      <c r="B7" s="117">
        <v>709</v>
      </c>
      <c r="C7" s="118">
        <v>50</v>
      </c>
      <c r="D7" s="115" t="s">
        <v>310</v>
      </c>
      <c r="E7" s="115" t="s">
        <v>310</v>
      </c>
      <c r="F7" s="230" t="s">
        <v>311</v>
      </c>
      <c r="G7" s="293" t="s">
        <v>175</v>
      </c>
      <c r="J7" t="str">
        <f t="array" ref="J7">IFERROR(INDEX(A$1:A$99, SMALL(IF($G$1:$G$99="YES", ROW($G$1:$G$99)-MIN(ROW($G$1:$G$99))+1), ROW(5:5))), " ")</f>
        <v xml:space="preserve"> </v>
      </c>
      <c r="K7" t="str">
        <f t="array" ref="K7">IFERROR(INDEX(B$1:B$99, SMALL(IF($G$1:$G$99="YES", ROW($G$1:$G$99)-MIN(ROW($G$1:$G$99))+1), ROW(5:5))), " ")</f>
        <v xml:space="preserve"> </v>
      </c>
      <c r="L7" t="str">
        <f t="array" ref="L7">IFERROR(INDEX(C$1:C$99, SMALL(IF($G$1:$G$99="YES", ROW($G$1:$G$99)-MIN(ROW($G$1:$G$99))+1), ROW(5:5))), " ")</f>
        <v xml:space="preserve"> </v>
      </c>
    </row>
    <row r="8" spans="1:12" ht="15" thickBot="1">
      <c r="A8" s="115" t="s">
        <v>316</v>
      </c>
      <c r="B8" s="117"/>
      <c r="C8" s="118"/>
      <c r="D8" s="115"/>
      <c r="E8" s="115"/>
      <c r="F8" s="230"/>
      <c r="G8" s="293"/>
      <c r="J8" t="str">
        <f t="array" ref="J8">IFERROR(INDEX(A$1:A$99, SMALL(IF($G$1:$G$99="YES", ROW($G$1:$G$99)-MIN(ROW($G$1:$G$99))+1), ROW(6:6))), " ")</f>
        <v xml:space="preserve"> </v>
      </c>
      <c r="K8" t="str">
        <f t="array" ref="K8">IFERROR(INDEX(B$1:B$99, SMALL(IF($G$1:$G$99="YES", ROW($G$1:$G$99)-MIN(ROW($G$1:$G$99))+1), ROW(6:6))), " ")</f>
        <v xml:space="preserve"> </v>
      </c>
      <c r="L8" t="str">
        <f t="array" ref="L8">IFERROR(INDEX(C$1:C$99, SMALL(IF($G$1:$G$99="YES", ROW($G$1:$G$99)-MIN(ROW($G$1:$G$99))+1), ROW(6:6))), " ")</f>
        <v xml:space="preserve"> </v>
      </c>
    </row>
    <row r="9" spans="1:12" ht="15" thickBot="1">
      <c r="A9" s="115" t="s">
        <v>309</v>
      </c>
      <c r="B9" s="117">
        <v>13074</v>
      </c>
      <c r="C9" s="118">
        <v>65.37</v>
      </c>
      <c r="D9" s="115" t="s">
        <v>310</v>
      </c>
      <c r="E9" s="115" t="s">
        <v>310</v>
      </c>
      <c r="F9" s="230" t="s">
        <v>311</v>
      </c>
      <c r="G9" s="293"/>
      <c r="J9" t="str">
        <f t="array" ref="J9">IFERROR(INDEX(A$1:A$99, SMALL(IF($G$1:$G$99="YES", ROW($G$1:$G$99)-MIN(ROW($G$1:$G$99))+1), ROW(7:7))), " ")</f>
        <v xml:space="preserve"> </v>
      </c>
      <c r="K9" t="str">
        <f t="array" ref="K9">IFERROR(INDEX(B$1:B$99, SMALL(IF($G$1:$G$99="YES", ROW($G$1:$G$99)-MIN(ROW($G$1:$G$99))+1), ROW(7:7))), " ")</f>
        <v xml:space="preserve"> </v>
      </c>
      <c r="L9" t="str">
        <f t="array" ref="L9">IFERROR(INDEX(C$1:C$99, SMALL(IF($G$1:$G$99="YES", ROW($G$1:$G$99)-MIN(ROW($G$1:$G$99))+1), ROW(7:7))), " ")</f>
        <v xml:space="preserve"> </v>
      </c>
    </row>
    <row r="10" spans="1:12" ht="15" thickBot="1">
      <c r="A10" s="115" t="s">
        <v>317</v>
      </c>
      <c r="B10" s="117"/>
      <c r="C10" s="118"/>
      <c r="D10" s="115"/>
      <c r="E10" s="115"/>
      <c r="F10" s="230"/>
      <c r="G10" s="293"/>
      <c r="J10" t="str">
        <f t="array" ref="J10">IFERROR(INDEX(A$1:A$99, SMALL(IF($G$1:$G$99="YES", ROW($G$1:$G$99)-MIN(ROW($G$1:$G$99))+1), ROW(8:8))), " ")</f>
        <v xml:space="preserve"> </v>
      </c>
      <c r="K10" t="str">
        <f t="array" ref="K10">IFERROR(INDEX(B$1:B$99, SMALL(IF($G$1:$G$99="YES", ROW($G$1:$G$99)-MIN(ROW($G$1:$G$99))+1), ROW(8:8))), " ")</f>
        <v xml:space="preserve"> </v>
      </c>
      <c r="L10" t="str">
        <f t="array" ref="L10">IFERROR(INDEX(C$1:C$99, SMALL(IF($G$1:$G$99="YES", ROW($G$1:$G$99)-MIN(ROW($G$1:$G$99))+1), ROW(8:8))), " ")</f>
        <v xml:space="preserve"> </v>
      </c>
    </row>
    <row r="11" spans="1:12" ht="15" thickBot="1">
      <c r="A11" s="115" t="s">
        <v>318</v>
      </c>
      <c r="B11" s="117">
        <v>937</v>
      </c>
      <c r="C11" s="118">
        <v>29</v>
      </c>
      <c r="D11" s="115" t="s">
        <v>310</v>
      </c>
      <c r="E11" s="115" t="s">
        <v>310</v>
      </c>
      <c r="F11" s="230" t="s">
        <v>311</v>
      </c>
      <c r="G11" s="293"/>
      <c r="J11" t="str">
        <f t="array" ref="J11">IFERROR(INDEX(A$1:A$99, SMALL(IF($G$1:$G$99="YES", ROW($G$1:$G$99)-MIN(ROW($G$1:$G$99))+1), ROW(9:9))), " ")</f>
        <v xml:space="preserve"> </v>
      </c>
      <c r="K11" t="str">
        <f t="array" ref="K11">IFERROR(INDEX(B$1:B$99, SMALL(IF($G$1:$G$99="YES", ROW($G$1:$G$99)-MIN(ROW($G$1:$G$99))+1), ROW(9:9))), " ")</f>
        <v xml:space="preserve"> </v>
      </c>
      <c r="L11" t="str">
        <f t="array" ref="L11">IFERROR(INDEX(C$1:C$99, SMALL(IF($G$1:$G$99="YES", ROW($G$1:$G$99)-MIN(ROW($G$1:$G$99))+1), ROW(9:9))), " ")</f>
        <v xml:space="preserve"> </v>
      </c>
    </row>
    <row r="12" spans="1:12" ht="15" thickBot="1">
      <c r="A12" s="115" t="s">
        <v>319</v>
      </c>
      <c r="B12" s="117"/>
      <c r="C12" s="118"/>
      <c r="D12" s="115"/>
      <c r="E12" s="115"/>
      <c r="F12" s="230"/>
      <c r="G12" s="293"/>
      <c r="J12" t="str">
        <f t="array" ref="J12">IFERROR(INDEX(A$1:A$99, SMALL(IF($G$1:$G$99="YES", ROW($G$1:$G$99)-MIN(ROW($G$1:$G$99))+1), ROW(10:10))), " ")</f>
        <v xml:space="preserve"> </v>
      </c>
      <c r="K12" t="str">
        <f t="array" ref="K12">IFERROR(INDEX(B$1:B$99, SMALL(IF($G$1:$G$99="YES", ROW($G$1:$G$99)-MIN(ROW($G$1:$G$99))+1), ROW(10:10))), " ")</f>
        <v xml:space="preserve"> </v>
      </c>
      <c r="L12" t="str">
        <f t="array" ref="L12">IFERROR(INDEX(C$1:C$99, SMALL(IF($G$1:$G$99="YES", ROW($G$1:$G$99)-MIN(ROW($G$1:$G$99))+1), ROW(10:10))), " ")</f>
        <v xml:space="preserve"> </v>
      </c>
    </row>
    <row r="13" spans="1:12" ht="15" thickBot="1">
      <c r="A13" s="115" t="s">
        <v>320</v>
      </c>
      <c r="B13" s="117">
        <v>984</v>
      </c>
      <c r="C13" s="118">
        <v>30</v>
      </c>
      <c r="D13" s="115" t="s">
        <v>311</v>
      </c>
      <c r="E13" s="115" t="s">
        <v>310</v>
      </c>
      <c r="F13" s="230" t="s">
        <v>310</v>
      </c>
      <c r="G13" s="293"/>
      <c r="J13" t="str">
        <f t="array" ref="J13">IFERROR(INDEX(A$1:A$99, SMALL(IF($G$1:$G$99="YES", ROW($G$1:$G$99)-MIN(ROW($G$1:$G$99))+1), ROW(11:11))), " ")</f>
        <v xml:space="preserve"> </v>
      </c>
      <c r="K13" t="str">
        <f t="array" ref="K13">IFERROR(INDEX(B$1:B$99, SMALL(IF($G$1:$G$99="YES", ROW($G$1:$G$99)-MIN(ROW($G$1:$G$99))+1), ROW(11:11))), " ")</f>
        <v xml:space="preserve"> </v>
      </c>
      <c r="L13" t="str">
        <f t="array" ref="L13">IFERROR(INDEX(C$1:C$99, SMALL(IF($G$1:$G$99="YES", ROW($G$1:$G$99)-MIN(ROW($G$1:$G$99))+1), ROW(11:11))), " ")</f>
        <v xml:space="preserve"> </v>
      </c>
    </row>
    <row r="14" spans="1:12" ht="15" thickBot="1">
      <c r="A14" s="115" t="s">
        <v>321</v>
      </c>
      <c r="B14" s="117"/>
      <c r="C14" s="118"/>
      <c r="D14" s="115"/>
      <c r="E14" s="115"/>
      <c r="F14" s="230"/>
      <c r="G14" s="293"/>
      <c r="J14" t="str">
        <f t="array" ref="J14">IFERROR(INDEX(A$1:A$99, SMALL(IF($G$1:$G$99="YES", ROW($G$1:$G$99)-MIN(ROW($G$1:$G$99))+1), ROW(12:12))), " ")</f>
        <v xml:space="preserve"> </v>
      </c>
      <c r="K14" t="str">
        <f t="array" ref="K14">IFERROR(INDEX(B$1:B$99, SMALL(IF($G$1:$G$99="YES", ROW($G$1:$G$99)-MIN(ROW($G$1:$G$99))+1), ROW(12:12))), " ")</f>
        <v xml:space="preserve"> </v>
      </c>
      <c r="L14" t="str">
        <f t="array" ref="L14">IFERROR(INDEX(C$1:C$99, SMALL(IF($G$1:$G$99="YES", ROW($G$1:$G$99)-MIN(ROW($G$1:$G$99))+1), ROW(12:12))), " ")</f>
        <v xml:space="preserve"> </v>
      </c>
    </row>
    <row r="15" spans="1:12" ht="15" thickBot="1">
      <c r="A15" s="115" t="s">
        <v>322</v>
      </c>
      <c r="B15" s="117">
        <v>943</v>
      </c>
      <c r="C15" s="118">
        <v>35</v>
      </c>
      <c r="D15" s="115" t="s">
        <v>310</v>
      </c>
      <c r="E15" s="115" t="s">
        <v>310</v>
      </c>
      <c r="F15" s="230" t="s">
        <v>311</v>
      </c>
      <c r="G15" s="293"/>
      <c r="J15" t="str">
        <f t="array" ref="J15">IFERROR(INDEX(A$1:A$99, SMALL(IF($G$1:$G$99="YES", ROW($G$1:$G$99)-MIN(ROW($G$1:$G$99))+1), ROW(13:13))), " ")</f>
        <v xml:space="preserve"> </v>
      </c>
      <c r="K15" t="str">
        <f t="array" ref="K15">IFERROR(INDEX(B$1:B$99, SMALL(IF($G$1:$G$99="YES", ROW($G$1:$G$99)-MIN(ROW($G$1:$G$99))+1), ROW(13:13))), " ")</f>
        <v xml:space="preserve"> </v>
      </c>
      <c r="L15" t="str">
        <f t="array" ref="L15">IFERROR(INDEX(C$1:C$99, SMALL(IF($G$1:$G$99="YES", ROW($G$1:$G$99)-MIN(ROW($G$1:$G$99))+1), ROW(13:13))), " ")</f>
        <v xml:space="preserve"> </v>
      </c>
    </row>
    <row r="16" spans="1:12" ht="15" thickBot="1">
      <c r="A16" s="115" t="s">
        <v>323</v>
      </c>
      <c r="B16" s="117"/>
      <c r="C16" s="118"/>
      <c r="D16" s="115"/>
      <c r="E16" s="115"/>
      <c r="F16" s="230"/>
      <c r="G16" s="293"/>
      <c r="J16" t="str">
        <f t="array" ref="J16">IFERROR(INDEX(A$1:A$99, SMALL(IF($G$1:$G$99="YES", ROW($G$1:$G$99)-MIN(ROW($G$1:$G$99))+1), ROW(14:14))), " ")</f>
        <v xml:space="preserve"> </v>
      </c>
      <c r="K16" t="str">
        <f t="array" ref="K16">IFERROR(INDEX(B$1:B$99, SMALL(IF($G$1:$G$99="YES", ROW($G$1:$G$99)-MIN(ROW($G$1:$G$99))+1), ROW(14:14))), " ")</f>
        <v xml:space="preserve"> </v>
      </c>
      <c r="L16" t="str">
        <f t="array" ref="L16">IFERROR(INDEX(C$1:C$99, SMALL(IF($G$1:$G$99="YES", ROW($G$1:$G$99)-MIN(ROW($G$1:$G$99))+1), ROW(14:14))), " ")</f>
        <v xml:space="preserve"> </v>
      </c>
    </row>
    <row r="17" spans="1:12" ht="15" thickBot="1">
      <c r="A17" s="115" t="s">
        <v>309</v>
      </c>
      <c r="B17" s="117">
        <v>7968</v>
      </c>
      <c r="C17" s="118">
        <v>79.680000000000007</v>
      </c>
      <c r="D17" s="115" t="s">
        <v>310</v>
      </c>
      <c r="E17" s="115" t="s">
        <v>310</v>
      </c>
      <c r="F17" s="230" t="s">
        <v>311</v>
      </c>
      <c r="G17" s="293"/>
      <c r="J17" t="str">
        <f t="array" ref="J17">IFERROR(INDEX(A$1:A$99, SMALL(IF($G$1:$G$99="YES", ROW($G$1:$G$99)-MIN(ROW($G$1:$G$99))+1), ROW(15:15))), " ")</f>
        <v xml:space="preserve"> </v>
      </c>
      <c r="K17" t="str">
        <f t="array" ref="K17">IFERROR(INDEX(B$1:B$99, SMALL(IF($G$1:$G$99="YES", ROW($G$1:$G$99)-MIN(ROW($G$1:$G$99))+1), ROW(15:15))), " ")</f>
        <v xml:space="preserve"> </v>
      </c>
      <c r="L17" t="str">
        <f t="array" ref="L17">IFERROR(INDEX(C$1:C$99, SMALL(IF($G$1:$G$99="YES", ROW($G$1:$G$99)-MIN(ROW($G$1:$G$99))+1), ROW(15:15))), " ")</f>
        <v xml:space="preserve"> </v>
      </c>
    </row>
    <row r="18" spans="1:12" ht="15" thickBot="1">
      <c r="A18" s="115" t="s">
        <v>324</v>
      </c>
      <c r="B18" s="117"/>
      <c r="C18" s="118"/>
      <c r="D18" s="115"/>
      <c r="E18" s="115"/>
      <c r="F18" s="230"/>
      <c r="G18" s="293"/>
      <c r="J18" t="str">
        <f t="array" ref="J18">IFERROR(INDEX(A$1:A$99, SMALL(IF($G$1:$G$99="YES", ROW($G$1:$G$99)-MIN(ROW($G$1:$G$99))+1), ROW(16:16))), " ")</f>
        <v xml:space="preserve"> </v>
      </c>
      <c r="K18" t="str">
        <f t="array" ref="K18">IFERROR(INDEX(B$1:B$99, SMALL(IF($G$1:$G$99="YES", ROW($G$1:$G$99)-MIN(ROW($G$1:$G$99))+1), ROW(16:16))), " ")</f>
        <v xml:space="preserve"> </v>
      </c>
      <c r="L18" t="str">
        <f t="array" ref="L18">IFERROR(INDEX(C$1:C$99, SMALL(IF($G$1:$G$99="YES", ROW($G$1:$G$99)-MIN(ROW($G$1:$G$99))+1), ROW(16:16))), " ")</f>
        <v xml:space="preserve"> </v>
      </c>
    </row>
    <row r="19" spans="1:12" ht="15" thickBot="1">
      <c r="A19" s="115" t="s">
        <v>200</v>
      </c>
      <c r="B19" s="117">
        <v>37</v>
      </c>
      <c r="C19" s="118">
        <v>29</v>
      </c>
      <c r="D19" s="115" t="s">
        <v>311</v>
      </c>
      <c r="E19" s="115" t="s">
        <v>310</v>
      </c>
      <c r="F19" s="230" t="s">
        <v>310</v>
      </c>
      <c r="G19" s="293"/>
      <c r="J19" t="str">
        <f t="array" ref="J19">IFERROR(INDEX(A$1:A$99, SMALL(IF($G$1:$G$99="YES", ROW($G$1:$G$99)-MIN(ROW($G$1:$G$99))+1), ROW(17:17))), " ")</f>
        <v xml:space="preserve"> </v>
      </c>
      <c r="K19" t="str">
        <f t="array" ref="K19">IFERROR(INDEX(B$1:B$99, SMALL(IF($G$1:$G$99="YES", ROW($G$1:$G$99)-MIN(ROW($G$1:$G$99))+1), ROW(17:17))), " ")</f>
        <v xml:space="preserve"> </v>
      </c>
      <c r="L19" t="str">
        <f t="array" ref="L19">IFERROR(INDEX(C$1:C$99, SMALL(IF($G$1:$G$99="YES", ROW($G$1:$G$99)-MIN(ROW($G$1:$G$99))+1), ROW(17:17))), " ")</f>
        <v xml:space="preserve"> </v>
      </c>
    </row>
    <row r="20" spans="1:12" ht="15" thickBot="1">
      <c r="A20" s="115" t="s">
        <v>325</v>
      </c>
      <c r="B20" s="117"/>
      <c r="C20" s="118"/>
      <c r="D20" s="115"/>
      <c r="E20" s="115"/>
      <c r="F20" s="230"/>
      <c r="G20" s="293"/>
      <c r="J20" t="str">
        <f t="array" ref="J20">IFERROR(INDEX(A$1:A$99, SMALL(IF($G$1:$G$99="YES", ROW($G$1:$G$99)-MIN(ROW($G$1:$G$99))+1), ROW(18:18))), " ")</f>
        <v xml:space="preserve"> </v>
      </c>
      <c r="K20" t="str">
        <f t="array" ref="K20">IFERROR(INDEX(B$1:B$99, SMALL(IF($G$1:$G$99="YES", ROW($G$1:$G$99)-MIN(ROW($G$1:$G$99))+1), ROW(18:18))), " ")</f>
        <v xml:space="preserve"> </v>
      </c>
      <c r="L20" t="str">
        <f t="array" ref="L20">IFERROR(INDEX(C$1:C$99, SMALL(IF($G$1:$G$99="YES", ROW($G$1:$G$99)-MIN(ROW($G$1:$G$99))+1), ROW(18:18))), " ")</f>
        <v xml:space="preserve"> </v>
      </c>
    </row>
    <row r="21" spans="1:12" ht="27" thickBot="1">
      <c r="A21" s="115" t="s">
        <v>326</v>
      </c>
      <c r="B21" s="117">
        <v>485</v>
      </c>
      <c r="C21" s="118">
        <v>101</v>
      </c>
      <c r="D21" s="115" t="s">
        <v>310</v>
      </c>
      <c r="E21" s="115" t="s">
        <v>310</v>
      </c>
      <c r="F21" s="230" t="s">
        <v>311</v>
      </c>
      <c r="G21" s="293"/>
      <c r="J21" t="str">
        <f t="array" ref="J21">IFERROR(INDEX(A$1:A$99, SMALL(IF($G$1:$G$99="YES", ROW($G$1:$G$99)-MIN(ROW($G$1:$G$99))+1), ROW(19:19))), " ")</f>
        <v xml:space="preserve"> </v>
      </c>
      <c r="K21" t="str">
        <f t="array" ref="K21">IFERROR(INDEX(B$1:B$99, SMALL(IF($G$1:$G$99="YES", ROW($G$1:$G$99)-MIN(ROW($G$1:$G$99))+1), ROW(19:19))), " ")</f>
        <v xml:space="preserve"> </v>
      </c>
      <c r="L21" t="str">
        <f t="array" ref="L21">IFERROR(INDEX(C$1:C$99, SMALL(IF($G$1:$G$99="YES", ROW($G$1:$G$99)-MIN(ROW($G$1:$G$99))+1), ROW(19:19))), " ")</f>
        <v xml:space="preserve"> </v>
      </c>
    </row>
    <row r="22" spans="1:12" ht="15" thickBot="1">
      <c r="A22" s="115" t="s">
        <v>327</v>
      </c>
      <c r="B22" s="117"/>
      <c r="C22" s="118"/>
      <c r="D22" s="115"/>
      <c r="E22" s="115"/>
      <c r="F22" s="230"/>
      <c r="G22" s="293"/>
      <c r="J22" t="str">
        <f t="array" ref="J22">IFERROR(INDEX(A$1:A$99, SMALL(IF($G$1:$G$99="YES", ROW($G$1:$G$99)-MIN(ROW($G$1:$G$99))+1), ROW(20:20))), " ")</f>
        <v xml:space="preserve"> </v>
      </c>
      <c r="K22" t="str">
        <f t="array" ref="K22">IFERROR(INDEX(B$1:B$99, SMALL(IF($G$1:$G$99="YES", ROW($G$1:$G$99)-MIN(ROW($G$1:$G$99))+1), ROW(20:20))), " ")</f>
        <v xml:space="preserve"> </v>
      </c>
      <c r="L22" t="str">
        <f t="array" ref="L22">IFERROR(INDEX(C$1:C$99, SMALL(IF($G$1:$G$99="YES", ROW($G$1:$G$99)-MIN(ROW($G$1:$G$99))+1), ROW(20:20))), " ")</f>
        <v xml:space="preserve"> </v>
      </c>
    </row>
    <row r="23" spans="1:12" ht="15" thickBot="1">
      <c r="A23" s="115" t="s">
        <v>328</v>
      </c>
      <c r="B23" s="117">
        <v>836</v>
      </c>
      <c r="C23" s="118">
        <v>42</v>
      </c>
      <c r="D23" s="115" t="s">
        <v>311</v>
      </c>
      <c r="E23" s="115" t="s">
        <v>310</v>
      </c>
      <c r="F23" s="230" t="s">
        <v>310</v>
      </c>
      <c r="G23" s="293"/>
      <c r="J23" t="str">
        <f t="array" ref="J23">IFERROR(INDEX(A$1:A$99, SMALL(IF($G$1:$G$99="YES", ROW($G$1:$G$99)-MIN(ROW($G$1:$G$99))+1), ROW(21:21))), " ")</f>
        <v xml:space="preserve"> </v>
      </c>
      <c r="K23" t="str">
        <f t="array" ref="K23">IFERROR(INDEX(B$1:B$99, SMALL(IF($G$1:$G$99="YES", ROW($G$1:$G$99)-MIN(ROW($G$1:$G$99))+1), ROW(21:21))), " ")</f>
        <v xml:space="preserve"> </v>
      </c>
      <c r="L23" t="str">
        <f t="array" ref="L23">IFERROR(INDEX(C$1:C$99, SMALL(IF($G$1:$G$99="YES", ROW($G$1:$G$99)-MIN(ROW($G$1:$G$99))+1), ROW(21:21))), " ")</f>
        <v xml:space="preserve"> </v>
      </c>
    </row>
    <row r="24" spans="1:12" ht="15" thickBot="1">
      <c r="A24" s="115" t="s">
        <v>329</v>
      </c>
      <c r="B24" s="117"/>
      <c r="C24" s="118"/>
      <c r="D24" s="115"/>
      <c r="E24" s="115"/>
      <c r="F24" s="230"/>
      <c r="G24" s="293"/>
      <c r="J24" t="str">
        <f t="array" ref="J24">IFERROR(INDEX(A$1:A$99, SMALL(IF($G$1:$G$99="YES", ROW($G$1:$G$99)-MIN(ROW($G$1:$G$99))+1), ROW(22:22))), " ")</f>
        <v xml:space="preserve"> </v>
      </c>
      <c r="K24" t="str">
        <f t="array" ref="K24">IFERROR(INDEX(B$1:B$99, SMALL(IF($G$1:$G$99="YES", ROW($G$1:$G$99)-MIN(ROW($G$1:$G$99))+1), ROW(22:22))), " ")</f>
        <v xml:space="preserve"> </v>
      </c>
      <c r="L24" t="str">
        <f t="array" ref="L24">IFERROR(INDEX(C$1:C$99, SMALL(IF($G$1:$G$99="YES", ROW($G$1:$G$99)-MIN(ROW($G$1:$G$99))+1), ROW(22:22))), " ")</f>
        <v xml:space="preserve"> </v>
      </c>
    </row>
    <row r="25" spans="1:12" ht="15" thickBot="1">
      <c r="A25" s="115" t="s">
        <v>330</v>
      </c>
      <c r="B25" s="117">
        <v>57469</v>
      </c>
      <c r="C25" s="118">
        <v>1028</v>
      </c>
      <c r="D25" s="115" t="s">
        <v>311</v>
      </c>
      <c r="E25" s="115" t="s">
        <v>310</v>
      </c>
      <c r="F25" s="230" t="s">
        <v>310</v>
      </c>
      <c r="G25" s="293"/>
      <c r="J25" t="str">
        <f t="array" ref="J25">IFERROR(INDEX(A$1:A$99, SMALL(IF($G$1:$G$99="YES", ROW($G$1:$G$99)-MIN(ROW($G$1:$G$99))+1), ROW(23:23))), " ")</f>
        <v xml:space="preserve"> </v>
      </c>
      <c r="K25" t="str">
        <f t="array" ref="K25">IFERROR(INDEX(B$1:B$99, SMALL(IF($G$1:$G$99="YES", ROW($G$1:$G$99)-MIN(ROW($G$1:$G$99))+1), ROW(23:23))), " ")</f>
        <v xml:space="preserve"> </v>
      </c>
      <c r="L25" t="str">
        <f t="array" ref="L25">IFERROR(INDEX(C$1:C$99, SMALL(IF($G$1:$G$99="YES", ROW($G$1:$G$99)-MIN(ROW($G$1:$G$99))+1), ROW(23:23))), " ")</f>
        <v xml:space="preserve"> </v>
      </c>
    </row>
    <row r="26" spans="1:12" ht="15" thickBot="1">
      <c r="A26" s="115" t="s">
        <v>331</v>
      </c>
      <c r="B26" s="117"/>
      <c r="C26" s="118"/>
      <c r="D26" s="115"/>
      <c r="E26" s="115"/>
      <c r="F26" s="230"/>
      <c r="G26" s="293"/>
      <c r="J26" t="str">
        <f t="array" ref="J26">IFERROR(INDEX(A$1:A$99, SMALL(IF($G$1:$G$99="YES", ROW($G$1:$G$99)-MIN(ROW($G$1:$G$99))+1), ROW(24:24))), " ")</f>
        <v xml:space="preserve"> </v>
      </c>
      <c r="K26" t="str">
        <f t="array" ref="K26">IFERROR(INDEX(B$1:B$99, SMALL(IF($G$1:$G$99="YES", ROW($G$1:$G$99)-MIN(ROW($G$1:$G$99))+1), ROW(24:24))), " ")</f>
        <v xml:space="preserve"> </v>
      </c>
      <c r="L26" t="str">
        <f t="array" ref="L26">IFERROR(INDEX(C$1:C$99, SMALL(IF($G$1:$G$99="YES", ROW($G$1:$G$99)-MIN(ROW($G$1:$G$99))+1), ROW(24:24))), " ")</f>
        <v xml:space="preserve"> </v>
      </c>
    </row>
    <row r="27" spans="1:12" ht="15" thickBot="1">
      <c r="A27" s="115" t="s">
        <v>332</v>
      </c>
      <c r="B27" s="117">
        <v>249</v>
      </c>
      <c r="C27" s="118">
        <v>40</v>
      </c>
      <c r="D27" s="115" t="s">
        <v>311</v>
      </c>
      <c r="E27" s="115" t="s">
        <v>310</v>
      </c>
      <c r="F27" s="230" t="s">
        <v>310</v>
      </c>
      <c r="G27" s="293"/>
      <c r="J27" t="str">
        <f t="array" ref="J27">IFERROR(INDEX(A$1:A$99, SMALL(IF($G$1:$G$99="YES", ROW($G$1:$G$99)-MIN(ROW($G$1:$G$99))+1), ROW(25:25))), " ")</f>
        <v xml:space="preserve"> </v>
      </c>
      <c r="K27" t="str">
        <f t="array" ref="K27">IFERROR(INDEX(B$1:B$99, SMALL(IF($G$1:$G$99="YES", ROW($G$1:$G$99)-MIN(ROW($G$1:$G$99))+1), ROW(25:25))), " ")</f>
        <v xml:space="preserve"> </v>
      </c>
      <c r="L27" t="str">
        <f t="array" ref="L27">IFERROR(INDEX(C$1:C$99, SMALL(IF($G$1:$G$99="YES", ROW($G$1:$G$99)-MIN(ROW($G$1:$G$99))+1), ROW(25:25))), " ")</f>
        <v xml:space="preserve"> </v>
      </c>
    </row>
    <row r="28" spans="1:12" ht="15" thickBot="1">
      <c r="A28" s="115" t="s">
        <v>333</v>
      </c>
      <c r="B28" s="117"/>
      <c r="C28" s="118"/>
      <c r="D28" s="115"/>
      <c r="E28" s="115"/>
      <c r="F28" s="230"/>
      <c r="G28" s="293"/>
      <c r="J28" t="str">
        <f t="array" ref="J28">IFERROR(INDEX(A$1:A$99, SMALL(IF($G$1:$G$99="YES", ROW($G$1:$G$99)-MIN(ROW($G$1:$G$99))+1), ROW(26:26))), " ")</f>
        <v xml:space="preserve"> </v>
      </c>
      <c r="K28" t="str">
        <f t="array" ref="K28">IFERROR(INDEX(B$1:B$99, SMALL(IF($G$1:$G$99="YES", ROW($G$1:$G$99)-MIN(ROW($G$1:$G$99))+1), ROW(26:26))), " ")</f>
        <v xml:space="preserve"> </v>
      </c>
      <c r="L28" t="str">
        <f t="array" ref="L28">IFERROR(INDEX(C$1:C$99, SMALL(IF($G$1:$G$99="YES", ROW($G$1:$G$99)-MIN(ROW($G$1:$G$99))+1), ROW(26:26))), " ")</f>
        <v xml:space="preserve"> </v>
      </c>
    </row>
    <row r="29" spans="1:12" ht="15" thickBot="1">
      <c r="A29" s="115" t="s">
        <v>309</v>
      </c>
      <c r="B29" s="117">
        <v>1035</v>
      </c>
      <c r="C29" s="118">
        <v>5.18</v>
      </c>
      <c r="D29" s="115" t="s">
        <v>310</v>
      </c>
      <c r="E29" s="115" t="s">
        <v>310</v>
      </c>
      <c r="F29" s="230" t="s">
        <v>311</v>
      </c>
      <c r="G29" s="293"/>
      <c r="J29" t="str">
        <f t="array" ref="J29">IFERROR(INDEX(A$1:A$99, SMALL(IF($G$1:$G$99="YES", ROW($G$1:$G$99)-MIN(ROW($G$1:$G$99))+1), ROW(27:27))), " ")</f>
        <v xml:space="preserve"> </v>
      </c>
      <c r="K29" t="str">
        <f t="array" ref="K29">IFERROR(INDEX(B$1:B$99, SMALL(IF($G$1:$G$99="YES", ROW($G$1:$G$99)-MIN(ROW($G$1:$G$99))+1), ROW(27:27))), " ")</f>
        <v xml:space="preserve"> </v>
      </c>
      <c r="L29" t="str">
        <f t="array" ref="L29">IFERROR(INDEX(C$1:C$99, SMALL(IF($G$1:$G$99="YES", ROW($G$1:$G$99)-MIN(ROW($G$1:$G$99))+1), ROW(27:27))), " ")</f>
        <v xml:space="preserve"> </v>
      </c>
    </row>
    <row r="30" spans="1:12" ht="15" thickBot="1">
      <c r="A30" s="115" t="s">
        <v>334</v>
      </c>
      <c r="B30" s="117"/>
      <c r="C30" s="118"/>
      <c r="D30" s="115"/>
      <c r="E30" s="115"/>
      <c r="F30" s="230"/>
      <c r="G30" s="293"/>
      <c r="J30" t="str">
        <f t="array" ref="J30">IFERROR(INDEX(A$1:A$99, SMALL(IF($G$1:$G$99="YES", ROW($G$1:$G$99)-MIN(ROW($G$1:$G$99))+1), ROW(28:28))), " ")</f>
        <v xml:space="preserve"> </v>
      </c>
      <c r="K30" t="str">
        <f t="array" ref="K30">IFERROR(INDEX(B$1:B$99, SMALL(IF($G$1:$G$99="YES", ROW($G$1:$G$99)-MIN(ROW($G$1:$G$99))+1), ROW(28:28))), " ")</f>
        <v xml:space="preserve"> </v>
      </c>
      <c r="L30" t="str">
        <f t="array" ref="L30">IFERROR(INDEX(C$1:C$99, SMALL(IF($G$1:$G$99="YES", ROW($G$1:$G$99)-MIN(ROW($G$1:$G$99))+1), ROW(28:28))), " ")</f>
        <v xml:space="preserve"> </v>
      </c>
    </row>
    <row r="31" spans="1:12" ht="15" thickBot="1">
      <c r="A31" s="115" t="s">
        <v>335</v>
      </c>
      <c r="B31" s="117">
        <v>1008</v>
      </c>
      <c r="C31" s="118">
        <v>70</v>
      </c>
      <c r="D31" s="115" t="s">
        <v>310</v>
      </c>
      <c r="E31" s="115" t="s">
        <v>310</v>
      </c>
      <c r="F31" s="230" t="s">
        <v>311</v>
      </c>
      <c r="G31" s="293"/>
      <c r="J31" t="str">
        <f t="array" ref="J31">IFERROR(INDEX(A$1:A$99, SMALL(IF($G$1:$G$99="YES", ROW($G$1:$G$99)-MIN(ROW($G$1:$G$99))+1), ROW(29:29))), " ")</f>
        <v xml:space="preserve"> </v>
      </c>
      <c r="K31" t="str">
        <f t="array" ref="K31">IFERROR(INDEX(B$1:B$99, SMALL(IF($G$1:$G$99="YES", ROW($G$1:$G$99)-MIN(ROW($G$1:$G$99))+1), ROW(29:29))), " ")</f>
        <v xml:space="preserve"> </v>
      </c>
      <c r="L31" t="str">
        <f t="array" ref="L31">IFERROR(INDEX(C$1:C$99, SMALL(IF($G$1:$G$99="YES", ROW($G$1:$G$99)-MIN(ROW($G$1:$G$99))+1), ROW(29:29))), " ")</f>
        <v xml:space="preserve"> </v>
      </c>
    </row>
    <row r="32" spans="1:12" ht="15" thickBot="1">
      <c r="A32" s="115" t="s">
        <v>336</v>
      </c>
      <c r="B32" s="117"/>
      <c r="C32" s="118"/>
      <c r="D32" s="115"/>
      <c r="E32" s="115"/>
      <c r="F32" s="230"/>
      <c r="G32" s="293"/>
      <c r="J32" t="str">
        <f t="array" ref="J32">IFERROR(INDEX(A$1:A$99, SMALL(IF($G$1:$G$99="YES", ROW($G$1:$G$99)-MIN(ROW($G$1:$G$99))+1), ROW(30:30))), " ")</f>
        <v xml:space="preserve"> </v>
      </c>
      <c r="K32" t="str">
        <f t="array" ref="K32">IFERROR(INDEX(B$1:B$99, SMALL(IF($G$1:$G$99="YES", ROW($G$1:$G$99)-MIN(ROW($G$1:$G$99))+1), ROW(30:30))), " ")</f>
        <v xml:space="preserve"> </v>
      </c>
      <c r="L32" t="str">
        <f t="array" ref="L32">IFERROR(INDEX(C$1:C$99, SMALL(IF($G$1:$G$99="YES", ROW($G$1:$G$99)-MIN(ROW($G$1:$G$99))+1), ROW(30:30))), " ")</f>
        <v xml:space="preserve"> </v>
      </c>
    </row>
    <row r="33" spans="1:12" ht="15" thickBot="1">
      <c r="A33" s="115" t="s">
        <v>337</v>
      </c>
      <c r="B33" s="117">
        <v>4525</v>
      </c>
      <c r="C33" s="118">
        <v>372</v>
      </c>
      <c r="D33" s="115" t="s">
        <v>310</v>
      </c>
      <c r="E33" s="115" t="s">
        <v>310</v>
      </c>
      <c r="F33" s="230" t="s">
        <v>311</v>
      </c>
      <c r="G33" s="293"/>
      <c r="J33" t="str">
        <f t="array" ref="J33">IFERROR(INDEX(A$1:A$99, SMALL(IF($G$1:$G$99="YES", ROW($G$1:$G$99)-MIN(ROW($G$1:$G$99))+1), ROW(31:31))), " ")</f>
        <v xml:space="preserve"> </v>
      </c>
      <c r="K33" t="str">
        <f t="array" ref="K33">IFERROR(INDEX(B$1:B$99, SMALL(IF($G$1:$G$99="YES", ROW($G$1:$G$99)-MIN(ROW($G$1:$G$99))+1), ROW(31:31))), " ")</f>
        <v xml:space="preserve"> </v>
      </c>
      <c r="L33" t="str">
        <f t="array" ref="L33">IFERROR(INDEX(C$1:C$99, SMALL(IF($G$1:$G$99="YES", ROW($G$1:$G$99)-MIN(ROW($G$1:$G$99))+1), ROW(31:31))), " ")</f>
        <v xml:space="preserve"> </v>
      </c>
    </row>
    <row r="34" spans="1:12" ht="15" thickBot="1">
      <c r="A34" s="115" t="s">
        <v>338</v>
      </c>
      <c r="B34" s="117"/>
      <c r="C34" s="118"/>
      <c r="D34" s="115"/>
      <c r="E34" s="115"/>
      <c r="F34" s="230"/>
      <c r="G34" s="293"/>
      <c r="J34" t="str">
        <f t="array" ref="J34">IFERROR(INDEX(A$1:A$99, SMALL(IF($G$1:$G$99="YES", ROW($G$1:$G$99)-MIN(ROW($G$1:$G$99))+1), ROW(32:32))), " ")</f>
        <v xml:space="preserve"> </v>
      </c>
      <c r="K34" t="str">
        <f t="array" ref="K34">IFERROR(INDEX(B$1:B$99, SMALL(IF($G$1:$G$99="YES", ROW($G$1:$G$99)-MIN(ROW($G$1:$G$99))+1), ROW(32:32))), " ")</f>
        <v xml:space="preserve"> </v>
      </c>
      <c r="L34" t="str">
        <f t="array" ref="L34">IFERROR(INDEX(C$1:C$99, SMALL(IF($G$1:$G$99="YES", ROW($G$1:$G$99)-MIN(ROW($G$1:$G$99))+1), ROW(32:32))), " ")</f>
        <v xml:space="preserve"> </v>
      </c>
    </row>
    <row r="35" spans="1:12" ht="15" thickBot="1">
      <c r="A35" s="115" t="s">
        <v>339</v>
      </c>
      <c r="B35" s="117">
        <v>647</v>
      </c>
      <c r="C35" s="118">
        <v>29</v>
      </c>
      <c r="D35" s="115" t="s">
        <v>311</v>
      </c>
      <c r="E35" s="115" t="s">
        <v>310</v>
      </c>
      <c r="F35" s="230" t="s">
        <v>310</v>
      </c>
      <c r="G35" s="293"/>
      <c r="J35" t="str">
        <f t="array" ref="J35">IFERROR(INDEX(A$1:A$99, SMALL(IF($G$1:$G$99="YES", ROW($G$1:$G$99)-MIN(ROW($G$1:$G$99))+1), ROW(33:33))), " ")</f>
        <v xml:space="preserve"> </v>
      </c>
      <c r="K35" t="str">
        <f t="array" ref="K35">IFERROR(INDEX(B$1:B$99, SMALL(IF($G$1:$G$99="YES", ROW($G$1:$G$99)-MIN(ROW($G$1:$G$99))+1), ROW(33:33))), " ")</f>
        <v xml:space="preserve"> </v>
      </c>
      <c r="L35" t="str">
        <f t="array" ref="L35">IFERROR(INDEX(C$1:C$99, SMALL(IF($G$1:$G$99="YES", ROW($G$1:$G$99)-MIN(ROW($G$1:$G$99))+1), ROW(33:33))), " ")</f>
        <v xml:space="preserve"> </v>
      </c>
    </row>
    <row r="36" spans="1:12" ht="15" thickBot="1">
      <c r="A36" s="115" t="s">
        <v>340</v>
      </c>
      <c r="B36" s="117"/>
      <c r="C36" s="118"/>
      <c r="D36" s="115"/>
      <c r="E36" s="115"/>
      <c r="F36" s="230"/>
      <c r="G36" s="293"/>
      <c r="J36" t="str">
        <f t="array" ref="J36">IFERROR(INDEX(A$1:A$99, SMALL(IF($G$1:$G$99="YES", ROW($G$1:$G$99)-MIN(ROW($G$1:$G$99))+1), ROW(34:34))), " ")</f>
        <v xml:space="preserve"> </v>
      </c>
      <c r="K36" t="str">
        <f t="array" ref="K36">IFERROR(INDEX(B$1:B$99, SMALL(IF($G$1:$G$99="YES", ROW($G$1:$G$99)-MIN(ROW($G$1:$G$99))+1), ROW(34:34))), " ")</f>
        <v xml:space="preserve"> </v>
      </c>
      <c r="L36" t="str">
        <f t="array" ref="L36">IFERROR(INDEX(C$1:C$99, SMALL(IF($G$1:$G$99="YES", ROW($G$1:$G$99)-MIN(ROW($G$1:$G$99))+1), ROW(34:34))), " ")</f>
        <v xml:space="preserve"> </v>
      </c>
    </row>
    <row r="37" spans="1:12" ht="15" thickBot="1">
      <c r="A37" s="115" t="s">
        <v>341</v>
      </c>
      <c r="B37" s="117">
        <v>260</v>
      </c>
      <c r="C37" s="118">
        <v>30</v>
      </c>
      <c r="D37" s="115" t="s">
        <v>311</v>
      </c>
      <c r="E37" s="115" t="s">
        <v>310</v>
      </c>
      <c r="F37" s="230" t="s">
        <v>310</v>
      </c>
      <c r="G37" s="293"/>
      <c r="J37" t="str">
        <f t="array" ref="J37">IFERROR(INDEX(A$1:A$99, SMALL(IF($G$1:$G$99="YES", ROW($G$1:$G$99)-MIN(ROW($G$1:$G$99))+1), ROW(35:35))), " ")</f>
        <v xml:space="preserve"> </v>
      </c>
      <c r="K37" t="str">
        <f t="array" ref="K37">IFERROR(INDEX(B$1:B$99, SMALL(IF($G$1:$G$99="YES", ROW($G$1:$G$99)-MIN(ROW($G$1:$G$99))+1), ROW(35:35))), " ")</f>
        <v xml:space="preserve"> </v>
      </c>
      <c r="L37" t="str">
        <f t="array" ref="L37">IFERROR(INDEX(C$1:C$99, SMALL(IF($G$1:$G$99="YES", ROW($G$1:$G$99)-MIN(ROW($G$1:$G$99))+1), ROW(35:35))), " ")</f>
        <v xml:space="preserve"> </v>
      </c>
    </row>
    <row r="38" spans="1:12" ht="15" thickBot="1">
      <c r="A38" s="115" t="s">
        <v>342</v>
      </c>
      <c r="B38" s="117"/>
      <c r="C38" s="118"/>
      <c r="D38" s="115"/>
      <c r="E38" s="115"/>
      <c r="F38" s="230"/>
      <c r="G38" s="293"/>
      <c r="J38" t="str">
        <f t="array" ref="J38">IFERROR(INDEX(A$1:A$99, SMALL(IF($G$1:$G$99="YES", ROW($G$1:$G$99)-MIN(ROW($G$1:$G$99))+1), ROW(36:36))), " ")</f>
        <v xml:space="preserve"> </v>
      </c>
      <c r="K38" t="str">
        <f t="array" ref="K38">IFERROR(INDEX(B$1:B$99, SMALL(IF($G$1:$G$99="YES", ROW($G$1:$G$99)-MIN(ROW($G$1:$G$99))+1), ROW(36:36))), " ")</f>
        <v xml:space="preserve"> </v>
      </c>
      <c r="L38" t="str">
        <f t="array" ref="L38">IFERROR(INDEX(C$1:C$99, SMALL(IF($G$1:$G$99="YES", ROW($G$1:$G$99)-MIN(ROW($G$1:$G$99))+1), ROW(36:36))), " ")</f>
        <v xml:space="preserve"> </v>
      </c>
    </row>
    <row r="39" spans="1:12" ht="15" thickBot="1">
      <c r="A39" s="115" t="s">
        <v>343</v>
      </c>
      <c r="B39" s="117">
        <v>764</v>
      </c>
      <c r="C39" s="118">
        <v>21</v>
      </c>
      <c r="D39" s="115" t="s">
        <v>311</v>
      </c>
      <c r="E39" s="115" t="s">
        <v>310</v>
      </c>
      <c r="F39" s="230" t="s">
        <v>310</v>
      </c>
      <c r="G39" s="293"/>
      <c r="J39" t="str">
        <f t="array" ref="J39">IFERROR(INDEX(A$1:A$99, SMALL(IF($G$1:$G$99="YES", ROW($G$1:$G$99)-MIN(ROW($G$1:$G$99))+1), ROW(37:37))), " ")</f>
        <v xml:space="preserve"> </v>
      </c>
      <c r="K39" t="str">
        <f t="array" ref="K39">IFERROR(INDEX(B$1:B$99, SMALL(IF($G$1:$G$99="YES", ROW($G$1:$G$99)-MIN(ROW($G$1:$G$99))+1), ROW(37:37))), " ")</f>
        <v xml:space="preserve"> </v>
      </c>
      <c r="L39" t="str">
        <f t="array" ref="L39">IFERROR(INDEX(C$1:C$99, SMALL(IF($G$1:$G$99="YES", ROW($G$1:$G$99)-MIN(ROW($G$1:$G$99))+1), ROW(37:37))), " ")</f>
        <v xml:space="preserve"> </v>
      </c>
    </row>
    <row r="40" spans="1:12" ht="15" thickBot="1">
      <c r="A40" s="115" t="s">
        <v>344</v>
      </c>
      <c r="B40" s="117"/>
      <c r="C40" s="118"/>
      <c r="D40" s="115"/>
      <c r="E40" s="115"/>
      <c r="F40" s="230"/>
      <c r="G40" s="293"/>
      <c r="J40" t="str">
        <f t="array" ref="J40">IFERROR(INDEX(A$1:A$99, SMALL(IF($G$1:$G$99="YES", ROW($G$1:$G$99)-MIN(ROW($G$1:$G$99))+1), ROW(38:38))), " ")</f>
        <v xml:space="preserve"> </v>
      </c>
      <c r="K40" t="str">
        <f t="array" ref="K40">IFERROR(INDEX(B$1:B$99, SMALL(IF($G$1:$G$99="YES", ROW($G$1:$G$99)-MIN(ROW($G$1:$G$99))+1), ROW(38:38))), " ")</f>
        <v xml:space="preserve"> </v>
      </c>
      <c r="L40" t="str">
        <f t="array" ref="L40">IFERROR(INDEX(C$1:C$99, SMALL(IF($G$1:$G$99="YES", ROW($G$1:$G$99)-MIN(ROW($G$1:$G$99))+1), ROW(38:38))), " ")</f>
        <v xml:space="preserve"> </v>
      </c>
    </row>
    <row r="41" spans="1:12" ht="15" thickBot="1">
      <c r="A41" s="115" t="s">
        <v>309</v>
      </c>
      <c r="B41" s="117">
        <v>3266</v>
      </c>
      <c r="C41" s="118">
        <v>16.329999999999998</v>
      </c>
      <c r="D41" s="115" t="s">
        <v>310</v>
      </c>
      <c r="E41" s="115" t="s">
        <v>310</v>
      </c>
      <c r="F41" s="230" t="s">
        <v>311</v>
      </c>
      <c r="G41" s="293"/>
      <c r="J41" t="str">
        <f t="array" ref="J41">IFERROR(INDEX(A$1:A$99, SMALL(IF($G$1:$G$99="YES", ROW($G$1:$G$99)-MIN(ROW($G$1:$G$99))+1), ROW(39:39))), " ")</f>
        <v xml:space="preserve"> </v>
      </c>
      <c r="K41" t="str">
        <f t="array" ref="K41">IFERROR(INDEX(B$1:B$99, SMALL(IF($G$1:$G$99="YES", ROW($G$1:$G$99)-MIN(ROW($G$1:$G$99))+1), ROW(39:39))), " ")</f>
        <v xml:space="preserve"> </v>
      </c>
      <c r="L41" t="str">
        <f t="array" ref="L41">IFERROR(INDEX(C$1:C$99, SMALL(IF($G$1:$G$99="YES", ROW($G$1:$G$99)-MIN(ROW($G$1:$G$99))+1), ROW(39:39))), " ")</f>
        <v xml:space="preserve"> </v>
      </c>
    </row>
    <row r="42" spans="1:12" ht="15" thickBot="1">
      <c r="A42" s="115" t="s">
        <v>345</v>
      </c>
      <c r="B42" s="117"/>
      <c r="C42" s="118"/>
      <c r="D42" s="115"/>
      <c r="E42" s="115"/>
      <c r="F42" s="230"/>
      <c r="G42" s="293"/>
      <c r="J42" t="str">
        <f t="array" ref="J42">IFERROR(INDEX(A$1:A$99, SMALL(IF($G$1:$G$99="YES", ROW($G$1:$G$99)-MIN(ROW($G$1:$G$99))+1), ROW(40:40))), " ")</f>
        <v xml:space="preserve"> </v>
      </c>
      <c r="K42" t="str">
        <f t="array" ref="K42">IFERROR(INDEX(B$1:B$99, SMALL(IF($G$1:$G$99="YES", ROW($G$1:$G$99)-MIN(ROW($G$1:$G$99))+1), ROW(40:40))), " ")</f>
        <v xml:space="preserve"> </v>
      </c>
      <c r="L42" t="str">
        <f t="array" ref="L42">IFERROR(INDEX(C$1:C$99, SMALL(IF($G$1:$G$99="YES", ROW($G$1:$G$99)-MIN(ROW($G$1:$G$99))+1), ROW(40:40))), " ")</f>
        <v xml:space="preserve"> </v>
      </c>
    </row>
    <row r="43" spans="1:12" ht="15" thickBot="1">
      <c r="A43" s="115" t="s">
        <v>346</v>
      </c>
      <c r="B43" s="117">
        <v>483</v>
      </c>
      <c r="C43" s="118">
        <v>45</v>
      </c>
      <c r="D43" s="115" t="s">
        <v>310</v>
      </c>
      <c r="E43" s="115" t="s">
        <v>310</v>
      </c>
      <c r="F43" s="230" t="s">
        <v>311</v>
      </c>
      <c r="G43" s="293"/>
      <c r="J43" t="str">
        <f t="array" ref="J43">IFERROR(INDEX(A$1:A$99, SMALL(IF($G$1:$G$99="YES", ROW($G$1:$G$99)-MIN(ROW($G$1:$G$99))+1), ROW(41:41))), " ")</f>
        <v xml:space="preserve"> </v>
      </c>
      <c r="K43" t="str">
        <f t="array" ref="K43">IFERROR(INDEX(B$1:B$99, SMALL(IF($G$1:$G$99="YES", ROW($G$1:$G$99)-MIN(ROW($G$1:$G$99))+1), ROW(41:41))), " ")</f>
        <v xml:space="preserve"> </v>
      </c>
      <c r="L43" t="str">
        <f t="array" ref="L43">IFERROR(INDEX(C$1:C$99, SMALL(IF($G$1:$G$99="YES", ROW($G$1:$G$99)-MIN(ROW($G$1:$G$99))+1), ROW(41:41))), " ")</f>
        <v xml:space="preserve"> </v>
      </c>
    </row>
    <row r="44" spans="1:12" ht="15" thickBot="1">
      <c r="A44" s="115" t="s">
        <v>347</v>
      </c>
      <c r="B44" s="117"/>
      <c r="C44" s="118"/>
      <c r="D44" s="115"/>
      <c r="E44" s="115"/>
      <c r="F44" s="230"/>
      <c r="G44" s="293"/>
      <c r="J44" t="str">
        <f t="array" ref="J44">IFERROR(INDEX(A$1:A$99, SMALL(IF($G$1:$G$99="YES", ROW($G$1:$G$99)-MIN(ROW($G$1:$G$99))+1), ROW(42:42))), " ")</f>
        <v xml:space="preserve"> </v>
      </c>
      <c r="K44" t="str">
        <f t="array" ref="K44">IFERROR(INDEX(B$1:B$99, SMALL(IF($G$1:$G$99="YES", ROW($G$1:$G$99)-MIN(ROW($G$1:$G$99))+1), ROW(42:42))), " ")</f>
        <v xml:space="preserve"> </v>
      </c>
      <c r="L44" t="str">
        <f t="array" ref="L44">IFERROR(INDEX(C$1:C$99, SMALL(IF($G$1:$G$99="YES", ROW($G$1:$G$99)-MIN(ROW($G$1:$G$99))+1), ROW(42:42))), " ")</f>
        <v xml:space="preserve"> </v>
      </c>
    </row>
    <row r="45" spans="1:12" ht="15" thickBot="1">
      <c r="A45" s="115" t="s">
        <v>348</v>
      </c>
      <c r="B45" s="117">
        <v>1973</v>
      </c>
      <c r="C45" s="118">
        <v>39</v>
      </c>
      <c r="D45" s="115" t="s">
        <v>311</v>
      </c>
      <c r="E45" s="115" t="s">
        <v>310</v>
      </c>
      <c r="F45" s="230" t="s">
        <v>310</v>
      </c>
      <c r="G45" s="293"/>
      <c r="J45" t="str">
        <f t="array" ref="J45">IFERROR(INDEX(A$1:A$99, SMALL(IF($G$1:$G$99="YES", ROW($G$1:$G$99)-MIN(ROW($G$1:$G$99))+1), ROW(43:43))), " ")</f>
        <v xml:space="preserve"> </v>
      </c>
      <c r="K45" t="str">
        <f t="array" ref="K45">IFERROR(INDEX(B$1:B$99, SMALL(IF($G$1:$G$99="YES", ROW($G$1:$G$99)-MIN(ROW($G$1:$G$99))+1), ROW(43:43))), " ")</f>
        <v xml:space="preserve"> </v>
      </c>
      <c r="L45" t="str">
        <f t="array" ref="L45">IFERROR(INDEX(C$1:C$99, SMALL(IF($G$1:$G$99="YES", ROW($G$1:$G$99)-MIN(ROW($G$1:$G$99))+1), ROW(43:43))), " ")</f>
        <v xml:space="preserve"> </v>
      </c>
    </row>
    <row r="46" spans="1:12" ht="15" thickBot="1">
      <c r="A46" s="115" t="s">
        <v>349</v>
      </c>
      <c r="B46" s="117"/>
      <c r="C46" s="118"/>
      <c r="D46" s="115"/>
      <c r="E46" s="115"/>
      <c r="F46" s="230"/>
      <c r="G46" s="293"/>
      <c r="J46" t="str">
        <f t="array" ref="J46">IFERROR(INDEX(A$1:A$99, SMALL(IF($G$1:$G$99="YES", ROW($G$1:$G$99)-MIN(ROW($G$1:$G$99))+1), ROW(44:44))), " ")</f>
        <v xml:space="preserve"> </v>
      </c>
      <c r="K46" t="str">
        <f t="array" ref="K46">IFERROR(INDEX(B$1:B$99, SMALL(IF($G$1:$G$99="YES", ROW($G$1:$G$99)-MIN(ROW($G$1:$G$99))+1), ROW(44:44))), " ")</f>
        <v xml:space="preserve"> </v>
      </c>
      <c r="L46" t="str">
        <f t="array" ref="L46">IFERROR(INDEX(C$1:C$99, SMALL(IF($G$1:$G$99="YES", ROW($G$1:$G$99)-MIN(ROW($G$1:$G$99))+1), ROW(44:44))), " ")</f>
        <v xml:space="preserve"> </v>
      </c>
    </row>
    <row r="47" spans="1:12" ht="15" thickBot="1">
      <c r="A47" s="115" t="s">
        <v>191</v>
      </c>
      <c r="B47" s="117">
        <v>400</v>
      </c>
      <c r="C47" s="118">
        <v>29</v>
      </c>
      <c r="D47" s="115" t="s">
        <v>311</v>
      </c>
      <c r="E47" s="115" t="s">
        <v>310</v>
      </c>
      <c r="F47" s="230" t="s">
        <v>310</v>
      </c>
      <c r="G47" s="293"/>
      <c r="J47" t="str">
        <f t="array" ref="J47">IFERROR(INDEX(A$1:A$99, SMALL(IF($G$1:$G$99="YES", ROW($G$1:$G$99)-MIN(ROW($G$1:$G$99))+1), ROW(45:45))), " ")</f>
        <v xml:space="preserve"> </v>
      </c>
      <c r="K47" t="str">
        <f t="array" ref="K47">IFERROR(INDEX(B$1:B$99, SMALL(IF($G$1:$G$99="YES", ROW($G$1:$G$99)-MIN(ROW($G$1:$G$99))+1), ROW(45:45))), " ")</f>
        <v xml:space="preserve"> </v>
      </c>
      <c r="L47" t="str">
        <f t="array" ref="L47">IFERROR(INDEX(C$1:C$99, SMALL(IF($G$1:$G$99="YES", ROW($G$1:$G$99)-MIN(ROW($G$1:$G$99))+1), ROW(45:45))), " ")</f>
        <v xml:space="preserve"> </v>
      </c>
    </row>
    <row r="48" spans="1:12" ht="15" thickBot="1">
      <c r="A48" s="115" t="s">
        <v>350</v>
      </c>
      <c r="B48" s="117"/>
      <c r="C48" s="118"/>
      <c r="D48" s="115"/>
      <c r="E48" s="115"/>
      <c r="F48" s="230"/>
      <c r="G48" s="293"/>
      <c r="J48" t="str">
        <f t="array" ref="J48">IFERROR(INDEX(A$1:A$99, SMALL(IF($G$1:$G$99="YES", ROW($G$1:$G$99)-MIN(ROW($G$1:$G$99))+1), ROW(46:46))), " ")</f>
        <v xml:space="preserve"> </v>
      </c>
      <c r="K48" t="str">
        <f t="array" ref="K48">IFERROR(INDEX(B$1:B$99, SMALL(IF($G$1:$G$99="YES", ROW($G$1:$G$99)-MIN(ROW($G$1:$G$99))+1), ROW(46:46))), " ")</f>
        <v xml:space="preserve"> </v>
      </c>
      <c r="L48" t="str">
        <f t="array" ref="L48">IFERROR(INDEX(C$1:C$99, SMALL(IF($G$1:$G$99="YES", ROW($G$1:$G$99)-MIN(ROW($G$1:$G$99))+1), ROW(46:46))), " ")</f>
        <v xml:space="preserve"> </v>
      </c>
    </row>
    <row r="49" spans="1:12" ht="15" thickBot="1">
      <c r="A49" s="115" t="s">
        <v>351</v>
      </c>
      <c r="B49" s="117">
        <v>409</v>
      </c>
      <c r="C49" s="118">
        <v>30</v>
      </c>
      <c r="D49" s="115" t="s">
        <v>311</v>
      </c>
      <c r="E49" s="115" t="s">
        <v>310</v>
      </c>
      <c r="F49" s="230" t="s">
        <v>310</v>
      </c>
      <c r="G49" s="293"/>
      <c r="J49" t="str">
        <f t="array" ref="J49">IFERROR(INDEX(A$1:A$99, SMALL(IF($G$1:$G$99="YES", ROW($G$1:$G$99)-MIN(ROW($G$1:$G$99))+1), ROW(47:47))), " ")</f>
        <v xml:space="preserve"> </v>
      </c>
      <c r="K49" t="str">
        <f t="array" ref="K49">IFERROR(INDEX(B$1:B$99, SMALL(IF($G$1:$G$99="YES", ROW($G$1:$G$99)-MIN(ROW($G$1:$G$99))+1), ROW(47:47))), " ")</f>
        <v xml:space="preserve"> </v>
      </c>
      <c r="L49" t="str">
        <f t="array" ref="L49">IFERROR(INDEX(C$1:C$99, SMALL(IF($G$1:$G$99="YES", ROW($G$1:$G$99)-MIN(ROW($G$1:$G$99))+1), ROW(47:47))), " ")</f>
        <v xml:space="preserve"> </v>
      </c>
    </row>
    <row r="50" spans="1:12" ht="15" thickBot="1">
      <c r="A50" s="115" t="s">
        <v>352</v>
      </c>
      <c r="B50" s="117"/>
      <c r="C50" s="118"/>
      <c r="D50" s="115"/>
      <c r="E50" s="115"/>
      <c r="F50" s="230"/>
      <c r="G50" s="293"/>
      <c r="J50" t="str">
        <f t="array" ref="J50">IFERROR(INDEX(A$1:A$99, SMALL(IF($G$1:$G$99="YES", ROW($G$1:$G$99)-MIN(ROW($G$1:$G$99))+1), ROW(48:48))), " ")</f>
        <v xml:space="preserve"> </v>
      </c>
      <c r="K50" t="str">
        <f t="array" ref="K50">IFERROR(INDEX(B$1:B$99, SMALL(IF($G$1:$G$99="YES", ROW($G$1:$G$99)-MIN(ROW($G$1:$G$99))+1), ROW(48:48))), " ")</f>
        <v xml:space="preserve"> </v>
      </c>
      <c r="L50" t="str">
        <f t="array" ref="L50">IFERROR(INDEX(C$1:C$99, SMALL(IF($G$1:$G$99="YES", ROW($G$1:$G$99)-MIN(ROW($G$1:$G$99))+1), ROW(48:48))), " ")</f>
        <v xml:space="preserve"> </v>
      </c>
    </row>
    <row r="51" spans="1:12" ht="15" thickBot="1">
      <c r="A51" s="115" t="s">
        <v>348</v>
      </c>
      <c r="B51" s="117">
        <v>653</v>
      </c>
      <c r="C51" s="118">
        <v>44</v>
      </c>
      <c r="D51" s="115" t="s">
        <v>311</v>
      </c>
      <c r="E51" s="115" t="s">
        <v>310</v>
      </c>
      <c r="F51" s="230" t="s">
        <v>310</v>
      </c>
      <c r="G51" s="293"/>
      <c r="J51" t="str">
        <f t="array" ref="J51">IFERROR(INDEX(A$1:A$99, SMALL(IF($G$1:$G$99="YES", ROW($G$1:$G$99)-MIN(ROW($G$1:$G$99))+1), ROW(49:49))), " ")</f>
        <v xml:space="preserve"> </v>
      </c>
      <c r="K51" t="str">
        <f t="array" ref="K51">IFERROR(INDEX(B$1:B$99, SMALL(IF($G$1:$G$99="YES", ROW($G$1:$G$99)-MIN(ROW($G$1:$G$99))+1), ROW(49:49))), " ")</f>
        <v xml:space="preserve"> </v>
      </c>
      <c r="L51" t="str">
        <f t="array" ref="L51">IFERROR(INDEX(C$1:C$99, SMALL(IF($G$1:$G$99="YES", ROW($G$1:$G$99)-MIN(ROW($G$1:$G$99))+1), ROW(49:49))), " ")</f>
        <v xml:space="preserve"> </v>
      </c>
    </row>
    <row r="52" spans="1:12" ht="15" thickBot="1">
      <c r="A52" s="115" t="s">
        <v>353</v>
      </c>
      <c r="B52" s="117"/>
      <c r="C52" s="118"/>
      <c r="D52" s="115"/>
      <c r="E52" s="115"/>
      <c r="F52" s="230"/>
      <c r="G52" s="293"/>
      <c r="J52" t="str">
        <f t="array" ref="J52">IFERROR(INDEX(A$1:A$99, SMALL(IF($G$1:$G$99="YES", ROW($G$1:$G$99)-MIN(ROW($G$1:$G$99))+1), ROW(50:50))), " ")</f>
        <v xml:space="preserve"> </v>
      </c>
      <c r="K52" t="str">
        <f t="array" ref="K52">IFERROR(INDEX(B$1:B$99, SMALL(IF($G$1:$G$99="YES", ROW($G$1:$G$99)-MIN(ROW($G$1:$G$99))+1), ROW(50:50))), " ")</f>
        <v xml:space="preserve"> </v>
      </c>
      <c r="L52" t="str">
        <f t="array" ref="L52">IFERROR(INDEX(C$1:C$99, SMALL(IF($G$1:$G$99="YES", ROW($G$1:$G$99)-MIN(ROW($G$1:$G$99))+1), ROW(50:50))), " ")</f>
        <v xml:space="preserve"> </v>
      </c>
    </row>
    <row r="53" spans="1:12" ht="15" thickBot="1">
      <c r="A53" s="115" t="s">
        <v>309</v>
      </c>
      <c r="B53" s="117">
        <v>1403</v>
      </c>
      <c r="C53" s="118">
        <v>7.02</v>
      </c>
      <c r="D53" s="115" t="s">
        <v>310</v>
      </c>
      <c r="E53" s="115" t="s">
        <v>310</v>
      </c>
      <c r="F53" s="230" t="s">
        <v>311</v>
      </c>
      <c r="G53" s="293"/>
      <c r="J53" t="str">
        <f t="array" ref="J53">IFERROR(INDEX(A$1:A$99, SMALL(IF($G$1:$G$99="YES", ROW($G$1:$G$99)-MIN(ROW($G$1:$G$99))+1), ROW(51:51))), " ")</f>
        <v xml:space="preserve"> </v>
      </c>
      <c r="K53" t="str">
        <f t="array" ref="K53">IFERROR(INDEX(B$1:B$99, SMALL(IF($G$1:$G$99="YES", ROW($G$1:$G$99)-MIN(ROW($G$1:$G$99))+1), ROW(51:51))), " ")</f>
        <v xml:space="preserve"> </v>
      </c>
      <c r="L53" t="str">
        <f t="array" ref="L53">IFERROR(INDEX(C$1:C$99, SMALL(IF($G$1:$G$99="YES", ROW($G$1:$G$99)-MIN(ROW($G$1:$G$99))+1), ROW(51:51))), " ")</f>
        <v xml:space="preserve"> </v>
      </c>
    </row>
    <row r="54" spans="1:12" ht="15" thickBot="1">
      <c r="A54" s="115" t="s">
        <v>354</v>
      </c>
      <c r="B54" s="117"/>
      <c r="C54" s="118"/>
      <c r="D54" s="115"/>
      <c r="E54" s="115"/>
      <c r="F54" s="230"/>
      <c r="G54" s="293"/>
      <c r="J54" t="str">
        <f t="array" ref="J54">IFERROR(INDEX(A$1:A$99, SMALL(IF($G$1:$G$99="YES", ROW($G$1:$G$99)-MIN(ROW($G$1:$G$99))+1), ROW(52:52))), " ")</f>
        <v xml:space="preserve"> </v>
      </c>
      <c r="K54" t="str">
        <f t="array" ref="K54">IFERROR(INDEX(B$1:B$99, SMALL(IF($G$1:$G$99="YES", ROW($G$1:$G$99)-MIN(ROW($G$1:$G$99))+1), ROW(52:52))), " ")</f>
        <v xml:space="preserve"> </v>
      </c>
      <c r="L54" t="str">
        <f t="array" ref="L54">IFERROR(INDEX(C$1:C$99, SMALL(IF($G$1:$G$99="YES", ROW($G$1:$G$99)-MIN(ROW($G$1:$G$99))+1), ROW(52:52))), " ")</f>
        <v xml:space="preserve"> </v>
      </c>
    </row>
    <row r="55" spans="1:12" ht="15" thickBot="1">
      <c r="A55" s="115" t="s">
        <v>241</v>
      </c>
      <c r="B55" s="117">
        <v>18242</v>
      </c>
      <c r="C55" s="118">
        <v>501</v>
      </c>
      <c r="D55" s="115" t="s">
        <v>310</v>
      </c>
      <c r="E55" s="115" t="s">
        <v>310</v>
      </c>
      <c r="F55" s="230" t="s">
        <v>311</v>
      </c>
      <c r="G55" s="293"/>
      <c r="J55" t="str">
        <f t="array" ref="J55">IFERROR(INDEX(A$1:A$99, SMALL(IF($G$1:$G$99="YES", ROW($G$1:$G$99)-MIN(ROW($G$1:$G$99))+1), ROW(53:53))), " ")</f>
        <v xml:space="preserve"> </v>
      </c>
      <c r="K55" t="str">
        <f t="array" ref="K55">IFERROR(INDEX(B$1:B$99, SMALL(IF($G$1:$G$99="YES", ROW($G$1:$G$99)-MIN(ROW($G$1:$G$99))+1), ROW(53:53))), " ")</f>
        <v xml:space="preserve"> </v>
      </c>
      <c r="L55" t="str">
        <f t="array" ref="L55">IFERROR(INDEX(C$1:C$99, SMALL(IF($G$1:$G$99="YES", ROW($G$1:$G$99)-MIN(ROW($G$1:$G$99))+1), ROW(53:53))), " ")</f>
        <v xml:space="preserve"> </v>
      </c>
    </row>
    <row r="56" spans="1:12" ht="15" thickBot="1">
      <c r="A56" s="115" t="s">
        <v>355</v>
      </c>
      <c r="B56" s="117"/>
      <c r="C56" s="118"/>
      <c r="D56" s="115"/>
      <c r="E56" s="115"/>
      <c r="F56" s="230"/>
      <c r="G56" s="293"/>
      <c r="J56" t="str">
        <f t="array" ref="J56">IFERROR(INDEX(A$1:A$99, SMALL(IF($G$1:$G$99="YES", ROW($G$1:$G$99)-MIN(ROW($G$1:$G$99))+1), ROW(54:54))), " ")</f>
        <v xml:space="preserve"> </v>
      </c>
      <c r="K56" t="str">
        <f t="array" ref="K56">IFERROR(INDEX(B$1:B$99, SMALL(IF($G$1:$G$99="YES", ROW($G$1:$G$99)-MIN(ROW($G$1:$G$99))+1), ROW(54:54))), " ")</f>
        <v xml:space="preserve"> </v>
      </c>
      <c r="L56" t="str">
        <f t="array" ref="L56">IFERROR(INDEX(C$1:C$99, SMALL(IF($G$1:$G$99="YES", ROW($G$1:$G$99)-MIN(ROW($G$1:$G$99))+1), ROW(54:54))), " ")</f>
        <v xml:space="preserve"> </v>
      </c>
    </row>
    <row r="57" spans="1:12" ht="15" thickBot="1">
      <c r="A57" s="115" t="s">
        <v>170</v>
      </c>
      <c r="B57" s="117">
        <v>476</v>
      </c>
      <c r="C57" s="118">
        <v>35</v>
      </c>
      <c r="D57" s="115" t="s">
        <v>311</v>
      </c>
      <c r="E57" s="115" t="s">
        <v>310</v>
      </c>
      <c r="F57" s="230" t="s">
        <v>310</v>
      </c>
      <c r="G57" s="293"/>
      <c r="J57" t="str">
        <f t="array" ref="J57">IFERROR(INDEX(A$1:A$99, SMALL(IF($G$1:$G$99="YES", ROW($G$1:$G$99)-MIN(ROW($G$1:$G$99))+1), ROW(55:55))), " ")</f>
        <v xml:space="preserve"> </v>
      </c>
      <c r="K57" t="str">
        <f t="array" ref="K57">IFERROR(INDEX(B$1:B$99, SMALL(IF($G$1:$G$99="YES", ROW($G$1:$G$99)-MIN(ROW($G$1:$G$99))+1), ROW(55:55))), " ")</f>
        <v xml:space="preserve"> </v>
      </c>
      <c r="L57" t="str">
        <f t="array" ref="L57">IFERROR(INDEX(C$1:C$99, SMALL(IF($G$1:$G$99="YES", ROW($G$1:$G$99)-MIN(ROW($G$1:$G$99))+1), ROW(55:55))), " ")</f>
        <v xml:space="preserve"> </v>
      </c>
    </row>
    <row r="58" spans="1:12" ht="15" thickBot="1">
      <c r="A58" s="115" t="s">
        <v>356</v>
      </c>
      <c r="B58" s="117"/>
      <c r="C58" s="118"/>
      <c r="D58" s="115"/>
      <c r="E58" s="115"/>
      <c r="F58" s="230"/>
      <c r="G58" s="293"/>
      <c r="J58" t="str">
        <f t="array" ref="J58">IFERROR(INDEX(A$1:A$99, SMALL(IF($G$1:$G$99="YES", ROW($G$1:$G$99)-MIN(ROW($G$1:$G$99))+1), ROW(56:56))), " ")</f>
        <v xml:space="preserve"> </v>
      </c>
      <c r="K58" t="str">
        <f t="array" ref="K58">IFERROR(INDEX(B$1:B$99, SMALL(IF($G$1:$G$99="YES", ROW($G$1:$G$99)-MIN(ROW($G$1:$G$99))+1), ROW(56:56))), " ")</f>
        <v xml:space="preserve"> </v>
      </c>
      <c r="L58" t="str">
        <f t="array" ref="L58">IFERROR(INDEX(C$1:C$99, SMALL(IF($G$1:$G$99="YES", ROW($G$1:$G$99)-MIN(ROW($G$1:$G$99))+1), ROW(56:56))), " ")</f>
        <v xml:space="preserve"> </v>
      </c>
    </row>
    <row r="59" spans="1:12" ht="15" thickBot="1">
      <c r="A59" s="115" t="s">
        <v>357</v>
      </c>
      <c r="B59" s="117">
        <v>145751.20000000001</v>
      </c>
      <c r="C59" s="118">
        <v>839</v>
      </c>
      <c r="D59" s="115" t="s">
        <v>311</v>
      </c>
      <c r="E59" s="115" t="s">
        <v>310</v>
      </c>
      <c r="F59" s="230" t="s">
        <v>310</v>
      </c>
      <c r="G59" s="293"/>
      <c r="J59" t="str">
        <f t="array" ref="J59">IFERROR(INDEX(A$1:A$99, SMALL(IF($G$1:$G$99="YES", ROW($G$1:$G$99)-MIN(ROW($G$1:$G$99))+1), ROW(57:57))), " ")</f>
        <v xml:space="preserve"> </v>
      </c>
      <c r="K59" t="str">
        <f t="array" ref="K59">IFERROR(INDEX(B$1:B$99, SMALL(IF($G$1:$G$99="YES", ROW($G$1:$G$99)-MIN(ROW($G$1:$G$99))+1), ROW(57:57))), " ")</f>
        <v xml:space="preserve"> </v>
      </c>
      <c r="L59" t="str">
        <f t="array" ref="L59">IFERROR(INDEX(C$1:C$99, SMALL(IF($G$1:$G$99="YES", ROW($G$1:$G$99)-MIN(ROW($G$1:$G$99))+1), ROW(57:57))), " ")</f>
        <v xml:space="preserve"> </v>
      </c>
    </row>
    <row r="60" spans="1:12" ht="15" thickBot="1">
      <c r="A60" s="115" t="s">
        <v>358</v>
      </c>
      <c r="B60" s="117"/>
      <c r="C60" s="118"/>
      <c r="D60" s="115"/>
      <c r="E60" s="115"/>
      <c r="F60" s="230"/>
      <c r="G60" s="293"/>
      <c r="J60" t="str">
        <f t="array" ref="J60">IFERROR(INDEX(A$1:A$99, SMALL(IF($G$1:$G$99="YES", ROW($G$1:$G$99)-MIN(ROW($G$1:$G$99))+1), ROW(58:58))), " ")</f>
        <v xml:space="preserve"> </v>
      </c>
      <c r="K60" t="str">
        <f t="array" ref="K60">IFERROR(INDEX(B$1:B$99, SMALL(IF($G$1:$G$99="YES", ROW($G$1:$G$99)-MIN(ROW($G$1:$G$99))+1), ROW(58:58))), " ")</f>
        <v xml:space="preserve"> </v>
      </c>
      <c r="L60" t="str">
        <f t="array" ref="L60">IFERROR(INDEX(C$1:C$99, SMALL(IF($G$1:$G$99="YES", ROW($G$1:$G$99)-MIN(ROW($G$1:$G$99))+1), ROW(58:58))), " ")</f>
        <v xml:space="preserve"> </v>
      </c>
    </row>
    <row r="61" spans="1:12" ht="15" thickBot="1">
      <c r="A61" s="115" t="s">
        <v>359</v>
      </c>
      <c r="B61" s="117">
        <v>220</v>
      </c>
      <c r="C61" s="118">
        <v>30</v>
      </c>
      <c r="D61" s="115" t="s">
        <v>311</v>
      </c>
      <c r="E61" s="115" t="s">
        <v>310</v>
      </c>
      <c r="F61" s="230" t="s">
        <v>310</v>
      </c>
      <c r="G61" s="293"/>
      <c r="J61" t="str">
        <f t="array" ref="J61">IFERROR(INDEX(A$1:A$99, SMALL(IF($G$1:$G$99="YES", ROW($G$1:$G$99)-MIN(ROW($G$1:$G$99))+1), ROW(59:59))), " ")</f>
        <v xml:space="preserve"> </v>
      </c>
      <c r="K61" t="str">
        <f t="array" ref="K61">IFERROR(INDEX(B$1:B$99, SMALL(IF($G$1:$G$99="YES", ROW($G$1:$G$99)-MIN(ROW($G$1:$G$99))+1), ROW(59:59))), " ")</f>
        <v xml:space="preserve"> </v>
      </c>
      <c r="L61" t="str">
        <f t="array" ref="L61">IFERROR(INDEX(C$1:C$99, SMALL(IF($G$1:$G$99="YES", ROW($G$1:$G$99)-MIN(ROW($G$1:$G$99))+1), ROW(59:59))), " ")</f>
        <v xml:space="preserve"> </v>
      </c>
    </row>
    <row r="62" spans="1:12" ht="15" thickBot="1">
      <c r="A62" s="115" t="s">
        <v>360</v>
      </c>
      <c r="B62" s="117"/>
      <c r="C62" s="118"/>
      <c r="D62" s="115"/>
      <c r="E62" s="115"/>
      <c r="F62" s="230"/>
      <c r="G62" s="293"/>
      <c r="J62" t="str">
        <f t="array" ref="J62">IFERROR(INDEX(A$1:A$99, SMALL(IF($G$1:$G$99="YES", ROW($G$1:$G$99)-MIN(ROW($G$1:$G$99))+1), ROW(60:60))), " ")</f>
        <v xml:space="preserve"> </v>
      </c>
      <c r="K62" t="str">
        <f t="array" ref="K62">IFERROR(INDEX(B$1:B$99, SMALL(IF($G$1:$G$99="YES", ROW($G$1:$G$99)-MIN(ROW($G$1:$G$99))+1), ROW(60:60))), " ")</f>
        <v xml:space="preserve"> </v>
      </c>
      <c r="L62" t="str">
        <f t="array" ref="L62">IFERROR(INDEX(C$1:C$99, SMALL(IF($G$1:$G$99="YES", ROW($G$1:$G$99)-MIN(ROW($G$1:$G$99))+1), ROW(60:60))), " ")</f>
        <v xml:space="preserve"> </v>
      </c>
    </row>
    <row r="63" spans="1:12" ht="15" thickBot="1">
      <c r="A63" s="115" t="s">
        <v>191</v>
      </c>
      <c r="B63" s="117">
        <v>2775</v>
      </c>
      <c r="C63" s="118">
        <v>91</v>
      </c>
      <c r="D63" s="115" t="s">
        <v>311</v>
      </c>
      <c r="E63" s="115" t="s">
        <v>310</v>
      </c>
      <c r="F63" s="230" t="s">
        <v>310</v>
      </c>
      <c r="G63" s="293"/>
      <c r="J63" t="str">
        <f t="array" ref="J63">IFERROR(INDEX(A$1:A$99, SMALL(IF($G$1:$G$99="YES", ROW($G$1:$G$99)-MIN(ROW($G$1:$G$99))+1), ROW(61:61))), " ")</f>
        <v xml:space="preserve"> </v>
      </c>
      <c r="K63" t="str">
        <f t="array" ref="K63">IFERROR(INDEX(B$1:B$99, SMALL(IF($G$1:$G$99="YES", ROW($G$1:$G$99)-MIN(ROW($G$1:$G$99))+1), ROW(61:61))), " ")</f>
        <v xml:space="preserve"> </v>
      </c>
      <c r="L63" t="str">
        <f t="array" ref="L63">IFERROR(INDEX(C$1:C$99, SMALL(IF($G$1:$G$99="YES", ROW($G$1:$G$99)-MIN(ROW($G$1:$G$99))+1), ROW(61:61))), " ")</f>
        <v xml:space="preserve"> </v>
      </c>
    </row>
    <row r="64" spans="1:12" ht="15" thickBot="1">
      <c r="A64" s="115" t="s">
        <v>361</v>
      </c>
      <c r="B64" s="117"/>
      <c r="C64" s="118"/>
      <c r="D64" s="115"/>
      <c r="E64" s="115"/>
      <c r="F64" s="230"/>
      <c r="G64" s="293"/>
      <c r="J64" t="str">
        <f t="array" ref="J64">IFERROR(INDEX(A$1:A$99, SMALL(IF($G$1:$G$99="YES", ROW($G$1:$G$99)-MIN(ROW($G$1:$G$99))+1), ROW(62:62))), " ")</f>
        <v xml:space="preserve"> </v>
      </c>
      <c r="K64" t="str">
        <f t="array" ref="K64">IFERROR(INDEX(B$1:B$99, SMALL(IF($G$1:$G$99="YES", ROW($G$1:$G$99)-MIN(ROW($G$1:$G$99))+1), ROW(62:62))), " ")</f>
        <v xml:space="preserve"> </v>
      </c>
      <c r="L64" t="str">
        <f t="array" ref="L64">IFERROR(INDEX(C$1:C$99, SMALL(IF($G$1:$G$99="YES", ROW($G$1:$G$99)-MIN(ROW($G$1:$G$99))+1), ROW(62:62))), " ")</f>
        <v xml:space="preserve"> </v>
      </c>
    </row>
    <row r="65" spans="1:12" ht="15" thickBot="1">
      <c r="A65" s="115" t="s">
        <v>309</v>
      </c>
      <c r="B65" s="117">
        <v>6982</v>
      </c>
      <c r="C65" s="118">
        <v>34.909999999999997</v>
      </c>
      <c r="D65" s="115" t="s">
        <v>310</v>
      </c>
      <c r="E65" s="115" t="s">
        <v>310</v>
      </c>
      <c r="F65" s="230" t="s">
        <v>311</v>
      </c>
      <c r="G65" s="293"/>
      <c r="J65" t="str">
        <f t="array" ref="J65">IFERROR(INDEX(A$1:A$99, SMALL(IF($G$1:$G$99="YES", ROW($G$1:$G$99)-MIN(ROW($G$1:$G$99))+1), ROW(63:63))), " ")</f>
        <v xml:space="preserve"> </v>
      </c>
      <c r="K65" t="str">
        <f t="array" ref="K65">IFERROR(INDEX(B$1:B$99, SMALL(IF($G$1:$G$99="YES", ROW($G$1:$G$99)-MIN(ROW($G$1:$G$99))+1), ROW(63:63))), " ")</f>
        <v xml:space="preserve"> </v>
      </c>
      <c r="L65" t="str">
        <f t="array" ref="L65">IFERROR(INDEX(C$1:C$99, SMALL(IF($G$1:$G$99="YES", ROW($G$1:$G$99)-MIN(ROW($G$1:$G$99))+1), ROW(63:63))), " ")</f>
        <v xml:space="preserve"> </v>
      </c>
    </row>
    <row r="66" spans="1:12" ht="15" thickBot="1">
      <c r="A66" s="115" t="s">
        <v>362</v>
      </c>
      <c r="B66" s="117"/>
      <c r="C66" s="118"/>
      <c r="D66" s="115"/>
      <c r="E66" s="115"/>
      <c r="F66" s="230"/>
      <c r="G66" s="293"/>
      <c r="J66" t="str">
        <f t="array" ref="J66">IFERROR(INDEX(A$1:A$99, SMALL(IF($G$1:$G$99="YES", ROW($G$1:$G$99)-MIN(ROW($G$1:$G$99))+1), ROW(64:64))), " ")</f>
        <v xml:space="preserve"> </v>
      </c>
      <c r="K66" t="str">
        <f t="array" ref="K66">IFERROR(INDEX(B$1:B$99, SMALL(IF($G$1:$G$99="YES", ROW($G$1:$G$99)-MIN(ROW($G$1:$G$99))+1), ROW(64:64))), " ")</f>
        <v xml:space="preserve"> </v>
      </c>
      <c r="L66" t="str">
        <f t="array" ref="L66">IFERROR(INDEX(C$1:C$99, SMALL(IF($G$1:$G$99="YES", ROW($G$1:$G$99)-MIN(ROW($G$1:$G$99))+1), ROW(64:64))), " ")</f>
        <v xml:space="preserve"> </v>
      </c>
    </row>
    <row r="67" spans="1:12" ht="15" thickBot="1">
      <c r="A67" s="115" t="s">
        <v>363</v>
      </c>
      <c r="B67" s="117">
        <v>544</v>
      </c>
      <c r="C67" s="118">
        <v>28</v>
      </c>
      <c r="D67" s="115" t="s">
        <v>311</v>
      </c>
      <c r="E67" s="115" t="s">
        <v>310</v>
      </c>
      <c r="F67" s="230" t="s">
        <v>310</v>
      </c>
      <c r="G67" s="293"/>
      <c r="J67" t="str">
        <f t="array" ref="J67">IFERROR(INDEX(A$1:A$99, SMALL(IF($G$1:$G$99="YES", ROW($G$1:$G$99)-MIN(ROW($G$1:$G$99))+1), ROW(65:65))), " ")</f>
        <v xml:space="preserve"> </v>
      </c>
      <c r="K67" t="str">
        <f t="array" ref="K67">IFERROR(INDEX(B$1:B$99, SMALL(IF($G$1:$G$99="YES", ROW($G$1:$G$99)-MIN(ROW($G$1:$G$99))+1), ROW(65:65))), " ")</f>
        <v xml:space="preserve"> </v>
      </c>
      <c r="L67" t="str">
        <f t="array" ref="L67">IFERROR(INDEX(C$1:C$99, SMALL(IF($G$1:$G$99="YES", ROW($G$1:$G$99)-MIN(ROW($G$1:$G$99))+1), ROW(65:65))), " ")</f>
        <v xml:space="preserve"> </v>
      </c>
    </row>
    <row r="68" spans="1:12" ht="15" thickBot="1">
      <c r="A68" s="115" t="s">
        <v>352</v>
      </c>
      <c r="B68" s="117"/>
      <c r="C68" s="118"/>
      <c r="D68" s="115"/>
      <c r="E68" s="115"/>
      <c r="F68" s="230"/>
      <c r="G68" s="293"/>
      <c r="J68" t="str">
        <f t="array" ref="J68">IFERROR(INDEX(A$1:A$99, SMALL(IF($G$1:$G$99="YES", ROW($G$1:$G$99)-MIN(ROW($G$1:$G$99))+1), ROW(66:66))), " ")</f>
        <v xml:space="preserve"> </v>
      </c>
      <c r="K68" t="str">
        <f t="array" ref="K68">IFERROR(INDEX(B$1:B$99, SMALL(IF($G$1:$G$99="YES", ROW($G$1:$G$99)-MIN(ROW($G$1:$G$99))+1), ROW(66:66))), " ")</f>
        <v xml:space="preserve"> </v>
      </c>
      <c r="L68" t="str">
        <f t="array" ref="L68">IFERROR(INDEX(C$1:C$99, SMALL(IF($G$1:$G$99="YES", ROW($G$1:$G$99)-MIN(ROW($G$1:$G$99))+1), ROW(66:66))), " ")</f>
        <v xml:space="preserve"> </v>
      </c>
    </row>
    <row r="69" spans="1:12" ht="15" thickBot="1">
      <c r="A69" s="115" t="s">
        <v>309</v>
      </c>
      <c r="B69" s="117">
        <v>3652</v>
      </c>
      <c r="C69" s="118">
        <v>18.260000000000002</v>
      </c>
      <c r="D69" s="115" t="s">
        <v>310</v>
      </c>
      <c r="E69" s="115" t="s">
        <v>310</v>
      </c>
      <c r="F69" s="230" t="s">
        <v>311</v>
      </c>
      <c r="G69" s="293"/>
      <c r="J69" t="str">
        <f t="array" ref="J69">IFERROR(INDEX(A$1:A$99, SMALL(IF($G$1:$G$99="YES", ROW($G$1:$G$99)-MIN(ROW($G$1:$G$99))+1), ROW(67:67))), " ")</f>
        <v xml:space="preserve"> </v>
      </c>
      <c r="K69" t="str">
        <f t="array" ref="K69">IFERROR(INDEX(B$1:B$99, SMALL(IF($G$1:$G$99="YES", ROW($G$1:$G$99)-MIN(ROW($G$1:$G$99))+1), ROW(67:67))), " ")</f>
        <v xml:space="preserve"> </v>
      </c>
      <c r="L69" t="str">
        <f t="array" ref="L69">IFERROR(INDEX(C$1:C$99, SMALL(IF($G$1:$G$99="YES", ROW($G$1:$G$99)-MIN(ROW($G$1:$G$99))+1), ROW(67:67))), " ")</f>
        <v xml:space="preserve"> </v>
      </c>
    </row>
    <row r="70" spans="1:12" ht="15" thickBot="1">
      <c r="A70" s="115" t="s">
        <v>364</v>
      </c>
      <c r="B70" s="117"/>
      <c r="C70" s="118"/>
      <c r="D70" s="115"/>
      <c r="E70" s="115"/>
      <c r="F70" s="230"/>
      <c r="G70" s="293"/>
      <c r="J70" t="str">
        <f t="array" ref="J70">IFERROR(INDEX(A$1:A$99, SMALL(IF($G$1:$G$99="YES", ROW($G$1:$G$99)-MIN(ROW($G$1:$G$99))+1), ROW(68:68))), " ")</f>
        <v xml:space="preserve"> </v>
      </c>
      <c r="K70" t="str">
        <f t="array" ref="K70">IFERROR(INDEX(B$1:B$99, SMALL(IF($G$1:$G$99="YES", ROW($G$1:$G$99)-MIN(ROW($G$1:$G$99))+1), ROW(68:68))), " ")</f>
        <v xml:space="preserve"> </v>
      </c>
      <c r="L70" t="str">
        <f t="array" ref="L70">IFERROR(INDEX(C$1:C$99, SMALL(IF($G$1:$G$99="YES", ROW($G$1:$G$99)-MIN(ROW($G$1:$G$99))+1), ROW(68:68))), " ")</f>
        <v xml:space="preserve"> </v>
      </c>
    </row>
    <row r="71" spans="1:12" ht="15" thickBot="1">
      <c r="A71" s="115" t="s">
        <v>365</v>
      </c>
      <c r="B71" s="117">
        <v>5703</v>
      </c>
      <c r="C71" s="118">
        <v>247</v>
      </c>
      <c r="D71" s="115" t="s">
        <v>311</v>
      </c>
      <c r="E71" s="115" t="s">
        <v>310</v>
      </c>
      <c r="F71" s="230" t="s">
        <v>310</v>
      </c>
      <c r="G71" s="293"/>
      <c r="J71" t="str">
        <f t="array" ref="J71">IFERROR(INDEX(A$1:A$99, SMALL(IF($G$1:$G$99="YES", ROW($G$1:$G$99)-MIN(ROW($G$1:$G$99))+1), ROW(69:69))), " ")</f>
        <v xml:space="preserve"> </v>
      </c>
      <c r="K71" t="str">
        <f t="array" ref="K71">IFERROR(INDEX(B$1:B$99, SMALL(IF($G$1:$G$99="YES", ROW($G$1:$G$99)-MIN(ROW($G$1:$G$99))+1), ROW(69:69))), " ")</f>
        <v xml:space="preserve"> </v>
      </c>
      <c r="L71" t="str">
        <f t="array" ref="L71">IFERROR(INDEX(C$1:C$99, SMALL(IF($G$1:$G$99="YES", ROW($G$1:$G$99)-MIN(ROW($G$1:$G$99))+1), ROW(69:69))), " ")</f>
        <v xml:space="preserve"> </v>
      </c>
    </row>
    <row r="72" spans="1:12" ht="15" thickBot="1">
      <c r="A72" s="115" t="s">
        <v>366</v>
      </c>
      <c r="B72" s="117"/>
      <c r="C72" s="118"/>
      <c r="D72" s="115"/>
      <c r="E72" s="115"/>
      <c r="F72" s="230"/>
      <c r="G72" s="293"/>
      <c r="J72" t="str">
        <f t="array" ref="J72">IFERROR(INDEX(A$1:A$99, SMALL(IF($G$1:$G$99="YES", ROW($G$1:$G$99)-MIN(ROW($G$1:$G$99))+1), ROW(70:70))), " ")</f>
        <v xml:space="preserve"> </v>
      </c>
      <c r="K72" t="str">
        <f t="array" ref="K72">IFERROR(INDEX(B$1:B$99, SMALL(IF($G$1:$G$99="YES", ROW($G$1:$G$99)-MIN(ROW($G$1:$G$99))+1), ROW(70:70))), " ")</f>
        <v xml:space="preserve"> </v>
      </c>
      <c r="L72" t="str">
        <f t="array" ref="L72">IFERROR(INDEX(C$1:C$99, SMALL(IF($G$1:$G$99="YES", ROW($G$1:$G$99)-MIN(ROW($G$1:$G$99))+1), ROW(70:70))), " ")</f>
        <v xml:space="preserve"> </v>
      </c>
    </row>
    <row r="73" spans="1:12" ht="15" thickBot="1">
      <c r="A73" s="115" t="s">
        <v>367</v>
      </c>
      <c r="B73" s="117">
        <v>461</v>
      </c>
      <c r="C73" s="118">
        <v>30</v>
      </c>
      <c r="D73" s="115" t="s">
        <v>311</v>
      </c>
      <c r="E73" s="115" t="s">
        <v>310</v>
      </c>
      <c r="F73" s="230" t="s">
        <v>310</v>
      </c>
      <c r="G73" s="293"/>
      <c r="J73" t="str">
        <f t="array" ref="J73">IFERROR(INDEX(A$1:A$99, SMALL(IF($G$1:$G$99="YES", ROW($G$1:$G$99)-MIN(ROW($G$1:$G$99))+1), ROW(71:71))), " ")</f>
        <v xml:space="preserve"> </v>
      </c>
      <c r="K73" t="str">
        <f t="array" ref="K73">IFERROR(INDEX(B$1:B$99, SMALL(IF($G$1:$G$99="YES", ROW($G$1:$G$99)-MIN(ROW($G$1:$G$99))+1), ROW(71:71))), " ")</f>
        <v xml:space="preserve"> </v>
      </c>
      <c r="L73" t="str">
        <f t="array" ref="L73">IFERROR(INDEX(C$1:C$99, SMALL(IF($G$1:$G$99="YES", ROW($G$1:$G$99)-MIN(ROW($G$1:$G$99))+1), ROW(71:71))), " ")</f>
        <v xml:space="preserve"> </v>
      </c>
    </row>
    <row r="74" spans="1:12" ht="15" thickBot="1">
      <c r="A74" s="115" t="s">
        <v>368</v>
      </c>
      <c r="B74" s="117"/>
      <c r="C74" s="118"/>
      <c r="D74" s="115"/>
      <c r="E74" s="115"/>
      <c r="F74" s="230"/>
      <c r="G74" s="293"/>
      <c r="J74" t="str">
        <f t="array" ref="J74">IFERROR(INDEX(A$1:A$99, SMALL(IF($G$1:$G$99="YES", ROW($G$1:$G$99)-MIN(ROW($G$1:$G$99))+1), ROW(72:72))), " ")</f>
        <v xml:space="preserve"> </v>
      </c>
      <c r="K74" t="str">
        <f t="array" ref="K74">IFERROR(INDEX(B$1:B$99, SMALL(IF($G$1:$G$99="YES", ROW($G$1:$G$99)-MIN(ROW($G$1:$G$99))+1), ROW(72:72))), " ")</f>
        <v xml:space="preserve"> </v>
      </c>
      <c r="L74" t="str">
        <f t="array" ref="L74">IFERROR(INDEX(C$1:C$99, SMALL(IF($G$1:$G$99="YES", ROW($G$1:$G$99)-MIN(ROW($G$1:$G$99))+1), ROW(72:72))), " ")</f>
        <v xml:space="preserve"> </v>
      </c>
    </row>
    <row r="75" spans="1:12" ht="15" thickBot="1">
      <c r="A75" s="115" t="s">
        <v>313</v>
      </c>
      <c r="B75" s="117">
        <v>1637</v>
      </c>
      <c r="C75" s="118">
        <v>99</v>
      </c>
      <c r="D75" s="115" t="s">
        <v>311</v>
      </c>
      <c r="E75" s="115" t="s">
        <v>310</v>
      </c>
      <c r="F75" s="230" t="s">
        <v>310</v>
      </c>
      <c r="G75" s="293"/>
      <c r="J75" t="str">
        <f t="array" ref="J75">IFERROR(INDEX(A$1:A$99, SMALL(IF($G$1:$G$99="YES", ROW($G$1:$G$99)-MIN(ROW($G$1:$G$99))+1), ROW(73:73))), " ")</f>
        <v xml:space="preserve"> </v>
      </c>
      <c r="K75" t="str">
        <f t="array" ref="K75">IFERROR(INDEX(B$1:B$99, SMALL(IF($G$1:$G$99="YES", ROW($G$1:$G$99)-MIN(ROW($G$1:$G$99))+1), ROW(73:73))), " ")</f>
        <v xml:space="preserve"> </v>
      </c>
      <c r="L75" t="str">
        <f t="array" ref="L75">IFERROR(INDEX(C$1:C$99, SMALL(IF($G$1:$G$99="YES", ROW($G$1:$G$99)-MIN(ROW($G$1:$G$99))+1), ROW(73:73))), " ")</f>
        <v xml:space="preserve"> </v>
      </c>
    </row>
    <row r="76" spans="1:12" ht="15" thickBot="1">
      <c r="A76" s="115" t="s">
        <v>369</v>
      </c>
      <c r="B76" s="117"/>
      <c r="C76" s="118"/>
      <c r="D76" s="115"/>
      <c r="E76" s="115"/>
      <c r="F76" s="230"/>
      <c r="G76" s="293"/>
      <c r="J76" t="str">
        <f t="array" ref="J76">IFERROR(INDEX(A$1:A$99, SMALL(IF($G$1:$G$99="YES", ROW($G$1:$G$99)-MIN(ROW($G$1:$G$99))+1), ROW(74:74))), " ")</f>
        <v xml:space="preserve"> </v>
      </c>
      <c r="K76" t="str">
        <f t="array" ref="K76">IFERROR(INDEX(B$1:B$99, SMALL(IF($G$1:$G$99="YES", ROW($G$1:$G$99)-MIN(ROW($G$1:$G$99))+1), ROW(74:74))), " ")</f>
        <v xml:space="preserve"> </v>
      </c>
      <c r="L76" t="str">
        <f t="array" ref="L76">IFERROR(INDEX(C$1:C$99, SMALL(IF($G$1:$G$99="YES", ROW($G$1:$G$99)-MIN(ROW($G$1:$G$99))+1), ROW(74:74))), " ")</f>
        <v xml:space="preserve"> </v>
      </c>
    </row>
    <row r="77" spans="1:12" ht="15" thickBot="1">
      <c r="A77" s="115" t="s">
        <v>335</v>
      </c>
      <c r="B77" s="117">
        <v>775</v>
      </c>
      <c r="C77" s="118">
        <v>16</v>
      </c>
      <c r="D77" s="115" t="s">
        <v>310</v>
      </c>
      <c r="E77" s="115" t="s">
        <v>310</v>
      </c>
      <c r="F77" s="230" t="s">
        <v>311</v>
      </c>
      <c r="G77" s="293"/>
      <c r="J77" t="str">
        <f t="array" ref="J77">IFERROR(INDEX(A$1:A$99, SMALL(IF($G$1:$G$99="YES", ROW($G$1:$G$99)-MIN(ROW($G$1:$G$99))+1), ROW(75:75))), " ")</f>
        <v xml:space="preserve"> </v>
      </c>
      <c r="K77" t="str">
        <f t="array" ref="K77">IFERROR(INDEX(B$1:B$99, SMALL(IF($G$1:$G$99="YES", ROW($G$1:$G$99)-MIN(ROW($G$1:$G$99))+1), ROW(75:75))), " ")</f>
        <v xml:space="preserve"> </v>
      </c>
      <c r="L77" t="str">
        <f t="array" ref="L77">IFERROR(INDEX(C$1:C$99, SMALL(IF($G$1:$G$99="YES", ROW($G$1:$G$99)-MIN(ROW($G$1:$G$99))+1), ROW(75:75))), " ")</f>
        <v xml:space="preserve"> </v>
      </c>
    </row>
    <row r="78" spans="1:12" ht="15" thickBot="1">
      <c r="A78" s="115" t="s">
        <v>336</v>
      </c>
      <c r="B78" s="117"/>
      <c r="C78" s="118"/>
      <c r="D78" s="115"/>
      <c r="E78" s="115"/>
      <c r="F78" s="230"/>
      <c r="G78" s="293"/>
      <c r="J78" t="str">
        <f t="array" ref="J78">IFERROR(INDEX(A$1:A$99, SMALL(IF($G$1:$G$99="YES", ROW($G$1:$G$99)-MIN(ROW($G$1:$G$99))+1), ROW(76:76))), " ")</f>
        <v xml:space="preserve"> </v>
      </c>
      <c r="K78" t="str">
        <f t="array" ref="K78">IFERROR(INDEX(B$1:B$99, SMALL(IF($G$1:$G$99="YES", ROW($G$1:$G$99)-MIN(ROW($G$1:$G$99))+1), ROW(76:76))), " ")</f>
        <v xml:space="preserve"> </v>
      </c>
      <c r="L78" t="str">
        <f t="array" ref="L78">IFERROR(INDEX(C$1:C$99, SMALL(IF($G$1:$G$99="YES", ROW($G$1:$G$99)-MIN(ROW($G$1:$G$99))+1), ROW(76:76))), " ")</f>
        <v xml:space="preserve"> </v>
      </c>
    </row>
    <row r="79" spans="1:12" ht="15" thickBot="1">
      <c r="A79" s="115" t="s">
        <v>242</v>
      </c>
      <c r="B79" s="117">
        <v>4622</v>
      </c>
      <c r="C79" s="118">
        <v>199</v>
      </c>
      <c r="D79" s="115" t="s">
        <v>311</v>
      </c>
      <c r="E79" s="115" t="s">
        <v>310</v>
      </c>
      <c r="F79" s="230" t="s">
        <v>310</v>
      </c>
      <c r="G79" s="293"/>
      <c r="J79" t="str">
        <f t="array" ref="J79">IFERROR(INDEX(A$1:A$99, SMALL(IF($G$1:$G$99="YES", ROW($G$1:$G$99)-MIN(ROW($G$1:$G$99))+1), ROW(77:77))), " ")</f>
        <v xml:space="preserve"> </v>
      </c>
      <c r="K79" t="str">
        <f t="array" ref="K79">IFERROR(INDEX(B$1:B$99, SMALL(IF($G$1:$G$99="YES", ROW($G$1:$G$99)-MIN(ROW($G$1:$G$99))+1), ROW(77:77))), " ")</f>
        <v xml:space="preserve"> </v>
      </c>
      <c r="L79" t="str">
        <f t="array" ref="L79">IFERROR(INDEX(C$1:C$99, SMALL(IF($G$1:$G$99="YES", ROW($G$1:$G$99)-MIN(ROW($G$1:$G$99))+1), ROW(77:77))), " ")</f>
        <v xml:space="preserve"> </v>
      </c>
    </row>
    <row r="80" spans="1:12" ht="15" thickBot="1">
      <c r="A80" s="115" t="s">
        <v>370</v>
      </c>
      <c r="B80" s="117"/>
      <c r="C80" s="118"/>
      <c r="D80" s="115"/>
      <c r="E80" s="115"/>
      <c r="F80" s="230"/>
      <c r="G80" s="293"/>
      <c r="J80" t="str">
        <f t="array" ref="J80">IFERROR(INDEX(A$1:A$99, SMALL(IF($G$1:$G$99="YES", ROW($G$1:$G$99)-MIN(ROW($G$1:$G$99))+1), ROW(78:78))), " ")</f>
        <v xml:space="preserve"> </v>
      </c>
      <c r="K80" t="str">
        <f t="array" ref="K80">IFERROR(INDEX(B$1:B$99, SMALL(IF($G$1:$G$99="YES", ROW($G$1:$G$99)-MIN(ROW($G$1:$G$99))+1), ROW(78:78))), " ")</f>
        <v xml:space="preserve"> </v>
      </c>
      <c r="L80" t="str">
        <f t="array" ref="L80">IFERROR(INDEX(C$1:C$99, SMALL(IF($G$1:$G$99="YES", ROW($G$1:$G$99)-MIN(ROW($G$1:$G$99))+1), ROW(78:78))), " ")</f>
        <v xml:space="preserve"> </v>
      </c>
    </row>
    <row r="81" spans="1:12" ht="15" thickBot="1">
      <c r="A81" s="115" t="s">
        <v>309</v>
      </c>
      <c r="B81" s="117">
        <v>3178</v>
      </c>
      <c r="C81" s="118">
        <v>15.89</v>
      </c>
      <c r="D81" s="115" t="s">
        <v>310</v>
      </c>
      <c r="E81" s="115" t="s">
        <v>310</v>
      </c>
      <c r="F81" s="230" t="s">
        <v>311</v>
      </c>
      <c r="G81" s="293"/>
      <c r="J81" t="str">
        <f t="array" ref="J81">IFERROR(INDEX(A$1:A$99, SMALL(IF($G$1:$G$99="YES", ROW($G$1:$G$99)-MIN(ROW($G$1:$G$99))+1), ROW(79:79))), " ")</f>
        <v xml:space="preserve"> </v>
      </c>
      <c r="K81" t="str">
        <f t="array" ref="K81">IFERROR(INDEX(B$1:B$99, SMALL(IF($G$1:$G$99="YES", ROW($G$1:$G$99)-MIN(ROW($G$1:$G$99))+1), ROW(79:79))), " ")</f>
        <v xml:space="preserve"> </v>
      </c>
      <c r="L81" t="str">
        <f t="array" ref="L81">IFERROR(INDEX(C$1:C$99, SMALL(IF($G$1:$G$99="YES", ROW($G$1:$G$99)-MIN(ROW($G$1:$G$99))+1), ROW(79:79))), " ")</f>
        <v xml:space="preserve"> </v>
      </c>
    </row>
    <row r="82" spans="1:12" ht="15" thickBot="1">
      <c r="A82" s="115" t="s">
        <v>371</v>
      </c>
      <c r="B82" s="117"/>
      <c r="C82" s="118"/>
      <c r="D82" s="115"/>
      <c r="E82" s="115"/>
      <c r="F82" s="230"/>
      <c r="G82" s="293"/>
      <c r="J82" t="str">
        <f t="array" ref="J82">IFERROR(INDEX(A$1:A$99, SMALL(IF($G$1:$G$99="YES", ROW($G$1:$G$99)-MIN(ROW($G$1:$G$99))+1), ROW(80:80))), " ")</f>
        <v xml:space="preserve"> </v>
      </c>
      <c r="K82" t="str">
        <f t="array" ref="K82">IFERROR(INDEX(B$1:B$99, SMALL(IF($G$1:$G$99="YES", ROW($G$1:$G$99)-MIN(ROW($G$1:$G$99))+1), ROW(80:80))), " ")</f>
        <v xml:space="preserve"> </v>
      </c>
      <c r="L82" t="str">
        <f t="array" ref="L82">IFERROR(INDEX(C$1:C$99, SMALL(IF($G$1:$G$99="YES", ROW($G$1:$G$99)-MIN(ROW($G$1:$G$99))+1), ROW(80:80))), " ")</f>
        <v xml:space="preserve"> </v>
      </c>
    </row>
    <row r="83" spans="1:12" ht="15" thickBot="1">
      <c r="A83" s="115" t="s">
        <v>309</v>
      </c>
      <c r="B83" s="117">
        <v>5683</v>
      </c>
      <c r="C83" s="118">
        <v>56.83</v>
      </c>
      <c r="D83" s="115" t="s">
        <v>310</v>
      </c>
      <c r="E83" s="115" t="s">
        <v>310</v>
      </c>
      <c r="F83" s="230" t="s">
        <v>311</v>
      </c>
      <c r="G83" s="293"/>
      <c r="J83" t="str">
        <f t="array" ref="J83">IFERROR(INDEX(A$1:A$99, SMALL(IF($G$1:$G$99="YES", ROW($G$1:$G$99)-MIN(ROW($G$1:$G$99))+1), ROW(81:81))), " ")</f>
        <v xml:space="preserve"> </v>
      </c>
      <c r="K83" t="str">
        <f t="array" ref="K83">IFERROR(INDEX(B$1:B$99, SMALL(IF($G$1:$G$99="YES", ROW($G$1:$G$99)-MIN(ROW($G$1:$G$99))+1), ROW(81:81))), " ")</f>
        <v xml:space="preserve"> </v>
      </c>
      <c r="L83" t="str">
        <f t="array" ref="L83">IFERROR(INDEX(C$1:C$99, SMALL(IF($G$1:$G$99="YES", ROW($G$1:$G$99)-MIN(ROW($G$1:$G$99))+1), ROW(81:81))), " ")</f>
        <v xml:space="preserve"> </v>
      </c>
    </row>
    <row r="84" spans="1:12" ht="15" thickBot="1">
      <c r="A84" s="115" t="s">
        <v>372</v>
      </c>
      <c r="B84" s="117"/>
      <c r="C84" s="118"/>
      <c r="D84" s="115"/>
      <c r="E84" s="115"/>
      <c r="F84" s="230"/>
      <c r="G84" s="293"/>
      <c r="J84" t="str">
        <f t="array" ref="J84">IFERROR(INDEX(A$1:A$99, SMALL(IF($G$1:$G$99="YES", ROW($G$1:$G$99)-MIN(ROW($G$1:$G$99))+1), ROW(82:82))), " ")</f>
        <v xml:space="preserve"> </v>
      </c>
      <c r="K84" t="str">
        <f t="array" ref="K84">IFERROR(INDEX(B$1:B$99, SMALL(IF($G$1:$G$99="YES", ROW($G$1:$G$99)-MIN(ROW($G$1:$G$99))+1), ROW(82:82))), " ")</f>
        <v xml:space="preserve"> </v>
      </c>
      <c r="L84" t="str">
        <f t="array" ref="L84">IFERROR(INDEX(C$1:C$99, SMALL(IF($G$1:$G$99="YES", ROW($G$1:$G$99)-MIN(ROW($G$1:$G$99))+1), ROW(82:82))), " ")</f>
        <v xml:space="preserve"> </v>
      </c>
    </row>
    <row r="85" spans="1:12" ht="15" thickBot="1">
      <c r="A85" s="115" t="s">
        <v>373</v>
      </c>
      <c r="B85" s="117">
        <v>511</v>
      </c>
      <c r="C85" s="118">
        <v>29</v>
      </c>
      <c r="D85" s="115" t="s">
        <v>311</v>
      </c>
      <c r="E85" s="115" t="s">
        <v>310</v>
      </c>
      <c r="F85" s="230" t="s">
        <v>310</v>
      </c>
      <c r="G85" s="293"/>
      <c r="J85" t="str">
        <f t="array" ref="J85">IFERROR(INDEX(A$1:A$99, SMALL(IF($G$1:$G$99="YES", ROW($G$1:$G$99)-MIN(ROW($G$1:$G$99))+1), ROW(83:83))), " ")</f>
        <v xml:space="preserve"> </v>
      </c>
      <c r="K85" t="str">
        <f t="array" ref="K85">IFERROR(INDEX(B$1:B$99, SMALL(IF($G$1:$G$99="YES", ROW($G$1:$G$99)-MIN(ROW($G$1:$G$99))+1), ROW(83:83))), " ")</f>
        <v xml:space="preserve"> </v>
      </c>
      <c r="L85" t="str">
        <f t="array" ref="L85">IFERROR(INDEX(C$1:C$99, SMALL(IF($G$1:$G$99="YES", ROW($G$1:$G$99)-MIN(ROW($G$1:$G$99))+1), ROW(83:83))), " ")</f>
        <v xml:space="preserve"> </v>
      </c>
    </row>
    <row r="86" spans="1:12" ht="15" thickBot="1">
      <c r="A86" s="115" t="s">
        <v>374</v>
      </c>
      <c r="B86" s="117"/>
      <c r="C86" s="118"/>
      <c r="D86" s="115"/>
      <c r="E86" s="115"/>
      <c r="F86" s="230"/>
      <c r="G86" s="293"/>
      <c r="J86" t="str">
        <f t="array" ref="J86">IFERROR(INDEX(A$1:A$99, SMALL(IF($G$1:$G$99="YES", ROW($G$1:$G$99)-MIN(ROW($G$1:$G$99))+1), ROW(84:84))), " ")</f>
        <v xml:space="preserve"> </v>
      </c>
      <c r="K86" t="str">
        <f t="array" ref="K86">IFERROR(INDEX(B$1:B$99, SMALL(IF($G$1:$G$99="YES", ROW($G$1:$G$99)-MIN(ROW($G$1:$G$99))+1), ROW(84:84))), " ")</f>
        <v xml:space="preserve"> </v>
      </c>
      <c r="L86" t="str">
        <f t="array" ref="L86">IFERROR(INDEX(C$1:C$99, SMALL(IF($G$1:$G$99="YES", ROW($G$1:$G$99)-MIN(ROW($G$1:$G$99))+1), ROW(84:84))), " ")</f>
        <v xml:space="preserve"> </v>
      </c>
    </row>
    <row r="87" spans="1:12" ht="15" thickBot="1">
      <c r="A87" s="115" t="s">
        <v>375</v>
      </c>
      <c r="B87" s="117">
        <v>277</v>
      </c>
      <c r="C87" s="118">
        <v>30</v>
      </c>
      <c r="D87" s="115" t="s">
        <v>311</v>
      </c>
      <c r="E87" s="115" t="s">
        <v>310</v>
      </c>
      <c r="F87" s="230" t="s">
        <v>310</v>
      </c>
      <c r="G87" s="293"/>
      <c r="J87" t="str">
        <f t="array" ref="J87">IFERROR(INDEX(A$1:A$99, SMALL(IF($G$1:$G$99="YES", ROW($G$1:$G$99)-MIN(ROW($G$1:$G$99))+1), ROW(85:85))), " ")</f>
        <v xml:space="preserve"> </v>
      </c>
      <c r="K87" t="str">
        <f t="array" ref="K87">IFERROR(INDEX(B$1:B$99, SMALL(IF($G$1:$G$99="YES", ROW($G$1:$G$99)-MIN(ROW($G$1:$G$99))+1), ROW(85:85))), " ")</f>
        <v xml:space="preserve"> </v>
      </c>
      <c r="L87" t="str">
        <f t="array" ref="L87">IFERROR(INDEX(C$1:C$99, SMALL(IF($G$1:$G$99="YES", ROW($G$1:$G$99)-MIN(ROW($G$1:$G$99))+1), ROW(85:85))), " ")</f>
        <v xml:space="preserve"> </v>
      </c>
    </row>
    <row r="88" spans="1:12" ht="15" thickBot="1">
      <c r="A88" s="115" t="s">
        <v>376</v>
      </c>
      <c r="B88" s="117"/>
      <c r="C88" s="118"/>
      <c r="D88" s="115"/>
      <c r="E88" s="115"/>
      <c r="F88" s="230"/>
      <c r="G88" s="293"/>
      <c r="J88" t="str">
        <f t="array" ref="J88">IFERROR(INDEX(A$1:A$99, SMALL(IF($G$1:$G$99="YES", ROW($G$1:$G$99)-MIN(ROW($G$1:$G$99))+1), ROW(86:86))), " ")</f>
        <v xml:space="preserve"> </v>
      </c>
      <c r="K88" t="str">
        <f t="array" ref="K88">IFERROR(INDEX(B$1:B$99, SMALL(IF($G$1:$G$99="YES", ROW($G$1:$G$99)-MIN(ROW($G$1:$G$99))+1), ROW(86:86))), " ")</f>
        <v xml:space="preserve"> </v>
      </c>
      <c r="L88" t="str">
        <f t="array" ref="L88">IFERROR(INDEX(C$1:C$99, SMALL(IF($G$1:$G$99="YES", ROW($G$1:$G$99)-MIN(ROW($G$1:$G$99))+1), ROW(86:86))), " ")</f>
        <v xml:space="preserve"> </v>
      </c>
    </row>
    <row r="89" spans="1:12" ht="15" thickBot="1">
      <c r="A89" s="115" t="s">
        <v>377</v>
      </c>
      <c r="B89" s="117">
        <v>1059</v>
      </c>
      <c r="C89" s="118">
        <v>35</v>
      </c>
      <c r="D89" s="115" t="s">
        <v>311</v>
      </c>
      <c r="E89" s="115" t="s">
        <v>310</v>
      </c>
      <c r="F89" s="230" t="s">
        <v>310</v>
      </c>
      <c r="G89" s="293"/>
      <c r="J89" t="str">
        <f t="array" ref="J89">IFERROR(INDEX(A$1:A$99, SMALL(IF($G$1:$G$99="YES", ROW($G$1:$G$99)-MIN(ROW($G$1:$G$99))+1), ROW(87:87))), " ")</f>
        <v xml:space="preserve"> </v>
      </c>
      <c r="K89" t="str">
        <f t="array" ref="K89">IFERROR(INDEX(B$1:B$99, SMALL(IF($G$1:$G$99="YES", ROW($G$1:$G$99)-MIN(ROW($G$1:$G$99))+1), ROW(87:87))), " ")</f>
        <v xml:space="preserve"> </v>
      </c>
      <c r="L89" t="str">
        <f t="array" ref="L89">IFERROR(INDEX(C$1:C$99, SMALL(IF($G$1:$G$99="YES", ROW($G$1:$G$99)-MIN(ROW($G$1:$G$99))+1), ROW(87:87))), " ")</f>
        <v xml:space="preserve"> </v>
      </c>
    </row>
    <row r="90" spans="1:12" ht="15" thickBot="1">
      <c r="A90" s="115" t="s">
        <v>378</v>
      </c>
      <c r="B90" s="117"/>
      <c r="C90" s="118"/>
      <c r="D90" s="115"/>
      <c r="E90" s="115"/>
      <c r="F90" s="230"/>
      <c r="G90" s="293"/>
      <c r="J90" t="str">
        <f t="array" ref="J90">IFERROR(INDEX(A$1:A$99, SMALL(IF($G$1:$G$99="YES", ROW($G$1:$G$99)-MIN(ROW($G$1:$G$99))+1), ROW(88:88))), " ")</f>
        <v xml:space="preserve"> </v>
      </c>
      <c r="K90" t="str">
        <f t="array" ref="K90">IFERROR(INDEX(B$1:B$99, SMALL(IF($G$1:$G$99="YES", ROW($G$1:$G$99)-MIN(ROW($G$1:$G$99))+1), ROW(88:88))), " ")</f>
        <v xml:space="preserve"> </v>
      </c>
      <c r="L90" t="str">
        <f t="array" ref="L90">IFERROR(INDEX(C$1:C$99, SMALL(IF($G$1:$G$99="YES", ROW($G$1:$G$99)-MIN(ROW($G$1:$G$99))+1), ROW(88:88))), " ")</f>
        <v xml:space="preserve"> </v>
      </c>
    </row>
    <row r="91" spans="1:12" ht="15" thickBot="1">
      <c r="A91" s="115" t="s">
        <v>379</v>
      </c>
      <c r="B91" s="117">
        <v>1515</v>
      </c>
      <c r="C91" s="118">
        <v>50</v>
      </c>
      <c r="D91" s="115" t="s">
        <v>311</v>
      </c>
      <c r="E91" s="115" t="s">
        <v>310</v>
      </c>
      <c r="F91" s="230" t="s">
        <v>310</v>
      </c>
      <c r="G91" s="293"/>
      <c r="J91" t="str">
        <f t="array" ref="J91">IFERROR(INDEX(A$1:A$99, SMALL(IF($G$1:$G$99="YES", ROW($G$1:$G$99)-MIN(ROW($G$1:$G$99))+1), ROW(89:89))), " ")</f>
        <v xml:space="preserve"> </v>
      </c>
      <c r="K91" t="str">
        <f t="array" ref="K91">IFERROR(INDEX(B$1:B$99, SMALL(IF($G$1:$G$99="YES", ROW($G$1:$G$99)-MIN(ROW($G$1:$G$99))+1), ROW(89:89))), " ")</f>
        <v xml:space="preserve"> </v>
      </c>
      <c r="L91" t="str">
        <f t="array" ref="L91">IFERROR(INDEX(C$1:C$99, SMALL(IF($G$1:$G$99="YES", ROW($G$1:$G$99)-MIN(ROW($G$1:$G$99))+1), ROW(89:89))), " ")</f>
        <v xml:space="preserve"> </v>
      </c>
    </row>
    <row r="92" spans="1:12" ht="15" thickBot="1">
      <c r="A92" s="115" t="s">
        <v>380</v>
      </c>
      <c r="B92" s="117"/>
      <c r="C92" s="118"/>
      <c r="D92" s="115"/>
      <c r="E92" s="115"/>
      <c r="F92" s="230"/>
      <c r="G92" s="293"/>
      <c r="J92" t="str">
        <f t="array" ref="J92">IFERROR(INDEX(A$1:A$99, SMALL(IF($G$1:$G$99="YES", ROW($G$1:$G$99)-MIN(ROW($G$1:$G$99))+1), ROW(90:90))), " ")</f>
        <v xml:space="preserve"> </v>
      </c>
      <c r="K92" t="str">
        <f t="array" ref="K92">IFERROR(INDEX(B$1:B$99, SMALL(IF($G$1:$G$99="YES", ROW($G$1:$G$99)-MIN(ROW($G$1:$G$99))+1), ROW(90:90))), " ")</f>
        <v xml:space="preserve"> </v>
      </c>
      <c r="L92" t="str">
        <f t="array" ref="L92">IFERROR(INDEX(C$1:C$99, SMALL(IF($G$1:$G$99="YES", ROW($G$1:$G$99)-MIN(ROW($G$1:$G$99))+1), ROW(90:90))), " ")</f>
        <v xml:space="preserve"> </v>
      </c>
    </row>
    <row r="93" spans="1:12" ht="15" thickBot="1">
      <c r="A93" s="115"/>
      <c r="B93" s="117"/>
      <c r="C93" s="118"/>
      <c r="D93" s="115"/>
      <c r="E93" s="115"/>
      <c r="F93" s="230"/>
      <c r="G93" s="293"/>
      <c r="J93" t="str">
        <f t="array" ref="J93">IFERROR(INDEX(A$1:A$99, SMALL(IF($G$1:$G$99="YES", ROW($G$1:$G$99)-MIN(ROW($G$1:$G$99))+1), ROW(91:91))), " ")</f>
        <v xml:space="preserve"> </v>
      </c>
      <c r="K93" t="str">
        <f t="array" ref="K93">IFERROR(INDEX(B$1:B$99, SMALL(IF($G$1:$G$99="YES", ROW($G$1:$G$99)-MIN(ROW($G$1:$G$99))+1), ROW(91:91))), " ")</f>
        <v xml:space="preserve"> </v>
      </c>
      <c r="L93" t="str">
        <f t="array" ref="L93">IFERROR(INDEX(C$1:C$99, SMALL(IF($G$1:$G$99="YES", ROW($G$1:$G$99)-MIN(ROW($G$1:$G$99))+1), ROW(91:91))), " ")</f>
        <v xml:space="preserve"> </v>
      </c>
    </row>
    <row r="94" spans="1:12" ht="15" thickBot="1">
      <c r="A94" s="115"/>
      <c r="B94" s="117"/>
      <c r="C94" s="118"/>
      <c r="D94" s="115"/>
      <c r="E94" s="115"/>
      <c r="F94" s="230"/>
      <c r="G94" s="293"/>
      <c r="J94" t="str">
        <f t="array" ref="J94">IFERROR(INDEX(A$1:A$99, SMALL(IF($G$1:$G$99="YES", ROW($G$1:$G$99)-MIN(ROW($G$1:$G$99))+1), ROW(92:92))), " ")</f>
        <v xml:space="preserve"> </v>
      </c>
      <c r="K94" t="str">
        <f t="array" ref="K94">IFERROR(INDEX(B$1:B$99, SMALL(IF($G$1:$G$99="YES", ROW($G$1:$G$99)-MIN(ROW($G$1:$G$99))+1), ROW(92:92))), " ")</f>
        <v xml:space="preserve"> </v>
      </c>
      <c r="L94" t="str">
        <f t="array" ref="L94">IFERROR(INDEX(C$1:C$99, SMALL(IF($G$1:$G$99="YES", ROW($G$1:$G$99)-MIN(ROW($G$1:$G$99))+1), ROW(92:92))), " ")</f>
        <v xml:space="preserve"> </v>
      </c>
    </row>
    <row r="95" spans="1:12" ht="15" thickBot="1">
      <c r="A95" s="115"/>
      <c r="B95" s="117"/>
      <c r="C95" s="118"/>
      <c r="D95" s="115"/>
      <c r="E95" s="115"/>
      <c r="F95" s="230"/>
      <c r="G95" s="293"/>
      <c r="J95" t="str">
        <f t="array" ref="J95">IFERROR(INDEX(A$1:A$99, SMALL(IF($G$1:$G$99="YES", ROW($G$1:$G$99)-MIN(ROW($G$1:$G$99))+1), ROW(93:93))), " ")</f>
        <v xml:space="preserve"> </v>
      </c>
      <c r="K95" t="str">
        <f t="array" ref="K95">IFERROR(INDEX(B$1:B$99, SMALL(IF($G$1:$G$99="YES", ROW($G$1:$G$99)-MIN(ROW($G$1:$G$99))+1), ROW(93:93))), " ")</f>
        <v xml:space="preserve"> </v>
      </c>
      <c r="L95" t="str">
        <f t="array" ref="L95">IFERROR(INDEX(C$1:C$99, SMALL(IF($G$1:$G$99="YES", ROW($G$1:$G$99)-MIN(ROW($G$1:$G$99))+1), ROW(93:93))), " ")</f>
        <v xml:space="preserve"> </v>
      </c>
    </row>
    <row r="96" spans="1:12" ht="15" thickBot="1">
      <c r="A96" s="115"/>
      <c r="B96" s="117"/>
      <c r="C96" s="118"/>
      <c r="D96" s="115"/>
      <c r="E96" s="115"/>
      <c r="F96" s="230"/>
      <c r="G96" s="293"/>
      <c r="J96" t="str">
        <f t="array" ref="J96">IFERROR(INDEX(A$1:A$99, SMALL(IF($G$1:$G$99="YES", ROW($G$1:$G$99)-MIN(ROW($G$1:$G$99))+1), ROW(94:94))), " ")</f>
        <v xml:space="preserve"> </v>
      </c>
      <c r="K96" t="str">
        <f t="array" ref="K96">IFERROR(INDEX(B$1:B$99, SMALL(IF($G$1:$G$99="YES", ROW($G$1:$G$99)-MIN(ROW($G$1:$G$99))+1), ROW(94:94))), " ")</f>
        <v xml:space="preserve"> </v>
      </c>
      <c r="L96" t="str">
        <f t="array" ref="L96">IFERROR(INDEX(C$1:C$99, SMALL(IF($G$1:$G$99="YES", ROW($G$1:$G$99)-MIN(ROW($G$1:$G$99))+1), ROW(94:94))), " ")</f>
        <v xml:space="preserve"> </v>
      </c>
    </row>
    <row r="97" spans="1:12" ht="15" thickBot="1">
      <c r="A97" s="115"/>
      <c r="B97" s="117"/>
      <c r="C97" s="118"/>
      <c r="D97" s="115"/>
      <c r="E97" s="115"/>
      <c r="F97" s="230"/>
      <c r="G97" s="293"/>
      <c r="J97" t="str">
        <f t="array" ref="J97">IFERROR(INDEX(A$1:A$99, SMALL(IF($G$1:$G$99="YES", ROW($G$1:$G$99)-MIN(ROW($G$1:$G$99))+1), ROW(95:95))), " ")</f>
        <v xml:space="preserve"> </v>
      </c>
      <c r="K97" t="str">
        <f t="array" ref="K97">IFERROR(INDEX(B$1:B$99, SMALL(IF($G$1:$G$99="YES", ROW($G$1:$G$99)-MIN(ROW($G$1:$G$99))+1), ROW(95:95))), " ")</f>
        <v xml:space="preserve"> </v>
      </c>
      <c r="L97" t="str">
        <f t="array" ref="L97">IFERROR(INDEX(C$1:C$99, SMALL(IF($G$1:$G$99="YES", ROW($G$1:$G$99)-MIN(ROW($G$1:$G$99))+1), ROW(95:95))), " ")</f>
        <v xml:space="preserve"> </v>
      </c>
    </row>
    <row r="98" spans="1:12" ht="15" thickBot="1">
      <c r="A98" s="115"/>
      <c r="B98" s="117"/>
      <c r="C98" s="118"/>
      <c r="D98" s="115"/>
      <c r="E98" s="115"/>
      <c r="F98" s="230"/>
      <c r="G98" s="293"/>
      <c r="J98" t="str">
        <f t="array" ref="J98">IFERROR(INDEX(A$1:A$99, SMALL(IF($G$1:$G$99="YES", ROW($G$1:$G$99)-MIN(ROW($G$1:$G$99))+1), ROW(96:96))), " ")</f>
        <v xml:space="preserve"> </v>
      </c>
      <c r="K98" t="str">
        <f t="array" ref="K98">IFERROR(INDEX(B$1:B$99, SMALL(IF($G$1:$G$99="YES", ROW($G$1:$G$99)-MIN(ROW($G$1:$G$99))+1), ROW(96:96))), " ")</f>
        <v xml:space="preserve"> </v>
      </c>
      <c r="L98" t="str">
        <f t="array" ref="L98">IFERROR(INDEX(C$1:C$99, SMALL(IF($G$1:$G$99="YES", ROW($G$1:$G$99)-MIN(ROW($G$1:$G$99))+1), ROW(96:96))), " ")</f>
        <v xml:space="preserve"> </v>
      </c>
    </row>
    <row r="99" spans="1:12" ht="15" thickBot="1">
      <c r="A99" s="115"/>
      <c r="B99" s="117"/>
      <c r="C99" s="118"/>
      <c r="D99" s="115"/>
      <c r="E99" s="115"/>
      <c r="F99" s="230"/>
      <c r="G99" s="293"/>
      <c r="J99" t="str">
        <f t="array" ref="J99">IFERROR(INDEX(A$1:A$99, SMALL(IF($G$1:$G$99="YES", ROW($G$1:$G$99)-MIN(ROW($G$1:$G$99))+1), ROW(97:97))), " ")</f>
        <v xml:space="preserve"> </v>
      </c>
      <c r="K99" t="str">
        <f t="array" ref="K99">IFERROR(INDEX(B$1:B$99, SMALL(IF($G$1:$G$99="YES", ROW($G$1:$G$99)-MIN(ROW($G$1:$G$99))+1), ROW(97:97))), " ")</f>
        <v xml:space="preserve"> </v>
      </c>
      <c r="L99" t="str">
        <f t="array" ref="L99">IFERROR(INDEX(C$1:C$99, SMALL(IF($G$1:$G$99="YES", ROW($G$1:$G$99)-MIN(ROW($G$1:$G$99))+1), ROW(97:97))), " ")</f>
        <v xml:space="preserve"> </v>
      </c>
    </row>
    <row r="100" spans="1:12" ht="15" thickBot="1">
      <c r="A100" s="115"/>
      <c r="B100" s="117"/>
      <c r="C100" s="118"/>
      <c r="D100" s="115"/>
      <c r="E100" s="115"/>
      <c r="F100" s="230"/>
      <c r="G100" s="293"/>
      <c r="J100" t="str">
        <f t="array" ref="J100">IFERROR(INDEX(A$1:A$99, SMALL(IF($G$1:$G$99="YES", ROW($G$1:$G$99)-MIN(ROW($G$1:$G$99))+1), ROW(98:98))), " ")</f>
        <v xml:space="preserve"> </v>
      </c>
      <c r="K100" t="str">
        <f t="array" ref="K100">IFERROR(INDEX(B$1:B$99, SMALL(IF($G$1:$G$99="YES", ROW($G$1:$G$99)-MIN(ROW($G$1:$G$99))+1), ROW(98:98))), " ")</f>
        <v xml:space="preserve"> </v>
      </c>
      <c r="L100" t="str">
        <f t="array" ref="L100">IFERROR(INDEX(C$1:C$99, SMALL(IF($G$1:$G$99="YES", ROW($G$1:$G$99)-MIN(ROW($G$1:$G$99))+1), ROW(98:98))), " ")</f>
        <v xml:space="preserve"> </v>
      </c>
    </row>
    <row r="101" spans="1:12" ht="15" thickBot="1">
      <c r="A101" s="115"/>
      <c r="B101" s="117"/>
      <c r="C101" s="118"/>
      <c r="D101" s="115"/>
      <c r="E101" s="115"/>
      <c r="F101" s="230"/>
      <c r="G101" s="293"/>
      <c r="J101" t="str">
        <f t="array" ref="J101">IFERROR(INDEX(A$1:A$99, SMALL(IF($G$1:$G$99="YES", ROW($G$1:$G$99)-MIN(ROW($G$1:$G$99))+1), ROW(99:99))), " ")</f>
        <v xml:space="preserve"> </v>
      </c>
      <c r="K101" t="str">
        <f t="array" ref="K101">IFERROR(INDEX(B$1:B$99, SMALL(IF($G$1:$G$99="YES", ROW($G$1:$G$99)-MIN(ROW($G$1:$G$99))+1), ROW(99:99))), " ")</f>
        <v xml:space="preserve"> </v>
      </c>
      <c r="L101" t="str">
        <f t="array" ref="L101">IFERROR(INDEX(C$1:C$99, SMALL(IF($G$1:$G$99="YES", ROW($G$1:$G$99)-MIN(ROW($G$1:$G$99))+1), ROW(99:99))), " ")</f>
        <v xml:space="preserve"> </v>
      </c>
    </row>
    <row r="102" spans="1:12" ht="15" thickBot="1">
      <c r="A102" s="115"/>
      <c r="B102" s="117"/>
      <c r="C102" s="118"/>
      <c r="D102" s="115"/>
      <c r="E102" s="115"/>
      <c r="F102" s="230"/>
      <c r="G102" s="293"/>
      <c r="J102" t="str">
        <f t="array" ref="J102">IFERROR(INDEX(A$1:A$99, SMALL(IF($G$1:$G$99="YES", ROW($G$1:$G$99)-MIN(ROW($G$1:$G$99))+1), ROW(100:100))), " ")</f>
        <v xml:space="preserve"> </v>
      </c>
      <c r="K102" t="str">
        <f t="array" ref="K102">IFERROR(INDEX(B$1:B$99, SMALL(IF($G$1:$G$99="YES", ROW($G$1:$G$99)-MIN(ROW($G$1:$G$99))+1), ROW(100:100))), " ")</f>
        <v xml:space="preserve"> </v>
      </c>
      <c r="L102" t="str">
        <f t="array" ref="L102">IFERROR(INDEX(C$1:C$99, SMALL(IF($G$1:$G$99="YES", ROW($G$1:$G$99)-MIN(ROW($G$1:$G$99))+1), ROW(100:100))), " ")</f>
        <v xml:space="preserve"> </v>
      </c>
    </row>
    <row r="103" spans="1:12" ht="15" thickBot="1">
      <c r="A103" s="115"/>
      <c r="B103" s="117"/>
      <c r="C103" s="118"/>
      <c r="D103" s="115"/>
      <c r="E103" s="115"/>
      <c r="F103" s="230"/>
      <c r="G103" s="293"/>
      <c r="J103" t="str">
        <f t="array" ref="J103">IFERROR(INDEX(A$1:A$99, SMALL(IF($G$1:$G$99="YES", ROW($G$1:$G$99)-MIN(ROW($G$1:$G$99))+1), ROW(101:101))), " ")</f>
        <v xml:space="preserve"> </v>
      </c>
      <c r="K103" t="str">
        <f t="array" ref="K103">IFERROR(INDEX(B$1:B$99, SMALL(IF($G$1:$G$99="YES", ROW($G$1:$G$99)-MIN(ROW($G$1:$G$99))+1), ROW(101:101))), " ")</f>
        <v xml:space="preserve"> </v>
      </c>
      <c r="L103" t="str">
        <f t="array" ref="L103">IFERROR(INDEX(C$1:C$99, SMALL(IF($G$1:$G$99="YES", ROW($G$1:$G$99)-MIN(ROW($G$1:$G$99))+1), ROW(101:101))), " ")</f>
        <v xml:space="preserve"> </v>
      </c>
    </row>
    <row r="104" spans="1:12" ht="15" thickBot="1">
      <c r="A104" s="115"/>
      <c r="B104" s="117"/>
      <c r="C104" s="118"/>
      <c r="D104" s="115"/>
      <c r="E104" s="115"/>
      <c r="F104" s="230"/>
      <c r="G104" s="293"/>
      <c r="J104" t="str">
        <f t="array" ref="J104">IFERROR(INDEX(A$1:A$99, SMALL(IF($G$1:$G$99="YES", ROW($G$1:$G$99)-MIN(ROW($G$1:$G$99))+1), ROW(102:102))), " ")</f>
        <v xml:space="preserve"> </v>
      </c>
      <c r="K104" t="str">
        <f t="array" ref="K104">IFERROR(INDEX(B$1:B$99, SMALL(IF($G$1:$G$99="YES", ROW($G$1:$G$99)-MIN(ROW($G$1:$G$99))+1), ROW(102:102))), " ")</f>
        <v xml:space="preserve"> </v>
      </c>
      <c r="L104" t="str">
        <f t="array" ref="L104">IFERROR(INDEX(C$1:C$99, SMALL(IF($G$1:$G$99="YES", ROW($G$1:$G$99)-MIN(ROW($G$1:$G$99))+1), ROW(102:102))), " ")</f>
        <v xml:space="preserve"> </v>
      </c>
    </row>
    <row r="105" spans="1:12" ht="15" thickBot="1">
      <c r="A105" s="115"/>
      <c r="B105" s="117"/>
      <c r="C105" s="118"/>
      <c r="D105" s="115"/>
      <c r="E105" s="115"/>
      <c r="F105" s="230"/>
      <c r="G105" s="293"/>
      <c r="J105" t="str">
        <f t="array" ref="J105">IFERROR(INDEX(A$1:A$99, SMALL(IF($G$1:$G$99="YES", ROW($G$1:$G$99)-MIN(ROW($G$1:$G$99))+1), ROW(103:103))), " ")</f>
        <v xml:space="preserve"> </v>
      </c>
      <c r="K105" t="str">
        <f t="array" ref="K105">IFERROR(INDEX(B$1:B$99, SMALL(IF($G$1:$G$99="YES", ROW($G$1:$G$99)-MIN(ROW($G$1:$G$99))+1), ROW(103:103))), " ")</f>
        <v xml:space="preserve"> </v>
      </c>
      <c r="L105" t="str">
        <f t="array" ref="L105">IFERROR(INDEX(C$1:C$99, SMALL(IF($G$1:$G$99="YES", ROW($G$1:$G$99)-MIN(ROW($G$1:$G$99))+1), ROW(103:103))), " ")</f>
        <v xml:space="preserve"> </v>
      </c>
    </row>
    <row r="106" spans="1:12" ht="15" thickBot="1">
      <c r="A106" s="115"/>
      <c r="B106" s="117"/>
      <c r="C106" s="118"/>
      <c r="D106" s="115"/>
      <c r="E106" s="115"/>
      <c r="F106" s="230"/>
      <c r="G106" s="293"/>
      <c r="J106" t="str">
        <f t="array" ref="J106">IFERROR(INDEX(A$1:A$99, SMALL(IF($G$1:$G$99="YES", ROW($G$1:$G$99)-MIN(ROW($G$1:$G$99))+1), ROW(104:104))), " ")</f>
        <v xml:space="preserve"> </v>
      </c>
      <c r="K106" t="str">
        <f t="array" ref="K106">IFERROR(INDEX(B$1:B$99, SMALL(IF($G$1:$G$99="YES", ROW($G$1:$G$99)-MIN(ROW($G$1:$G$99))+1), ROW(104:104))), " ")</f>
        <v xml:space="preserve"> </v>
      </c>
      <c r="L106" t="str">
        <f t="array" ref="L106">IFERROR(INDEX(C$1:C$99, SMALL(IF($G$1:$G$99="YES", ROW($G$1:$G$99)-MIN(ROW($G$1:$G$99))+1), ROW(104:104))), " ")</f>
        <v xml:space="preserve"> </v>
      </c>
    </row>
    <row r="107" spans="1:12" ht="15" thickBot="1">
      <c r="A107" s="115"/>
      <c r="B107" s="117"/>
      <c r="C107" s="118"/>
      <c r="D107" s="115"/>
      <c r="E107" s="115"/>
      <c r="F107" s="230"/>
      <c r="G107" s="293"/>
      <c r="J107" t="str">
        <f t="array" ref="J107">IFERROR(INDEX(A$1:A$99, SMALL(IF($G$1:$G$99="YES", ROW($G$1:$G$99)-MIN(ROW($G$1:$G$99))+1), ROW(105:105))), " ")</f>
        <v xml:space="preserve"> </v>
      </c>
      <c r="K107" t="str">
        <f t="array" ref="K107">IFERROR(INDEX(B$1:B$99, SMALL(IF($G$1:$G$99="YES", ROW($G$1:$G$99)-MIN(ROW($G$1:$G$99))+1), ROW(105:105))), " ")</f>
        <v xml:space="preserve"> </v>
      </c>
      <c r="L107" t="str">
        <f t="array" ref="L107">IFERROR(INDEX(C$1:C$99, SMALL(IF($G$1:$G$99="YES", ROW($G$1:$G$99)-MIN(ROW($G$1:$G$99))+1), ROW(105:105))), " ")</f>
        <v xml:space="preserve"> </v>
      </c>
    </row>
    <row r="108" spans="1:12" ht="15" thickBot="1">
      <c r="A108" s="115"/>
      <c r="B108" s="117"/>
      <c r="C108" s="118"/>
      <c r="D108" s="115"/>
      <c r="E108" s="115"/>
      <c r="F108" s="230"/>
      <c r="G108" s="293"/>
      <c r="J108" t="str">
        <f t="array" ref="J108">IFERROR(INDEX(A$1:A$99, SMALL(IF($G$1:$G$99="YES", ROW($G$1:$G$99)-MIN(ROW($G$1:$G$99))+1), ROW(106:106))), " ")</f>
        <v xml:space="preserve"> </v>
      </c>
      <c r="K108" t="str">
        <f t="array" ref="K108">IFERROR(INDEX(B$1:B$99, SMALL(IF($G$1:$G$99="YES", ROW($G$1:$G$99)-MIN(ROW($G$1:$G$99))+1), ROW(106:106))), " ")</f>
        <v xml:space="preserve"> </v>
      </c>
      <c r="L108" t="str">
        <f t="array" ref="L108">IFERROR(INDEX(C$1:C$99, SMALL(IF($G$1:$G$99="YES", ROW($G$1:$G$99)-MIN(ROW($G$1:$G$99))+1), ROW(106:106))), " ")</f>
        <v xml:space="preserve"> </v>
      </c>
    </row>
    <row r="109" spans="1:12" ht="15" thickBot="1">
      <c r="A109" s="115"/>
      <c r="B109" s="117"/>
      <c r="C109" s="118"/>
      <c r="D109" s="115"/>
      <c r="E109" s="115"/>
      <c r="F109" s="230"/>
      <c r="G109" s="293"/>
      <c r="J109" t="str">
        <f t="array" ref="J109">IFERROR(INDEX(A$1:A$99, SMALL(IF($G$1:$G$99="YES", ROW($G$1:$G$99)-MIN(ROW($G$1:$G$99))+1), ROW(107:107))), " ")</f>
        <v xml:space="preserve"> </v>
      </c>
      <c r="K109" t="str">
        <f t="array" ref="K109">IFERROR(INDEX(B$1:B$99, SMALL(IF($G$1:$G$99="YES", ROW($G$1:$G$99)-MIN(ROW($G$1:$G$99))+1), ROW(107:107))), " ")</f>
        <v xml:space="preserve"> </v>
      </c>
      <c r="L109" t="str">
        <f t="array" ref="L109">IFERROR(INDEX(C$1:C$99, SMALL(IF($G$1:$G$99="YES", ROW($G$1:$G$99)-MIN(ROW($G$1:$G$99))+1), ROW(107:107))), " ")</f>
        <v xml:space="preserve"> </v>
      </c>
    </row>
    <row r="110" spans="1:12" ht="15" thickBot="1">
      <c r="A110" s="115"/>
      <c r="B110" s="117"/>
      <c r="C110" s="118"/>
      <c r="D110" s="115"/>
      <c r="E110" s="115"/>
      <c r="F110" s="230"/>
      <c r="G110" s="293"/>
      <c r="J110" t="str">
        <f t="array" ref="J110">IFERROR(INDEX(A$1:A$99, SMALL(IF($G$1:$G$99="YES", ROW($G$1:$G$99)-MIN(ROW($G$1:$G$99))+1), ROW(108:108))), " ")</f>
        <v xml:space="preserve"> </v>
      </c>
      <c r="K110" t="str">
        <f t="array" ref="K110">IFERROR(INDEX(B$1:B$99, SMALL(IF($G$1:$G$99="YES", ROW($G$1:$G$99)-MIN(ROW($G$1:$G$99))+1), ROW(108:108))), " ")</f>
        <v xml:space="preserve"> </v>
      </c>
      <c r="L110" t="str">
        <f t="array" ref="L110">IFERROR(INDEX(C$1:C$99, SMALL(IF($G$1:$G$99="YES", ROW($G$1:$G$99)-MIN(ROW($G$1:$G$99))+1), ROW(108:108))), " ")</f>
        <v xml:space="preserve"> </v>
      </c>
    </row>
    <row r="111" spans="1:12" ht="15" thickBot="1">
      <c r="A111" s="115"/>
      <c r="B111" s="117"/>
      <c r="C111" s="118"/>
      <c r="D111" s="115"/>
      <c r="E111" s="115"/>
      <c r="F111" s="230"/>
      <c r="G111" s="293"/>
      <c r="J111" t="str">
        <f t="array" ref="J111">IFERROR(INDEX(A$1:A$99, SMALL(IF($G$1:$G$99="YES", ROW($G$1:$G$99)-MIN(ROW($G$1:$G$99))+1), ROW(109:109))), " ")</f>
        <v xml:space="preserve"> </v>
      </c>
      <c r="K111" t="str">
        <f t="array" ref="K111">IFERROR(INDEX(B$1:B$99, SMALL(IF($G$1:$G$99="YES", ROW($G$1:$G$99)-MIN(ROW($G$1:$G$99))+1), ROW(109:109))), " ")</f>
        <v xml:space="preserve"> </v>
      </c>
      <c r="L111" t="str">
        <f t="array" ref="L111">IFERROR(INDEX(C$1:C$99, SMALL(IF($G$1:$G$99="YES", ROW($G$1:$G$99)-MIN(ROW($G$1:$G$99))+1), ROW(109:109))), " ")</f>
        <v xml:space="preserve"> </v>
      </c>
    </row>
    <row r="112" spans="1:12" ht="15" thickBot="1">
      <c r="A112" s="115"/>
      <c r="B112" s="117"/>
      <c r="C112" s="118"/>
      <c r="D112" s="115"/>
      <c r="E112" s="115"/>
      <c r="F112" s="230"/>
      <c r="G112" s="293"/>
      <c r="J112" t="str">
        <f t="array" ref="J112">IFERROR(INDEX(A$1:A$99, SMALL(IF($G$1:$G$99="YES", ROW($G$1:$G$99)-MIN(ROW($G$1:$G$99))+1), ROW(110:110))), " ")</f>
        <v xml:space="preserve"> </v>
      </c>
      <c r="K112" t="str">
        <f t="array" ref="K112">IFERROR(INDEX(B$1:B$99, SMALL(IF($G$1:$G$99="YES", ROW($G$1:$G$99)-MIN(ROW($G$1:$G$99))+1), ROW(110:110))), " ")</f>
        <v xml:space="preserve"> </v>
      </c>
      <c r="L112" t="str">
        <f t="array" ref="L112">IFERROR(INDEX(C$1:C$99, SMALL(IF($G$1:$G$99="YES", ROW($G$1:$G$99)-MIN(ROW($G$1:$G$99))+1), ROW(110:110))), " ")</f>
        <v xml:space="preserve"> </v>
      </c>
    </row>
    <row r="113" spans="1:12" ht="15" thickBot="1">
      <c r="A113" s="115"/>
      <c r="B113" s="117"/>
      <c r="C113" s="118"/>
      <c r="D113" s="115"/>
      <c r="E113" s="115"/>
      <c r="F113" s="230"/>
      <c r="G113" s="293"/>
      <c r="J113" t="str">
        <f t="array" ref="J113">IFERROR(INDEX(A$1:A$99, SMALL(IF($G$1:$G$99="YES", ROW($G$1:$G$99)-MIN(ROW($G$1:$G$99))+1), ROW(111:111))), " ")</f>
        <v xml:space="preserve"> </v>
      </c>
      <c r="K113" t="str">
        <f t="array" ref="K113">IFERROR(INDEX(B$1:B$99, SMALL(IF($G$1:$G$99="YES", ROW($G$1:$G$99)-MIN(ROW($G$1:$G$99))+1), ROW(111:111))), " ")</f>
        <v xml:space="preserve"> </v>
      </c>
      <c r="L113" t="str">
        <f t="array" ref="L113">IFERROR(INDEX(C$1:C$99, SMALL(IF($G$1:$G$99="YES", ROW($G$1:$G$99)-MIN(ROW($G$1:$G$99))+1), ROW(111:111))), " ")</f>
        <v xml:space="preserve"> </v>
      </c>
    </row>
    <row r="114" spans="1:12" ht="15" thickBot="1">
      <c r="A114" s="115"/>
      <c r="B114" s="117"/>
      <c r="C114" s="118"/>
      <c r="D114" s="115"/>
      <c r="E114" s="115"/>
      <c r="F114" s="230"/>
      <c r="G114" s="293"/>
      <c r="J114" t="str">
        <f t="array" ref="J114">IFERROR(INDEX(A$1:A$99, SMALL(IF($G$1:$G$99="YES", ROW($G$1:$G$99)-MIN(ROW($G$1:$G$99))+1), ROW(112:112))), " ")</f>
        <v xml:space="preserve"> </v>
      </c>
      <c r="K114" t="str">
        <f t="array" ref="K114">IFERROR(INDEX(B$1:B$99, SMALL(IF($G$1:$G$99="YES", ROW($G$1:$G$99)-MIN(ROW($G$1:$G$99))+1), ROW(112:112))), " ")</f>
        <v xml:space="preserve"> </v>
      </c>
      <c r="L114" t="str">
        <f t="array" ref="L114">IFERROR(INDEX(C$1:C$99, SMALL(IF($G$1:$G$99="YES", ROW($G$1:$G$99)-MIN(ROW($G$1:$G$99))+1), ROW(112:112))), " ")</f>
        <v xml:space="preserve"> </v>
      </c>
    </row>
    <row r="115" spans="1:12" ht="15" thickBot="1">
      <c r="A115" s="115"/>
      <c r="B115" s="117"/>
      <c r="C115" s="118"/>
      <c r="D115" s="115"/>
      <c r="E115" s="115"/>
      <c r="F115" s="230"/>
      <c r="G115" s="293"/>
      <c r="J115" t="str">
        <f t="array" ref="J115">IFERROR(INDEX(A$1:A$99, SMALL(IF($G$1:$G$99="YES", ROW($G$1:$G$99)-MIN(ROW($G$1:$G$99))+1), ROW(113:113))), " ")</f>
        <v xml:space="preserve"> </v>
      </c>
      <c r="K115" t="str">
        <f t="array" ref="K115">IFERROR(INDEX(B$1:B$99, SMALL(IF($G$1:$G$99="YES", ROW($G$1:$G$99)-MIN(ROW($G$1:$G$99))+1), ROW(113:113))), " ")</f>
        <v xml:space="preserve"> </v>
      </c>
      <c r="L115" t="str">
        <f t="array" ref="L115">IFERROR(INDEX(C$1:C$99, SMALL(IF($G$1:$G$99="YES", ROW($G$1:$G$99)-MIN(ROW($G$1:$G$99))+1), ROW(113:113))), " ")</f>
        <v xml:space="preserve"> </v>
      </c>
    </row>
    <row r="116" spans="1:12" ht="15" thickBot="1">
      <c r="A116" s="115"/>
      <c r="B116" s="117"/>
      <c r="C116" s="118"/>
      <c r="D116" s="115"/>
      <c r="E116" s="115"/>
      <c r="F116" s="230"/>
      <c r="G116" s="293"/>
      <c r="J116" t="str">
        <f t="array" ref="J116">IFERROR(INDEX(A$1:A$99, SMALL(IF($G$1:$G$99="YES", ROW($G$1:$G$99)-MIN(ROW($G$1:$G$99))+1), ROW(114:114))), " ")</f>
        <v xml:space="preserve"> </v>
      </c>
      <c r="K116" t="str">
        <f t="array" ref="K116">IFERROR(INDEX(B$1:B$99, SMALL(IF($G$1:$G$99="YES", ROW($G$1:$G$99)-MIN(ROW($G$1:$G$99))+1), ROW(114:114))), " ")</f>
        <v xml:space="preserve"> </v>
      </c>
      <c r="L116" t="str">
        <f t="array" ref="L116">IFERROR(INDEX(C$1:C$99, SMALL(IF($G$1:$G$99="YES", ROW($G$1:$G$99)-MIN(ROW($G$1:$G$99))+1), ROW(114:114))), " ")</f>
        <v xml:space="preserve"> </v>
      </c>
    </row>
    <row r="117" spans="1:12" ht="15" thickBot="1">
      <c r="A117" s="115"/>
      <c r="B117" s="117"/>
      <c r="C117" s="118"/>
      <c r="D117" s="115"/>
      <c r="E117" s="115"/>
      <c r="F117" s="230"/>
      <c r="G117" s="293"/>
      <c r="J117" t="str">
        <f t="array" ref="J117">IFERROR(INDEX(A$1:A$99, SMALL(IF($G$1:$G$99="YES", ROW($G$1:$G$99)-MIN(ROW($G$1:$G$99))+1), ROW(115:115))), " ")</f>
        <v xml:space="preserve"> </v>
      </c>
      <c r="K117" t="str">
        <f t="array" ref="K117">IFERROR(INDEX(B$1:B$99, SMALL(IF($G$1:$G$99="YES", ROW($G$1:$G$99)-MIN(ROW($G$1:$G$99))+1), ROW(115:115))), " ")</f>
        <v xml:space="preserve"> </v>
      </c>
      <c r="L117" t="str">
        <f t="array" ref="L117">IFERROR(INDEX(C$1:C$99, SMALL(IF($G$1:$G$99="YES", ROW($G$1:$G$99)-MIN(ROW($G$1:$G$99))+1), ROW(115:115))), " ")</f>
        <v xml:space="preserve"> </v>
      </c>
    </row>
    <row r="118" spans="1:12" ht="15" thickBot="1">
      <c r="A118" s="115"/>
      <c r="B118" s="117"/>
      <c r="C118" s="118"/>
      <c r="D118" s="115"/>
      <c r="E118" s="115"/>
      <c r="F118" s="230"/>
      <c r="G118" s="293"/>
      <c r="J118" t="str">
        <f t="array" ref="J118">IFERROR(INDEX(A$1:A$99, SMALL(IF($G$1:$G$99="YES", ROW($G$1:$G$99)-MIN(ROW($G$1:$G$99))+1), ROW(116:116))), " ")</f>
        <v xml:space="preserve"> </v>
      </c>
      <c r="K118" t="str">
        <f t="array" ref="K118">IFERROR(INDEX(B$1:B$99, SMALL(IF($G$1:$G$99="YES", ROW($G$1:$G$99)-MIN(ROW($G$1:$G$99))+1), ROW(116:116))), " ")</f>
        <v xml:space="preserve"> </v>
      </c>
      <c r="L118" t="str">
        <f t="array" ref="L118">IFERROR(INDEX(C$1:C$99, SMALL(IF($G$1:$G$99="YES", ROW($G$1:$G$99)-MIN(ROW($G$1:$G$99))+1), ROW(116:116))), " ")</f>
        <v xml:space="preserve"> </v>
      </c>
    </row>
    <row r="119" spans="1:12" ht="15" thickBot="1">
      <c r="A119" s="115"/>
      <c r="B119" s="117"/>
      <c r="C119" s="118"/>
      <c r="D119" s="115"/>
      <c r="E119" s="115"/>
      <c r="F119" s="230"/>
      <c r="G119" s="293"/>
      <c r="J119" t="str">
        <f t="array" ref="J119">IFERROR(INDEX(A$1:A$99, SMALL(IF($G$1:$G$99="YES", ROW($G$1:$G$99)-MIN(ROW($G$1:$G$99))+1), ROW(117:117))), " ")</f>
        <v xml:space="preserve"> </v>
      </c>
      <c r="K119" t="str">
        <f t="array" ref="K119">IFERROR(INDEX(B$1:B$99, SMALL(IF($G$1:$G$99="YES", ROW($G$1:$G$99)-MIN(ROW($G$1:$G$99))+1), ROW(117:117))), " ")</f>
        <v xml:space="preserve"> </v>
      </c>
      <c r="L119" t="str">
        <f t="array" ref="L119">IFERROR(INDEX(C$1:C$99, SMALL(IF($G$1:$G$99="YES", ROW($G$1:$G$99)-MIN(ROW($G$1:$G$99))+1), ROW(117:117))), " ")</f>
        <v xml:space="preserve"> </v>
      </c>
    </row>
    <row r="120" spans="1:12" ht="15" thickBot="1">
      <c r="A120" s="115"/>
      <c r="B120" s="117"/>
      <c r="C120" s="118"/>
      <c r="D120" s="115"/>
      <c r="E120" s="115"/>
      <c r="F120" s="230"/>
      <c r="G120" s="293"/>
      <c r="J120" t="str">
        <f t="array" ref="J120">IFERROR(INDEX(A$1:A$99, SMALL(IF($G$1:$G$99="YES", ROW($G$1:$G$99)-MIN(ROW($G$1:$G$99))+1), ROW(118:118))), " ")</f>
        <v xml:space="preserve"> </v>
      </c>
      <c r="K120" t="str">
        <f t="array" ref="K120">IFERROR(INDEX(B$1:B$99, SMALL(IF($G$1:$G$99="YES", ROW($G$1:$G$99)-MIN(ROW($G$1:$G$99))+1), ROW(118:118))), " ")</f>
        <v xml:space="preserve"> </v>
      </c>
      <c r="L120" t="str">
        <f t="array" ref="L120">IFERROR(INDEX(C$1:C$99, SMALL(IF($G$1:$G$99="YES", ROW($G$1:$G$99)-MIN(ROW($G$1:$G$99))+1), ROW(118:118))), " ")</f>
        <v xml:space="preserve"> </v>
      </c>
    </row>
    <row r="121" spans="1:12" ht="15" thickBot="1">
      <c r="A121" s="115"/>
      <c r="B121" s="117"/>
      <c r="C121" s="118"/>
      <c r="D121" s="115"/>
      <c r="E121" s="115"/>
      <c r="F121" s="230"/>
      <c r="G121" s="293"/>
      <c r="J121" t="str">
        <f t="array" ref="J121">IFERROR(INDEX(A$1:A$99, SMALL(IF($G$1:$G$99="YES", ROW($G$1:$G$99)-MIN(ROW($G$1:$G$99))+1), ROW(119:119))), " ")</f>
        <v xml:space="preserve"> </v>
      </c>
      <c r="K121" t="str">
        <f t="array" ref="K121">IFERROR(INDEX(B$1:B$99, SMALL(IF($G$1:$G$99="YES", ROW($G$1:$G$99)-MIN(ROW($G$1:$G$99))+1), ROW(119:119))), " ")</f>
        <v xml:space="preserve"> </v>
      </c>
      <c r="L121" t="str">
        <f t="array" ref="L121">IFERROR(INDEX(C$1:C$99, SMALL(IF($G$1:$G$99="YES", ROW($G$1:$G$99)-MIN(ROW($G$1:$G$99))+1), ROW(119:119))), " ")</f>
        <v xml:space="preserve"> </v>
      </c>
    </row>
    <row r="122" spans="1:12" ht="15" thickBot="1">
      <c r="A122" s="115"/>
      <c r="B122" s="117"/>
      <c r="C122" s="118"/>
      <c r="D122" s="115"/>
      <c r="E122" s="115"/>
      <c r="F122" s="230"/>
      <c r="G122" s="293"/>
      <c r="J122" t="str">
        <f t="array" ref="J122">IFERROR(INDEX(A$1:A$99, SMALL(IF($G$1:$G$99="YES", ROW($G$1:$G$99)-MIN(ROW($G$1:$G$99))+1), ROW(120:120))), " ")</f>
        <v xml:space="preserve"> </v>
      </c>
      <c r="K122" t="str">
        <f t="array" ref="K122">IFERROR(INDEX(B$1:B$99, SMALL(IF($G$1:$G$99="YES", ROW($G$1:$G$99)-MIN(ROW($G$1:$G$99))+1), ROW(120:120))), " ")</f>
        <v xml:space="preserve"> </v>
      </c>
      <c r="L122" t="str">
        <f t="array" ref="L122">IFERROR(INDEX(C$1:C$99, SMALL(IF($G$1:$G$99="YES", ROW($G$1:$G$99)-MIN(ROW($G$1:$G$99))+1), ROW(120:120))), " ")</f>
        <v xml:space="preserve"> </v>
      </c>
    </row>
    <row r="123" spans="1:12" ht="15" thickBot="1">
      <c r="A123" s="115"/>
      <c r="B123" s="117"/>
      <c r="C123" s="118"/>
      <c r="D123" s="115"/>
      <c r="E123" s="115"/>
      <c r="F123" s="230"/>
      <c r="G123" s="293"/>
      <c r="J123" t="str">
        <f t="array" ref="J123">IFERROR(INDEX(A$1:A$99, SMALL(IF($G$1:$G$99="YES", ROW($G$1:$G$99)-MIN(ROW($G$1:$G$99))+1), ROW(121:121))), " ")</f>
        <v xml:space="preserve"> </v>
      </c>
      <c r="K123" t="str">
        <f t="array" ref="K123">IFERROR(INDEX(B$1:B$99, SMALL(IF($G$1:$G$99="YES", ROW($G$1:$G$99)-MIN(ROW($G$1:$G$99))+1), ROW(121:121))), " ")</f>
        <v xml:space="preserve"> </v>
      </c>
      <c r="L123" t="str">
        <f t="array" ref="L123">IFERROR(INDEX(C$1:C$99, SMALL(IF($G$1:$G$99="YES", ROW($G$1:$G$99)-MIN(ROW($G$1:$G$99))+1), ROW(121:121))), " ")</f>
        <v xml:space="preserve"> </v>
      </c>
    </row>
    <row r="124" spans="1:12" ht="15" thickBot="1">
      <c r="A124" s="115"/>
      <c r="B124" s="117"/>
      <c r="C124" s="118"/>
      <c r="D124" s="115"/>
      <c r="E124" s="115"/>
      <c r="F124" s="230"/>
      <c r="G124" s="293"/>
      <c r="J124" t="str">
        <f t="array" ref="J124">IFERROR(INDEX(A$1:A$99, SMALL(IF($G$1:$G$99="YES", ROW($G$1:$G$99)-MIN(ROW($G$1:$G$99))+1), ROW(122:122))), " ")</f>
        <v xml:space="preserve"> </v>
      </c>
      <c r="K124" t="str">
        <f t="array" ref="K124">IFERROR(INDEX(B$1:B$99, SMALL(IF($G$1:$G$99="YES", ROW($G$1:$G$99)-MIN(ROW($G$1:$G$99))+1), ROW(122:122))), " ")</f>
        <v xml:space="preserve"> </v>
      </c>
      <c r="L124" t="str">
        <f t="array" ref="L124">IFERROR(INDEX(C$1:C$99, SMALL(IF($G$1:$G$99="YES", ROW($G$1:$G$99)-MIN(ROW($G$1:$G$99))+1), ROW(122:122))), " ")</f>
        <v xml:space="preserve"> </v>
      </c>
    </row>
    <row r="125" spans="1:12" ht="15" thickBot="1">
      <c r="A125" s="115"/>
      <c r="B125" s="117"/>
      <c r="C125" s="118"/>
      <c r="D125" s="115"/>
      <c r="E125" s="115"/>
      <c r="F125" s="230"/>
      <c r="G125" s="293"/>
      <c r="J125" t="str">
        <f t="array" ref="J125">IFERROR(INDEX(A$1:A$99, SMALL(IF($G$1:$G$99="YES", ROW($G$1:$G$99)-MIN(ROW($G$1:$G$99))+1), ROW(123:123))), " ")</f>
        <v xml:space="preserve"> </v>
      </c>
      <c r="K125" t="str">
        <f t="array" ref="K125">IFERROR(INDEX(B$1:B$99, SMALL(IF($G$1:$G$99="YES", ROW($G$1:$G$99)-MIN(ROW($G$1:$G$99))+1), ROW(123:123))), " ")</f>
        <v xml:space="preserve"> </v>
      </c>
      <c r="L125" t="str">
        <f t="array" ref="L125">IFERROR(INDEX(C$1:C$99, SMALL(IF($G$1:$G$99="YES", ROW($G$1:$G$99)-MIN(ROW($G$1:$G$99))+1), ROW(123:123))), " ")</f>
        <v xml:space="preserve"> </v>
      </c>
    </row>
    <row r="126" spans="1:12" ht="15" thickBot="1">
      <c r="A126" s="115"/>
      <c r="B126" s="117"/>
      <c r="C126" s="118"/>
      <c r="D126" s="115"/>
      <c r="E126" s="115"/>
      <c r="F126" s="230"/>
      <c r="G126" s="293"/>
      <c r="J126" t="str">
        <f t="array" ref="J126">IFERROR(INDEX(A$1:A$99, SMALL(IF($G$1:$G$99="YES", ROW($G$1:$G$99)-MIN(ROW($G$1:$G$99))+1), ROW(124:124))), " ")</f>
        <v xml:space="preserve"> </v>
      </c>
      <c r="K126" t="str">
        <f t="array" ref="K126">IFERROR(INDEX(B$1:B$99, SMALL(IF($G$1:$G$99="YES", ROW($G$1:$G$99)-MIN(ROW($G$1:$G$99))+1), ROW(124:124))), " ")</f>
        <v xml:space="preserve"> </v>
      </c>
      <c r="L126" t="str">
        <f t="array" ref="L126">IFERROR(INDEX(C$1:C$99, SMALL(IF($G$1:$G$99="YES", ROW($G$1:$G$99)-MIN(ROW($G$1:$G$99))+1), ROW(124:124))), " ")</f>
        <v xml:space="preserve"> </v>
      </c>
    </row>
    <row r="127" spans="1:12" ht="15" thickBot="1">
      <c r="A127" s="115"/>
      <c r="B127" s="117"/>
      <c r="C127" s="118"/>
      <c r="D127" s="115"/>
      <c r="E127" s="115"/>
      <c r="F127" s="230"/>
      <c r="G127" s="293"/>
      <c r="J127" t="str">
        <f t="array" ref="J127">IFERROR(INDEX(A$1:A$99, SMALL(IF($G$1:$G$99="YES", ROW($G$1:$G$99)-MIN(ROW($G$1:$G$99))+1), ROW(125:125))), " ")</f>
        <v xml:space="preserve"> </v>
      </c>
      <c r="K127" t="str">
        <f t="array" ref="K127">IFERROR(INDEX(B$1:B$99, SMALL(IF($G$1:$G$99="YES", ROW($G$1:$G$99)-MIN(ROW($G$1:$G$99))+1), ROW(125:125))), " ")</f>
        <v xml:space="preserve"> </v>
      </c>
      <c r="L127" t="str">
        <f t="array" ref="L127">IFERROR(INDEX(C$1:C$99, SMALL(IF($G$1:$G$99="YES", ROW($G$1:$G$99)-MIN(ROW($G$1:$G$99))+1), ROW(125:125))), " ")</f>
        <v xml:space="preserve"> </v>
      </c>
    </row>
    <row r="128" spans="1:12" ht="15" thickBot="1">
      <c r="A128" s="115"/>
      <c r="B128" s="117"/>
      <c r="C128" s="118"/>
      <c r="D128" s="115"/>
      <c r="E128" s="115"/>
      <c r="F128" s="230"/>
      <c r="G128" s="293"/>
      <c r="J128" t="str">
        <f t="array" ref="J128">IFERROR(INDEX(A$1:A$99, SMALL(IF($G$1:$G$99="YES", ROW($G$1:$G$99)-MIN(ROW($G$1:$G$99))+1), ROW(126:126))), " ")</f>
        <v xml:space="preserve"> </v>
      </c>
      <c r="K128" t="str">
        <f t="array" ref="K128">IFERROR(INDEX(B$1:B$99, SMALL(IF($G$1:$G$99="YES", ROW($G$1:$G$99)-MIN(ROW($G$1:$G$99))+1), ROW(126:126))), " ")</f>
        <v xml:space="preserve"> </v>
      </c>
      <c r="L128" t="str">
        <f t="array" ref="L128">IFERROR(INDEX(C$1:C$99, SMALL(IF($G$1:$G$99="YES", ROW($G$1:$G$99)-MIN(ROW($G$1:$G$99))+1), ROW(126:126))), " ")</f>
        <v xml:space="preserve"> </v>
      </c>
    </row>
    <row r="129" spans="1:12" ht="15" thickBot="1">
      <c r="A129" s="115"/>
      <c r="B129" s="117"/>
      <c r="C129" s="118"/>
      <c r="D129" s="115"/>
      <c r="E129" s="115"/>
      <c r="F129" s="230"/>
      <c r="G129" s="293"/>
      <c r="J129" t="str">
        <f t="array" ref="J129">IFERROR(INDEX(A$1:A$99, SMALL(IF($G$1:$G$99="YES", ROW($G$1:$G$99)-MIN(ROW($G$1:$G$99))+1), ROW(127:127))), " ")</f>
        <v xml:space="preserve"> </v>
      </c>
      <c r="K129" t="str">
        <f t="array" ref="K129">IFERROR(INDEX(B$1:B$99, SMALL(IF($G$1:$G$99="YES", ROW($G$1:$G$99)-MIN(ROW($G$1:$G$99))+1), ROW(127:127))), " ")</f>
        <v xml:space="preserve"> </v>
      </c>
      <c r="L129" t="str">
        <f t="array" ref="L129">IFERROR(INDEX(C$1:C$99, SMALL(IF($G$1:$G$99="YES", ROW($G$1:$G$99)-MIN(ROW($G$1:$G$99))+1), ROW(127:127))), " ")</f>
        <v xml:space="preserve"> </v>
      </c>
    </row>
    <row r="130" spans="1:12" ht="15" thickBot="1">
      <c r="A130" s="115"/>
      <c r="B130" s="117"/>
      <c r="C130" s="118"/>
      <c r="D130" s="115"/>
      <c r="E130" s="115"/>
      <c r="F130" s="230"/>
      <c r="G130" s="293"/>
      <c r="J130" t="str">
        <f t="array" ref="J130">IFERROR(INDEX(A$1:A$99, SMALL(IF($G$1:$G$99="YES", ROW($G$1:$G$99)-MIN(ROW($G$1:$G$99))+1), ROW(128:128))), " ")</f>
        <v xml:space="preserve"> </v>
      </c>
      <c r="K130" t="str">
        <f t="array" ref="K130">IFERROR(INDEX(B$1:B$99, SMALL(IF($G$1:$G$99="YES", ROW($G$1:$G$99)-MIN(ROW($G$1:$G$99))+1), ROW(128:128))), " ")</f>
        <v xml:space="preserve"> </v>
      </c>
      <c r="L130" t="str">
        <f t="array" ref="L130">IFERROR(INDEX(C$1:C$99, SMALL(IF($G$1:$G$99="YES", ROW($G$1:$G$99)-MIN(ROW($G$1:$G$99))+1), ROW(128:128))), " ")</f>
        <v xml:space="preserve"> </v>
      </c>
    </row>
    <row r="131" spans="1:12" ht="15" thickBot="1">
      <c r="A131" s="115"/>
      <c r="B131" s="117"/>
      <c r="C131" s="118"/>
      <c r="D131" s="115"/>
      <c r="E131" s="115"/>
      <c r="F131" s="230"/>
      <c r="G131" s="293"/>
      <c r="J131" t="str">
        <f t="array" ref="J131">IFERROR(INDEX(A$1:A$99, SMALL(IF($G$1:$G$99="YES", ROW($G$1:$G$99)-MIN(ROW($G$1:$G$99))+1), ROW(129:129))), " ")</f>
        <v xml:space="preserve"> </v>
      </c>
      <c r="K131" t="str">
        <f t="array" ref="K131">IFERROR(INDEX(B$1:B$99, SMALL(IF($G$1:$G$99="YES", ROW($G$1:$G$99)-MIN(ROW($G$1:$G$99))+1), ROW(129:129))), " ")</f>
        <v xml:space="preserve"> </v>
      </c>
      <c r="L131" t="str">
        <f t="array" ref="L131">IFERROR(INDEX(C$1:C$99, SMALL(IF($G$1:$G$99="YES", ROW($G$1:$G$99)-MIN(ROW($G$1:$G$99))+1), ROW(129:129))), " ")</f>
        <v xml:space="preserve"> </v>
      </c>
    </row>
    <row r="132" spans="1:12" ht="15" thickBot="1">
      <c r="A132" s="115"/>
      <c r="B132" s="117"/>
      <c r="C132" s="118"/>
      <c r="D132" s="115"/>
      <c r="E132" s="115"/>
      <c r="F132" s="230"/>
      <c r="G132" s="293"/>
      <c r="J132" t="str">
        <f t="array" ref="J132">IFERROR(INDEX(A$1:A$99, SMALL(IF($G$1:$G$99="YES", ROW($G$1:$G$99)-MIN(ROW($G$1:$G$99))+1), ROW(130:130))), " ")</f>
        <v xml:space="preserve"> </v>
      </c>
      <c r="K132" t="str">
        <f t="array" ref="K132">IFERROR(INDEX(B$1:B$99, SMALL(IF($G$1:$G$99="YES", ROW($G$1:$G$99)-MIN(ROW($G$1:$G$99))+1), ROW(130:130))), " ")</f>
        <v xml:space="preserve"> </v>
      </c>
      <c r="L132" t="str">
        <f t="array" ref="L132">IFERROR(INDEX(C$1:C$99, SMALL(IF($G$1:$G$99="YES", ROW($G$1:$G$99)-MIN(ROW($G$1:$G$99))+1), ROW(130:130))), " ")</f>
        <v xml:space="preserve"> </v>
      </c>
    </row>
    <row r="133" spans="1:12" ht="15" thickBot="1">
      <c r="A133" s="115"/>
      <c r="B133" s="117"/>
      <c r="C133" s="118"/>
      <c r="D133" s="115"/>
      <c r="E133" s="115"/>
      <c r="F133" s="230"/>
      <c r="G133" s="293"/>
      <c r="J133" t="str">
        <f t="array" ref="J133">IFERROR(INDEX(A$1:A$99, SMALL(IF($G$1:$G$99="YES", ROW($G$1:$G$99)-MIN(ROW($G$1:$G$99))+1), ROW(131:131))), " ")</f>
        <v xml:space="preserve"> </v>
      </c>
      <c r="K133" t="str">
        <f t="array" ref="K133">IFERROR(INDEX(B$1:B$99, SMALL(IF($G$1:$G$99="YES", ROW($G$1:$G$99)-MIN(ROW($G$1:$G$99))+1), ROW(131:131))), " ")</f>
        <v xml:space="preserve"> </v>
      </c>
      <c r="L133" t="str">
        <f t="array" ref="L133">IFERROR(INDEX(C$1:C$99, SMALL(IF($G$1:$G$99="YES", ROW($G$1:$G$99)-MIN(ROW($G$1:$G$99))+1), ROW(131:131))), " ")</f>
        <v xml:space="preserve"> </v>
      </c>
    </row>
    <row r="134" spans="1:12" ht="15" thickBot="1">
      <c r="A134" s="115"/>
      <c r="B134" s="117"/>
      <c r="C134" s="118"/>
      <c r="D134" s="115"/>
      <c r="E134" s="115"/>
      <c r="F134" s="230"/>
      <c r="G134" s="293"/>
      <c r="J134" t="str">
        <f t="array" ref="J134">IFERROR(INDEX(A$1:A$99, SMALL(IF($G$1:$G$99="YES", ROW($G$1:$G$99)-MIN(ROW($G$1:$G$99))+1), ROW(132:132))), " ")</f>
        <v xml:space="preserve"> </v>
      </c>
      <c r="K134" t="str">
        <f t="array" ref="K134">IFERROR(INDEX(B$1:B$99, SMALL(IF($G$1:$G$99="YES", ROW($G$1:$G$99)-MIN(ROW($G$1:$G$99))+1), ROW(132:132))), " ")</f>
        <v xml:space="preserve"> </v>
      </c>
      <c r="L134" t="str">
        <f t="array" ref="L134">IFERROR(INDEX(C$1:C$99, SMALL(IF($G$1:$G$99="YES", ROW($G$1:$G$99)-MIN(ROW($G$1:$G$99))+1), ROW(132:132))), " ")</f>
        <v xml:space="preserve"> </v>
      </c>
    </row>
    <row r="135" spans="1:12" ht="15" thickBot="1">
      <c r="A135" s="115"/>
      <c r="B135" s="117"/>
      <c r="C135" s="118"/>
      <c r="D135" s="115"/>
      <c r="E135" s="115"/>
      <c r="F135" s="230"/>
      <c r="G135" s="293"/>
      <c r="J135" t="str">
        <f t="array" ref="J135">IFERROR(INDEX(A$1:A$99, SMALL(IF($G$1:$G$99="YES", ROW($G$1:$G$99)-MIN(ROW($G$1:$G$99))+1), ROW(133:133))), " ")</f>
        <v xml:space="preserve"> </v>
      </c>
      <c r="K135" t="str">
        <f t="array" ref="K135">IFERROR(INDEX(B$1:B$99, SMALL(IF($G$1:$G$99="YES", ROW($G$1:$G$99)-MIN(ROW($G$1:$G$99))+1), ROW(133:133))), " ")</f>
        <v xml:space="preserve"> </v>
      </c>
      <c r="L135" t="str">
        <f t="array" ref="L135">IFERROR(INDEX(C$1:C$99, SMALL(IF($G$1:$G$99="YES", ROW($G$1:$G$99)-MIN(ROW($G$1:$G$99))+1), ROW(133:133))), " ")</f>
        <v xml:space="preserve"> </v>
      </c>
    </row>
    <row r="136" spans="1:12" ht="15" thickBot="1">
      <c r="A136" s="115"/>
      <c r="B136" s="117"/>
      <c r="C136" s="118"/>
      <c r="D136" s="115"/>
      <c r="E136" s="115"/>
      <c r="F136" s="230"/>
      <c r="G136" s="293"/>
      <c r="J136" t="str">
        <f t="array" ref="J136">IFERROR(INDEX(A$1:A$99, SMALL(IF($G$1:$G$99="YES", ROW($G$1:$G$99)-MIN(ROW($G$1:$G$99))+1), ROW(134:134))), " ")</f>
        <v xml:space="preserve"> </v>
      </c>
      <c r="K136" t="str">
        <f t="array" ref="K136">IFERROR(INDEX(B$1:B$99, SMALL(IF($G$1:$G$99="YES", ROW($G$1:$G$99)-MIN(ROW($G$1:$G$99))+1), ROW(134:134))), " ")</f>
        <v xml:space="preserve"> </v>
      </c>
      <c r="L136" t="str">
        <f t="array" ref="L136">IFERROR(INDEX(C$1:C$99, SMALL(IF($G$1:$G$99="YES", ROW($G$1:$G$99)-MIN(ROW($G$1:$G$99))+1), ROW(134:134))), " ")</f>
        <v xml:space="preserve"> </v>
      </c>
    </row>
    <row r="137" spans="1:12" ht="15" thickBot="1">
      <c r="A137" s="115"/>
      <c r="B137" s="117"/>
      <c r="C137" s="118"/>
      <c r="D137" s="115"/>
      <c r="E137" s="115"/>
      <c r="F137" s="230"/>
      <c r="G137" s="293"/>
      <c r="J137" t="str">
        <f t="array" ref="J137">IFERROR(INDEX(A$1:A$99, SMALL(IF($G$1:$G$99="YES", ROW($G$1:$G$99)-MIN(ROW($G$1:$G$99))+1), ROW(135:135))), " ")</f>
        <v xml:space="preserve"> </v>
      </c>
      <c r="K137" t="str">
        <f t="array" ref="K137">IFERROR(INDEX(B$1:B$99, SMALL(IF($G$1:$G$99="YES", ROW($G$1:$G$99)-MIN(ROW($G$1:$G$99))+1), ROW(135:135))), " ")</f>
        <v xml:space="preserve"> </v>
      </c>
      <c r="L137" t="str">
        <f t="array" ref="L137">IFERROR(INDEX(C$1:C$99, SMALL(IF($G$1:$G$99="YES", ROW($G$1:$G$99)-MIN(ROW($G$1:$G$99))+1), ROW(135:135))), " ")</f>
        <v xml:space="preserve"> </v>
      </c>
    </row>
    <row r="138" spans="1:12" ht="15" thickBot="1">
      <c r="A138" s="115"/>
      <c r="B138" s="117"/>
      <c r="C138" s="118"/>
      <c r="D138" s="115"/>
      <c r="E138" s="115"/>
      <c r="F138" s="230"/>
      <c r="G138" s="293"/>
      <c r="J138" t="str">
        <f t="array" ref="J138">IFERROR(INDEX(A$1:A$99, SMALL(IF($G$1:$G$99="YES", ROW($G$1:$G$99)-MIN(ROW($G$1:$G$99))+1), ROW(136:136))), " ")</f>
        <v xml:space="preserve"> </v>
      </c>
      <c r="K138" t="str">
        <f t="array" ref="K138">IFERROR(INDEX(B$1:B$99, SMALL(IF($G$1:$G$99="YES", ROW($G$1:$G$99)-MIN(ROW($G$1:$G$99))+1), ROW(136:136))), " ")</f>
        <v xml:space="preserve"> </v>
      </c>
      <c r="L138" t="str">
        <f t="array" ref="L138">IFERROR(INDEX(C$1:C$99, SMALL(IF($G$1:$G$99="YES", ROW($G$1:$G$99)-MIN(ROW($G$1:$G$99))+1), ROW(136:136))), " ")</f>
        <v xml:space="preserve"> </v>
      </c>
    </row>
    <row r="139" spans="1:12" ht="15" thickBot="1">
      <c r="A139" s="115"/>
      <c r="B139" s="117"/>
      <c r="C139" s="118"/>
      <c r="D139" s="115"/>
      <c r="E139" s="115"/>
      <c r="F139" s="230"/>
      <c r="G139" s="293"/>
      <c r="J139" t="str">
        <f t="array" ref="J139">IFERROR(INDEX(A$1:A$99, SMALL(IF($G$1:$G$99="YES", ROW($G$1:$G$99)-MIN(ROW($G$1:$G$99))+1), ROW(137:137))), " ")</f>
        <v xml:space="preserve"> </v>
      </c>
      <c r="K139" t="str">
        <f t="array" ref="K139">IFERROR(INDEX(B$1:B$99, SMALL(IF($G$1:$G$99="YES", ROW($G$1:$G$99)-MIN(ROW($G$1:$G$99))+1), ROW(137:137))), " ")</f>
        <v xml:space="preserve"> </v>
      </c>
      <c r="L139" t="str">
        <f t="array" ref="L139">IFERROR(INDEX(C$1:C$99, SMALL(IF($G$1:$G$99="YES", ROW($G$1:$G$99)-MIN(ROW($G$1:$G$99))+1), ROW(137:137))), " ")</f>
        <v xml:space="preserve"> </v>
      </c>
    </row>
    <row r="140" spans="1:12" ht="15" thickBot="1">
      <c r="A140" s="115"/>
      <c r="B140" s="117"/>
      <c r="C140" s="118"/>
      <c r="D140" s="115"/>
      <c r="E140" s="115"/>
      <c r="F140" s="230"/>
      <c r="G140" s="293"/>
      <c r="J140" t="str">
        <f t="array" ref="J140">IFERROR(INDEX(A$1:A$99, SMALL(IF($G$1:$G$99="YES", ROW($G$1:$G$99)-MIN(ROW($G$1:$G$99))+1), ROW(138:138))), " ")</f>
        <v xml:space="preserve"> </v>
      </c>
      <c r="K140" t="str">
        <f t="array" ref="K140">IFERROR(INDEX(B$1:B$99, SMALL(IF($G$1:$G$99="YES", ROW($G$1:$G$99)-MIN(ROW($G$1:$G$99))+1), ROW(138:138))), " ")</f>
        <v xml:space="preserve"> </v>
      </c>
      <c r="L140" t="str">
        <f t="array" ref="L140">IFERROR(INDEX(C$1:C$99, SMALL(IF($G$1:$G$99="YES", ROW($G$1:$G$99)-MIN(ROW($G$1:$G$99))+1), ROW(138:138))), " ")</f>
        <v xml:space="preserve"> </v>
      </c>
    </row>
    <row r="141" spans="1:12" ht="15" thickBot="1">
      <c r="A141" s="115"/>
      <c r="B141" s="117"/>
      <c r="C141" s="118"/>
      <c r="D141" s="115"/>
      <c r="E141" s="115"/>
      <c r="F141" s="230"/>
      <c r="G141" s="293"/>
      <c r="J141" t="str">
        <f t="array" ref="J141">IFERROR(INDEX(A$1:A$99, SMALL(IF($G$1:$G$99="YES", ROW($G$1:$G$99)-MIN(ROW($G$1:$G$99))+1), ROW(139:139))), " ")</f>
        <v xml:space="preserve"> </v>
      </c>
      <c r="K141" t="str">
        <f t="array" ref="K141">IFERROR(INDEX(B$1:B$99, SMALL(IF($G$1:$G$99="YES", ROW($G$1:$G$99)-MIN(ROW($G$1:$G$99))+1), ROW(139:139))), " ")</f>
        <v xml:space="preserve"> </v>
      </c>
      <c r="L141" t="str">
        <f t="array" ref="L141">IFERROR(INDEX(C$1:C$99, SMALL(IF($G$1:$G$99="YES", ROW($G$1:$G$99)-MIN(ROW($G$1:$G$99))+1), ROW(139:139))), " ")</f>
        <v xml:space="preserve"> </v>
      </c>
    </row>
    <row r="142" spans="1:12" ht="15" thickBot="1">
      <c r="A142" s="115"/>
      <c r="B142" s="117"/>
      <c r="C142" s="118"/>
      <c r="D142" s="115"/>
      <c r="E142" s="115"/>
      <c r="F142" s="230"/>
      <c r="G142" s="293"/>
      <c r="J142" t="str">
        <f t="array" ref="J142">IFERROR(INDEX(A$1:A$99, SMALL(IF($G$1:$G$99="YES", ROW($G$1:$G$99)-MIN(ROW($G$1:$G$99))+1), ROW(140:140))), " ")</f>
        <v xml:space="preserve"> </v>
      </c>
      <c r="K142" t="str">
        <f t="array" ref="K142">IFERROR(INDEX(B$1:B$99, SMALL(IF($G$1:$G$99="YES", ROW($G$1:$G$99)-MIN(ROW($G$1:$G$99))+1), ROW(140:140))), " ")</f>
        <v xml:space="preserve"> </v>
      </c>
      <c r="L142" t="str">
        <f t="array" ref="L142">IFERROR(INDEX(C$1:C$99, SMALL(IF($G$1:$G$99="YES", ROW($G$1:$G$99)-MIN(ROW($G$1:$G$99))+1), ROW(140:140))), " ")</f>
        <v xml:space="preserve"> </v>
      </c>
    </row>
    <row r="143" spans="1:12" ht="15" thickBot="1">
      <c r="A143" s="115"/>
      <c r="B143" s="117"/>
      <c r="C143" s="118"/>
      <c r="D143" s="115"/>
      <c r="E143" s="115"/>
      <c r="F143" s="230"/>
      <c r="G143" s="293"/>
      <c r="J143" t="str">
        <f t="array" ref="J143">IFERROR(INDEX(A$1:A$99, SMALL(IF($G$1:$G$99="YES", ROW($G$1:$G$99)-MIN(ROW($G$1:$G$99))+1), ROW(141:141))), " ")</f>
        <v xml:space="preserve"> </v>
      </c>
      <c r="K143" t="str">
        <f t="array" ref="K143">IFERROR(INDEX(B$1:B$99, SMALL(IF($G$1:$G$99="YES", ROW($G$1:$G$99)-MIN(ROW($G$1:$G$99))+1), ROW(141:141))), " ")</f>
        <v xml:space="preserve"> </v>
      </c>
      <c r="L143" t="str">
        <f t="array" ref="L143">IFERROR(INDEX(C$1:C$99, SMALL(IF($G$1:$G$99="YES", ROW($G$1:$G$99)-MIN(ROW($G$1:$G$99))+1), ROW(141:141))), " ")</f>
        <v xml:space="preserve"> </v>
      </c>
    </row>
    <row r="144" spans="1:12" ht="15" thickBot="1">
      <c r="A144" s="115"/>
      <c r="B144" s="117"/>
      <c r="C144" s="118"/>
      <c r="D144" s="115"/>
      <c r="E144" s="115"/>
      <c r="F144" s="230"/>
      <c r="G144" s="293"/>
      <c r="J144" t="str">
        <f t="array" ref="J144">IFERROR(INDEX(A$1:A$99, SMALL(IF($G$1:$G$99="YES", ROW($G$1:$G$99)-MIN(ROW($G$1:$G$99))+1), ROW(142:142))), " ")</f>
        <v xml:space="preserve"> </v>
      </c>
      <c r="K144" t="str">
        <f t="array" ref="K144">IFERROR(INDEX(B$1:B$99, SMALL(IF($G$1:$G$99="YES", ROW($G$1:$G$99)-MIN(ROW($G$1:$G$99))+1), ROW(142:142))), " ")</f>
        <v xml:space="preserve"> </v>
      </c>
      <c r="L144" t="str">
        <f t="array" ref="L144">IFERROR(INDEX(C$1:C$99, SMALL(IF($G$1:$G$99="YES", ROW($G$1:$G$99)-MIN(ROW($G$1:$G$99))+1), ROW(142:142))), " ")</f>
        <v xml:space="preserve"> </v>
      </c>
    </row>
    <row r="145" spans="1:12" ht="15" thickBot="1">
      <c r="A145" s="115"/>
      <c r="B145" s="117"/>
      <c r="C145" s="118"/>
      <c r="D145" s="115"/>
      <c r="E145" s="115"/>
      <c r="F145" s="230"/>
      <c r="G145" s="293"/>
      <c r="J145" t="str">
        <f t="array" ref="J145">IFERROR(INDEX(A$1:A$99, SMALL(IF($G$1:$G$99="YES", ROW($G$1:$G$99)-MIN(ROW($G$1:$G$99))+1), ROW(143:143))), " ")</f>
        <v xml:space="preserve"> </v>
      </c>
      <c r="K145" t="str">
        <f t="array" ref="K145">IFERROR(INDEX(B$1:B$99, SMALL(IF($G$1:$G$99="YES", ROW($G$1:$G$99)-MIN(ROW($G$1:$G$99))+1), ROW(143:143))), " ")</f>
        <v xml:space="preserve"> </v>
      </c>
      <c r="L145" t="str">
        <f t="array" ref="L145">IFERROR(INDEX(C$1:C$99, SMALL(IF($G$1:$G$99="YES", ROW($G$1:$G$99)-MIN(ROW($G$1:$G$99))+1), ROW(143:143))), " ")</f>
        <v xml:space="preserve"> </v>
      </c>
    </row>
    <row r="146" spans="1:12" ht="15" thickBot="1">
      <c r="A146" s="115"/>
      <c r="B146" s="117"/>
      <c r="C146" s="118"/>
      <c r="D146" s="115"/>
      <c r="E146" s="115"/>
      <c r="F146" s="230"/>
      <c r="G146" s="293"/>
      <c r="J146" t="str">
        <f t="array" ref="J146">IFERROR(INDEX(A$1:A$99, SMALL(IF($G$1:$G$99="YES", ROW($G$1:$G$99)-MIN(ROW($G$1:$G$99))+1), ROW(144:144))), " ")</f>
        <v xml:space="preserve"> </v>
      </c>
      <c r="K146" t="str">
        <f t="array" ref="K146">IFERROR(INDEX(B$1:B$99, SMALL(IF($G$1:$G$99="YES", ROW($G$1:$G$99)-MIN(ROW($G$1:$G$99))+1), ROW(144:144))), " ")</f>
        <v xml:space="preserve"> </v>
      </c>
      <c r="L146" t="str">
        <f t="array" ref="L146">IFERROR(INDEX(C$1:C$99, SMALL(IF($G$1:$G$99="YES", ROW($G$1:$G$99)-MIN(ROW($G$1:$G$99))+1), ROW(144:144))), " ")</f>
        <v xml:space="preserve"> </v>
      </c>
    </row>
    <row r="147" spans="1:12" ht="15" thickBot="1">
      <c r="A147" s="115"/>
      <c r="B147" s="117"/>
      <c r="C147" s="118"/>
      <c r="D147" s="115"/>
      <c r="E147" s="115"/>
      <c r="F147" s="230"/>
      <c r="G147" s="293"/>
      <c r="J147" t="str">
        <f t="array" ref="J147">IFERROR(INDEX(A$1:A$99, SMALL(IF($G$1:$G$99="YES", ROW($G$1:$G$99)-MIN(ROW($G$1:$G$99))+1), ROW(145:145))), " ")</f>
        <v xml:space="preserve"> </v>
      </c>
      <c r="K147" t="str">
        <f t="array" ref="K147">IFERROR(INDEX(B$1:B$99, SMALL(IF($G$1:$G$99="YES", ROW($G$1:$G$99)-MIN(ROW($G$1:$G$99))+1), ROW(145:145))), " ")</f>
        <v xml:space="preserve"> </v>
      </c>
      <c r="L147" t="str">
        <f t="array" ref="L147">IFERROR(INDEX(C$1:C$99, SMALL(IF($G$1:$G$99="YES", ROW($G$1:$G$99)-MIN(ROW($G$1:$G$99))+1), ROW(145:145))), " ")</f>
        <v xml:space="preserve"> </v>
      </c>
    </row>
    <row r="148" spans="1:12" ht="15" thickBot="1">
      <c r="A148" s="115"/>
      <c r="B148" s="117"/>
      <c r="C148" s="118"/>
      <c r="D148" s="115"/>
      <c r="E148" s="115"/>
      <c r="F148" s="230"/>
      <c r="G148" s="293"/>
      <c r="J148" t="str">
        <f t="array" ref="J148">IFERROR(INDEX(A$1:A$99, SMALL(IF($G$1:$G$99="YES", ROW($G$1:$G$99)-MIN(ROW($G$1:$G$99))+1), ROW(146:146))), " ")</f>
        <v xml:space="preserve"> </v>
      </c>
      <c r="K148" t="str">
        <f t="array" ref="K148">IFERROR(INDEX(B$1:B$99, SMALL(IF($G$1:$G$99="YES", ROW($G$1:$G$99)-MIN(ROW($G$1:$G$99))+1), ROW(146:146))), " ")</f>
        <v xml:space="preserve"> </v>
      </c>
      <c r="L148" t="str">
        <f t="array" ref="L148">IFERROR(INDEX(C$1:C$99, SMALL(IF($G$1:$G$99="YES", ROW($G$1:$G$99)-MIN(ROW($G$1:$G$99))+1), ROW(146:146))), " ")</f>
        <v xml:space="preserve"> </v>
      </c>
    </row>
    <row r="149" spans="1:12" ht="15" thickBot="1">
      <c r="A149" s="115"/>
      <c r="B149" s="117"/>
      <c r="C149" s="118"/>
      <c r="D149" s="115"/>
      <c r="E149" s="115"/>
      <c r="F149" s="230"/>
      <c r="G149" s="293"/>
      <c r="J149" t="str">
        <f t="array" ref="J149">IFERROR(INDEX(A$1:A$99, SMALL(IF($G$1:$G$99="YES", ROW($G$1:$G$99)-MIN(ROW($G$1:$G$99))+1), ROW(147:147))), " ")</f>
        <v xml:space="preserve"> </v>
      </c>
      <c r="K149" t="str">
        <f t="array" ref="K149">IFERROR(INDEX(B$1:B$99, SMALL(IF($G$1:$G$99="YES", ROW($G$1:$G$99)-MIN(ROW($G$1:$G$99))+1), ROW(147:147))), " ")</f>
        <v xml:space="preserve"> </v>
      </c>
      <c r="L149" t="str">
        <f t="array" ref="L149">IFERROR(INDEX(C$1:C$99, SMALL(IF($G$1:$G$99="YES", ROW($G$1:$G$99)-MIN(ROW($G$1:$G$99))+1), ROW(147:147))), " ")</f>
        <v xml:space="preserve"> </v>
      </c>
    </row>
    <row r="150" spans="1:12" ht="15" thickBot="1">
      <c r="A150" s="115"/>
      <c r="B150" s="117"/>
      <c r="C150" s="118"/>
      <c r="D150" s="115"/>
      <c r="E150" s="115"/>
      <c r="F150" s="230"/>
      <c r="G150" s="293"/>
    </row>
    <row r="151" spans="1:12" ht="15" thickBot="1">
      <c r="A151" s="115"/>
      <c r="B151" s="117"/>
      <c r="C151" s="118"/>
      <c r="D151" s="115"/>
      <c r="E151" s="115"/>
      <c r="F151" s="230"/>
      <c r="G151" s="293"/>
    </row>
    <row r="152" spans="1:12" ht="15" thickBot="1">
      <c r="A152" s="115"/>
      <c r="B152" s="117"/>
      <c r="C152" s="118"/>
      <c r="D152" s="115"/>
      <c r="E152" s="115"/>
      <c r="F152" s="230"/>
      <c r="G152" s="293"/>
    </row>
    <row r="153" spans="1:12" ht="15" thickBot="1">
      <c r="A153" s="115"/>
      <c r="B153" s="117"/>
      <c r="C153" s="118"/>
      <c r="D153" s="115"/>
      <c r="E153" s="115"/>
      <c r="F153" s="230"/>
      <c r="G153" s="293"/>
    </row>
    <row r="154" spans="1:12" ht="15" thickBot="1">
      <c r="A154" s="115"/>
      <c r="B154" s="117"/>
      <c r="C154" s="118"/>
      <c r="D154" s="115"/>
      <c r="E154" s="115"/>
      <c r="F154" s="230"/>
      <c r="G154" s="293"/>
    </row>
    <row r="155" spans="1:12" ht="15" thickBot="1">
      <c r="A155" s="115"/>
      <c r="B155" s="117"/>
      <c r="C155" s="118"/>
      <c r="D155" s="115"/>
      <c r="E155" s="115"/>
      <c r="F155" s="230"/>
      <c r="G155" s="293"/>
    </row>
    <row r="156" spans="1:12" ht="15" thickBot="1">
      <c r="A156" s="115"/>
      <c r="B156" s="117"/>
      <c r="C156" s="118"/>
      <c r="D156" s="115"/>
      <c r="E156" s="115"/>
      <c r="F156" s="230"/>
      <c r="G156" s="293"/>
    </row>
    <row r="157" spans="1:12" ht="15" thickBot="1">
      <c r="A157" s="115"/>
      <c r="B157" s="117"/>
      <c r="C157" s="118"/>
      <c r="D157" s="115"/>
      <c r="E157" s="115"/>
      <c r="F157" s="230"/>
      <c r="G157" s="293"/>
    </row>
    <row r="158" spans="1:12" ht="15" thickBot="1">
      <c r="A158" s="115"/>
      <c r="B158" s="117"/>
      <c r="C158" s="118"/>
      <c r="D158" s="115"/>
      <c r="E158" s="115"/>
      <c r="F158" s="230"/>
      <c r="G158" s="293"/>
    </row>
    <row r="159" spans="1:12" ht="15" thickBot="1">
      <c r="A159" s="115"/>
      <c r="B159" s="117"/>
      <c r="C159" s="118"/>
      <c r="D159" s="115"/>
      <c r="E159" s="115"/>
      <c r="F159" s="230"/>
      <c r="G159" s="293"/>
    </row>
    <row r="160" spans="1:12" ht="15" thickBot="1">
      <c r="A160" s="115"/>
      <c r="B160" s="117"/>
      <c r="C160" s="118"/>
      <c r="D160" s="115"/>
      <c r="E160" s="115"/>
      <c r="F160" s="230"/>
      <c r="G160" s="293"/>
    </row>
    <row r="161" spans="1:7" ht="15" thickBot="1">
      <c r="A161" s="115"/>
      <c r="B161" s="117"/>
      <c r="C161" s="118"/>
      <c r="D161" s="115"/>
      <c r="E161" s="115"/>
      <c r="F161" s="230"/>
      <c r="G161" s="293"/>
    </row>
    <row r="162" spans="1:7" ht="15" thickBot="1">
      <c r="A162" s="115"/>
      <c r="B162" s="117"/>
      <c r="C162" s="118"/>
      <c r="D162" s="115"/>
      <c r="E162" s="115"/>
      <c r="F162" s="230"/>
      <c r="G162" s="293"/>
    </row>
    <row r="163" spans="1:7" ht="15" thickBot="1">
      <c r="A163" s="115"/>
      <c r="B163" s="117"/>
      <c r="C163" s="118"/>
      <c r="D163" s="115"/>
      <c r="E163" s="115"/>
      <c r="F163" s="230"/>
      <c r="G163" s="293"/>
    </row>
    <row r="164" spans="1:7" ht="15" thickBot="1">
      <c r="A164" s="115"/>
      <c r="B164" s="117"/>
      <c r="C164" s="118"/>
      <c r="D164" s="115"/>
      <c r="E164" s="115"/>
      <c r="F164" s="230"/>
      <c r="G164" s="293"/>
    </row>
    <row r="165" spans="1:7" ht="15" thickBot="1">
      <c r="A165" s="115"/>
      <c r="B165" s="117"/>
      <c r="C165" s="118"/>
      <c r="D165" s="115"/>
      <c r="E165" s="115"/>
      <c r="F165" s="230"/>
      <c r="G165" s="293"/>
    </row>
    <row r="166" spans="1:7" ht="15" thickBot="1">
      <c r="A166" s="115"/>
      <c r="B166" s="117"/>
      <c r="C166" s="118"/>
      <c r="D166" s="115"/>
      <c r="E166" s="115"/>
      <c r="F166" s="230"/>
      <c r="G166" s="293"/>
    </row>
    <row r="167" spans="1:7" ht="15" thickBot="1">
      <c r="A167" s="115"/>
      <c r="B167" s="117"/>
      <c r="C167" s="118"/>
      <c r="D167" s="115"/>
      <c r="E167" s="115"/>
      <c r="F167" s="230"/>
      <c r="G167" s="293"/>
    </row>
    <row r="168" spans="1:7" ht="15" thickBot="1">
      <c r="A168" s="115"/>
      <c r="B168" s="117"/>
      <c r="C168" s="118"/>
      <c r="D168" s="115"/>
      <c r="E168" s="115"/>
      <c r="F168" s="230"/>
      <c r="G168" s="293"/>
    </row>
    <row r="169" spans="1:7" ht="15" thickBot="1">
      <c r="A169" s="115"/>
      <c r="B169" s="117"/>
      <c r="C169" s="118"/>
      <c r="D169" s="115"/>
      <c r="E169" s="115"/>
      <c r="F169" s="230"/>
      <c r="G169" s="293"/>
    </row>
    <row r="170" spans="1:7" ht="15" thickBot="1">
      <c r="A170" s="115"/>
      <c r="B170" s="117"/>
      <c r="C170" s="118"/>
      <c r="D170" s="115"/>
      <c r="E170" s="115"/>
      <c r="F170" s="230"/>
      <c r="G170" s="293"/>
    </row>
    <row r="171" spans="1:7" ht="15" thickBot="1">
      <c r="A171" s="115"/>
      <c r="B171" s="117"/>
      <c r="C171" s="118"/>
      <c r="D171" s="115"/>
      <c r="E171" s="115"/>
      <c r="F171" s="230"/>
      <c r="G171" s="293"/>
    </row>
    <row r="172" spans="1:7" ht="15" thickBot="1">
      <c r="A172" s="115"/>
      <c r="B172" s="117"/>
      <c r="C172" s="118"/>
      <c r="D172" s="115"/>
      <c r="E172" s="115"/>
      <c r="F172" s="230"/>
      <c r="G172" s="293"/>
    </row>
    <row r="173" spans="1:7" ht="15" thickBot="1">
      <c r="A173" s="115"/>
      <c r="B173" s="117"/>
      <c r="C173" s="118"/>
      <c r="D173" s="115"/>
      <c r="E173" s="115"/>
      <c r="F173" s="230"/>
      <c r="G173" s="293"/>
    </row>
    <row r="174" spans="1:7" ht="15" thickBot="1">
      <c r="A174" s="115"/>
      <c r="B174" s="117"/>
      <c r="C174" s="118"/>
      <c r="D174" s="115"/>
      <c r="E174" s="115"/>
      <c r="F174" s="230"/>
      <c r="G174" s="293"/>
    </row>
    <row r="175" spans="1:7" ht="15" thickBot="1">
      <c r="A175" s="115"/>
      <c r="B175" s="117"/>
      <c r="C175" s="118"/>
      <c r="D175" s="115"/>
      <c r="E175" s="115"/>
      <c r="F175" s="230"/>
      <c r="G175" s="293"/>
    </row>
    <row r="176" spans="1:7" ht="15" thickBot="1">
      <c r="A176" s="115"/>
      <c r="B176" s="117"/>
      <c r="C176" s="118"/>
      <c r="D176" s="115"/>
      <c r="E176" s="115"/>
      <c r="F176" s="230"/>
      <c r="G176" s="293"/>
    </row>
    <row r="177" spans="1:7" ht="15" thickBot="1">
      <c r="A177" s="115"/>
      <c r="B177" s="117"/>
      <c r="C177" s="118"/>
      <c r="D177" s="115"/>
      <c r="E177" s="115"/>
      <c r="F177" s="230"/>
      <c r="G177" s="293"/>
    </row>
    <row r="178" spans="1:7" ht="15" thickBot="1">
      <c r="A178" s="115"/>
      <c r="B178" s="117"/>
      <c r="C178" s="118"/>
      <c r="D178" s="115"/>
      <c r="E178" s="115"/>
      <c r="F178" s="230"/>
      <c r="G178" s="293"/>
    </row>
    <row r="179" spans="1:7" ht="15" thickBot="1">
      <c r="A179" s="115"/>
      <c r="B179" s="117"/>
      <c r="C179" s="118"/>
      <c r="D179" s="115"/>
      <c r="E179" s="115"/>
      <c r="F179" s="230"/>
      <c r="G179" s="293"/>
    </row>
    <row r="180" spans="1:7" ht="15" thickBot="1">
      <c r="A180" s="115"/>
      <c r="B180" s="117"/>
      <c r="C180" s="118"/>
      <c r="D180" s="115"/>
      <c r="E180" s="115"/>
      <c r="F180" s="230"/>
      <c r="G180" s="293"/>
    </row>
    <row r="181" spans="1:7" ht="15" thickBot="1">
      <c r="A181" s="115"/>
      <c r="B181" s="117"/>
      <c r="C181" s="118"/>
      <c r="D181" s="115"/>
      <c r="E181" s="115"/>
      <c r="F181" s="230"/>
      <c r="G181" s="293"/>
    </row>
    <row r="182" spans="1:7" ht="15" thickBot="1">
      <c r="A182" s="115"/>
      <c r="B182" s="117"/>
      <c r="C182" s="118"/>
      <c r="D182" s="115"/>
      <c r="E182" s="115"/>
      <c r="F182" s="230"/>
      <c r="G182" s="293"/>
    </row>
    <row r="183" spans="1:7" ht="15" thickBot="1">
      <c r="A183" s="115"/>
      <c r="B183" s="117"/>
      <c r="C183" s="118"/>
      <c r="D183" s="115"/>
      <c r="E183" s="115"/>
      <c r="F183" s="230"/>
      <c r="G183" s="293"/>
    </row>
    <row r="184" spans="1:7" ht="15" thickBot="1">
      <c r="A184" s="115"/>
      <c r="B184" s="117"/>
      <c r="C184" s="118"/>
      <c r="D184" s="115"/>
      <c r="E184" s="115"/>
      <c r="F184" s="230"/>
      <c r="G184" s="293"/>
    </row>
    <row r="185" spans="1:7" ht="15" thickBot="1">
      <c r="A185" s="115"/>
      <c r="B185" s="117"/>
      <c r="C185" s="118"/>
      <c r="D185" s="115"/>
      <c r="E185" s="115"/>
      <c r="F185" s="230"/>
      <c r="G185" s="293"/>
    </row>
    <row r="186" spans="1:7" ht="15" thickBot="1">
      <c r="A186" s="115"/>
      <c r="B186" s="117"/>
      <c r="C186" s="118"/>
      <c r="D186" s="115"/>
      <c r="E186" s="115"/>
      <c r="F186" s="230"/>
      <c r="G186" s="293"/>
    </row>
    <row r="187" spans="1:7" ht="15" thickBot="1">
      <c r="A187" s="115"/>
      <c r="B187" s="117"/>
      <c r="C187" s="118"/>
      <c r="D187" s="115"/>
      <c r="E187" s="115"/>
      <c r="F187" s="230"/>
      <c r="G187" s="293"/>
    </row>
    <row r="188" spans="1:7" ht="15" thickBot="1">
      <c r="A188" s="115"/>
      <c r="B188" s="117"/>
      <c r="C188" s="118"/>
      <c r="D188" s="115"/>
      <c r="E188" s="115"/>
      <c r="F188" s="230"/>
      <c r="G188" s="293"/>
    </row>
    <row r="189" spans="1:7" ht="15" thickBot="1">
      <c r="A189" s="115"/>
      <c r="B189" s="117"/>
      <c r="C189" s="118"/>
      <c r="D189" s="115"/>
      <c r="E189" s="115"/>
      <c r="F189" s="230"/>
      <c r="G189" s="293"/>
    </row>
    <row r="190" spans="1:7" ht="15" thickBot="1">
      <c r="A190" s="115"/>
      <c r="B190" s="117"/>
      <c r="C190" s="118"/>
      <c r="D190" s="115"/>
      <c r="E190" s="115"/>
      <c r="F190" s="230"/>
      <c r="G190" s="293"/>
    </row>
    <row r="191" spans="1:7" ht="15" thickBot="1">
      <c r="A191" s="115"/>
      <c r="B191" s="117"/>
      <c r="C191" s="118"/>
      <c r="D191" s="115"/>
      <c r="E191" s="115"/>
      <c r="F191" s="230"/>
      <c r="G191" s="293"/>
    </row>
    <row r="192" spans="1:7" ht="15" thickBot="1">
      <c r="A192" s="115"/>
      <c r="B192" s="117"/>
      <c r="C192" s="118"/>
      <c r="D192" s="115"/>
      <c r="E192" s="115"/>
      <c r="F192" s="230"/>
      <c r="G192" s="293"/>
    </row>
    <row r="193" spans="1:7" ht="15" thickBot="1">
      <c r="A193" s="115"/>
      <c r="B193" s="117"/>
      <c r="C193" s="118"/>
      <c r="D193" s="115"/>
      <c r="E193" s="115"/>
      <c r="F193" s="230"/>
      <c r="G193" s="293"/>
    </row>
    <row r="194" spans="1:7" ht="15" thickBot="1">
      <c r="A194" s="115"/>
      <c r="B194" s="117"/>
      <c r="C194" s="118"/>
      <c r="D194" s="115"/>
      <c r="E194" s="115"/>
      <c r="F194" s="230"/>
      <c r="G194" s="293"/>
    </row>
    <row r="195" spans="1:7" ht="15" thickBot="1">
      <c r="A195" s="115"/>
      <c r="B195" s="117"/>
      <c r="C195" s="118"/>
      <c r="D195" s="115"/>
      <c r="E195" s="115"/>
      <c r="F195" s="230"/>
      <c r="G195" s="293"/>
    </row>
    <row r="196" spans="1:7" ht="15" thickBot="1">
      <c r="A196" s="115"/>
      <c r="B196" s="117"/>
      <c r="C196" s="118"/>
      <c r="D196" s="115"/>
      <c r="E196" s="115"/>
      <c r="F196" s="230"/>
      <c r="G196" s="293"/>
    </row>
    <row r="197" spans="1:7" ht="15" thickBot="1">
      <c r="A197" s="115"/>
      <c r="B197" s="117"/>
      <c r="C197" s="118"/>
      <c r="D197" s="115"/>
      <c r="E197" s="115"/>
      <c r="F197" s="230"/>
      <c r="G197" s="293"/>
    </row>
    <row r="198" spans="1:7" ht="15" thickBot="1">
      <c r="A198" s="115"/>
      <c r="B198" s="117"/>
      <c r="C198" s="118"/>
      <c r="D198" s="115"/>
      <c r="E198" s="115"/>
      <c r="F198" s="230"/>
      <c r="G198" s="293"/>
    </row>
    <row r="199" spans="1:7" ht="15" thickBot="1">
      <c r="A199" s="115"/>
      <c r="B199" s="117"/>
      <c r="C199" s="118"/>
      <c r="D199" s="115"/>
      <c r="E199" s="115"/>
      <c r="F199" s="230"/>
      <c r="G199" s="293"/>
    </row>
    <row r="200" spans="1:7">
      <c r="G200" s="294"/>
    </row>
  </sheetData>
  <protectedRanges>
    <protectedRange sqref="G2" name="INPUT LIABILITIES_1_3"/>
  </protectedRanges>
  <mergeCells count="99">
    <mergeCell ref="G13:G14"/>
    <mergeCell ref="G3:G4"/>
    <mergeCell ref="G5:G6"/>
    <mergeCell ref="G7:G8"/>
    <mergeCell ref="G9:G10"/>
    <mergeCell ref="G11:G12"/>
    <mergeCell ref="G37:G38"/>
    <mergeCell ref="G15:G16"/>
    <mergeCell ref="G17:G18"/>
    <mergeCell ref="G19:G20"/>
    <mergeCell ref="G21:G22"/>
    <mergeCell ref="G23:G24"/>
    <mergeCell ref="G25:G26"/>
    <mergeCell ref="G27:G28"/>
    <mergeCell ref="G29:G30"/>
    <mergeCell ref="G31:G32"/>
    <mergeCell ref="G33:G34"/>
    <mergeCell ref="G35:G36"/>
    <mergeCell ref="G61:G62"/>
    <mergeCell ref="G39:G40"/>
    <mergeCell ref="G41:G42"/>
    <mergeCell ref="G43:G44"/>
    <mergeCell ref="G45:G46"/>
    <mergeCell ref="G47:G48"/>
    <mergeCell ref="G49:G50"/>
    <mergeCell ref="G51:G52"/>
    <mergeCell ref="G53:G54"/>
    <mergeCell ref="G55:G56"/>
    <mergeCell ref="G57:G58"/>
    <mergeCell ref="G59:G60"/>
    <mergeCell ref="G85:G86"/>
    <mergeCell ref="G63:G64"/>
    <mergeCell ref="G65:G66"/>
    <mergeCell ref="G67:G68"/>
    <mergeCell ref="G69:G70"/>
    <mergeCell ref="G71:G72"/>
    <mergeCell ref="G73:G74"/>
    <mergeCell ref="G75:G76"/>
    <mergeCell ref="G77:G78"/>
    <mergeCell ref="G79:G80"/>
    <mergeCell ref="G81:G82"/>
    <mergeCell ref="G83:G84"/>
    <mergeCell ref="G109:G110"/>
    <mergeCell ref="G87:G88"/>
    <mergeCell ref="G89:G90"/>
    <mergeCell ref="G91:G92"/>
    <mergeCell ref="G93:G94"/>
    <mergeCell ref="G95:G96"/>
    <mergeCell ref="G97:G98"/>
    <mergeCell ref="G99:G100"/>
    <mergeCell ref="G101:G102"/>
    <mergeCell ref="G103:G104"/>
    <mergeCell ref="G105:G106"/>
    <mergeCell ref="G107:G108"/>
    <mergeCell ref="G133:G134"/>
    <mergeCell ref="G111:G112"/>
    <mergeCell ref="G113:G114"/>
    <mergeCell ref="G115:G116"/>
    <mergeCell ref="G117:G118"/>
    <mergeCell ref="G119:G120"/>
    <mergeCell ref="G121:G122"/>
    <mergeCell ref="G123:G124"/>
    <mergeCell ref="G125:G126"/>
    <mergeCell ref="G127:G128"/>
    <mergeCell ref="G129:G130"/>
    <mergeCell ref="G131:G132"/>
    <mergeCell ref="G157:G158"/>
    <mergeCell ref="G135:G136"/>
    <mergeCell ref="G137:G138"/>
    <mergeCell ref="G139:G140"/>
    <mergeCell ref="G141:G142"/>
    <mergeCell ref="G143:G144"/>
    <mergeCell ref="G145:G146"/>
    <mergeCell ref="G147:G148"/>
    <mergeCell ref="G149:G150"/>
    <mergeCell ref="G151:G152"/>
    <mergeCell ref="G153:G154"/>
    <mergeCell ref="G155:G156"/>
    <mergeCell ref="G181:G182"/>
    <mergeCell ref="G159:G160"/>
    <mergeCell ref="G161:G162"/>
    <mergeCell ref="G163:G164"/>
    <mergeCell ref="G165:G166"/>
    <mergeCell ref="G167:G168"/>
    <mergeCell ref="G169:G170"/>
    <mergeCell ref="G171:G172"/>
    <mergeCell ref="G173:G174"/>
    <mergeCell ref="G175:G176"/>
    <mergeCell ref="G177:G178"/>
    <mergeCell ref="G179:G180"/>
    <mergeCell ref="G195:G196"/>
    <mergeCell ref="G197:G198"/>
    <mergeCell ref="G199:G200"/>
    <mergeCell ref="G183:G184"/>
    <mergeCell ref="G185:G186"/>
    <mergeCell ref="G187:G188"/>
    <mergeCell ref="G189:G190"/>
    <mergeCell ref="G191:G192"/>
    <mergeCell ref="G193:G194"/>
  </mergeCells>
  <conditionalFormatting sqref="G2">
    <cfRule type="cellIs" dxfId="80" priority="3" operator="equal">
      <formula>"YES"</formula>
    </cfRule>
  </conditionalFormatting>
  <conditionalFormatting sqref="G3 G7 G11 G15 G19 G23 G27 G31 G35 G39 G43 G47 G51 G55 G59 G63 G67 G71 G75 G79 G83 G87 G91 G95 G99 G103 G107 G111 G115 G119 G123 G127 G131 G135 G139 G143 G147 G151 G155 G159 G163 G167 G171 G175 G179 G183 G187 G191 G195 G199">
    <cfRule type="cellIs" dxfId="79" priority="2" operator="equal">
      <formula>"YES"</formula>
    </cfRule>
  </conditionalFormatting>
  <conditionalFormatting sqref="G5 G9 G13 G17 G21 G25 G29 G33 G37 G41 G45 G49 G53 G57 G61 G65 G69 G73 G77 G81 G85 G89 G93 G97 G101 G105 G109 G113 G117 G121 G125 G129 G133 G137 G141 G145 G149 G153 G157 G161 G165 G169 G173 G177 G181 G185 G189 G193 G197">
    <cfRule type="cellIs" dxfId="78" priority="1" operator="equal">
      <formula>"YES"</formula>
    </cfRule>
  </conditionalFormatting>
  <dataValidations count="1">
    <dataValidation type="list" allowBlank="1" showInputMessage="1" showErrorMessage="1" sqref="G3 G5 G7 G11 G15 G19 G23 G27 G31 G35 G39 G43 G47 G51 G55 G59 G63 G67 G71 G75 G79 G83 G87 G91 G95 G99 G103 G107 G111 G115 G119 G123 G127 G131 G135 G139 G143 G147 G151 G155 G159 G163 G167 G171 G175 G179 G183 G187 G191 G195 G199 G9 G13 G17 G21 G25 G29 G33 G37 G41 G45 G49 G53 G57 G61 G65 G69 G73 G77 G81 G85 G89 G93 G97 G101 G105 G109 G113 G117 G121 G125 G129 G133 G137 G141 G145 G149 G153 G157 G161 G165 G169 G173 G177 G181 G185 G189 G193 G197" xr:uid="{01CAE5D8-96B2-4E51-9F08-BDAEC4DB53DD}">
      <formula1>"YES, NO"</formula1>
    </dataValidation>
  </dataValidation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0961" r:id="rId4" name="Button 1">
              <controlPr defaultSize="0" print="0" autoFill="0" autoPict="0" macro="[0]!PasteRCPost">
                <anchor moveWithCells="1" sizeWithCells="1">
                  <from>
                    <xdr:col>0</xdr:col>
                    <xdr:colOff>38100</xdr:colOff>
                    <xdr:row>0</xdr:row>
                    <xdr:rowOff>38100</xdr:rowOff>
                  </from>
                  <to>
                    <xdr:col>6</xdr:col>
                    <xdr:colOff>685800</xdr:colOff>
                    <xdr:row>0</xdr:row>
                    <xdr:rowOff>563880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A2002B-1A84-48E3-8200-1D3C2A2074B3}">
  <sheetPr codeName="Sheet15"/>
  <dimension ref="A1:Z202"/>
  <sheetViews>
    <sheetView tabSelected="1" topLeftCell="I1" zoomScaleNormal="100" workbookViewId="0">
      <selection activeCell="O6" sqref="O6"/>
    </sheetView>
  </sheetViews>
  <sheetFormatPr defaultRowHeight="14.4"/>
  <cols>
    <col min="1" max="1" width="27.6640625" hidden="1" customWidth="1"/>
    <col min="2" max="4" width="15.88671875" hidden="1" customWidth="1"/>
    <col min="5" max="5" width="11.33203125" hidden="1" customWidth="1"/>
    <col min="6" max="6" width="12" hidden="1" customWidth="1"/>
    <col min="7" max="7" width="11" hidden="1" customWidth="1"/>
    <col min="8" max="8" width="13.33203125" style="136" hidden="1" customWidth="1"/>
    <col min="9" max="11" width="13.33203125" style="136" customWidth="1"/>
    <col min="12" max="12" width="11.109375" style="136" bestFit="1" customWidth="1"/>
    <col min="13" max="13" width="13.33203125" style="136" customWidth="1"/>
    <col min="14" max="14" width="11" customWidth="1"/>
    <col min="17" max="22" width="0" hidden="1" customWidth="1"/>
    <col min="23" max="23" width="25.88671875" bestFit="1" customWidth="1"/>
    <col min="24" max="24" width="4.6640625" hidden="1" customWidth="1"/>
    <col min="25" max="25" width="12.6640625" customWidth="1"/>
    <col min="26" max="26" width="12.88671875" customWidth="1"/>
  </cols>
  <sheetData>
    <row r="1" spans="1:26" ht="54.6" customHeight="1" thickBot="1">
      <c r="H1"/>
      <c r="I1"/>
      <c r="J1"/>
      <c r="K1"/>
      <c r="L1"/>
      <c r="M1"/>
    </row>
    <row r="2" spans="1:26" ht="27.6" thickBot="1">
      <c r="D2" s="136"/>
      <c r="E2" s="136"/>
      <c r="F2" s="136"/>
      <c r="G2" s="136"/>
      <c r="I2" s="130" t="s">
        <v>162</v>
      </c>
      <c r="J2" s="130" t="s">
        <v>163</v>
      </c>
      <c r="K2" s="130" t="s">
        <v>132</v>
      </c>
      <c r="L2" s="130" t="s">
        <v>165</v>
      </c>
      <c r="M2" s="137" t="s">
        <v>201</v>
      </c>
      <c r="N2" s="97" t="s">
        <v>133</v>
      </c>
      <c r="W2" s="139" t="s">
        <v>134</v>
      </c>
      <c r="X2" s="139"/>
      <c r="Y2" s="139" t="s">
        <v>132</v>
      </c>
      <c r="Z2" s="139" t="s">
        <v>135</v>
      </c>
    </row>
    <row r="3" spans="1:26" ht="39.6" customHeight="1">
      <c r="A3" t="str">
        <f>IF(INDEX($A$3:$A$1000, (ROW(D3)-ROW($D$3))*5+3) = "", "", INDEX($A$3:$A$1000, (ROW(D3)-ROW($D$3))*5+3))</f>
        <v/>
      </c>
      <c r="B3" t="s">
        <v>293</v>
      </c>
      <c r="C3" t="s">
        <v>157</v>
      </c>
      <c r="D3" s="227">
        <v>305</v>
      </c>
      <c r="E3" t="s">
        <v>294</v>
      </c>
      <c r="H3" s="141" t="str">
        <f>IF(INDEX($A$3:$A$1000, (ROW(D3)-ROW($D$3))*5+3) = "", "", INDEX($A$3:$A$1000, (ROW(D3)-ROW($D$3))*5+3))</f>
        <v/>
      </c>
      <c r="I3" s="141" t="str">
        <f>B3</f>
        <v>EXETER FIN</v>
      </c>
      <c r="J3" s="141" t="str">
        <f>A3</f>
        <v/>
      </c>
      <c r="K3" s="141" t="str">
        <f>E3</f>
        <v>$11,749....</v>
      </c>
      <c r="L3" s="141">
        <f>D3</f>
        <v>305</v>
      </c>
      <c r="M3" s="141" t="str">
        <f>C3</f>
        <v>Credit Report</v>
      </c>
      <c r="N3" s="98" t="s">
        <v>174</v>
      </c>
      <c r="W3" t="str" cm="1">
        <f t="array" ref="W3:W8">_xlfn._xlws.FILTER(I3:I201,N3:N201="YES")</f>
        <v>EXETER FIN</v>
      </c>
      <c r="X3" t="str">
        <f t="array" ref="X3">IFERROR(INDEX(E$2:E$100, SMALL(IF($N$2:$N$100="YES", ROW($N$2:$N$100)-MIN(ROW($N$2:$N$100))+1), ROW(1:1))), " ")</f>
        <v>$11,749....</v>
      </c>
      <c r="Y3" cm="1">
        <f t="array" ref="Y3:Z8">IFERROR(--SUBSTITUTE(SUBSTITUTE(_xlfn._xlws.FILTER(K3:L201,N3:N201="YES"), "$", ""), ".", ""),"")</f>
        <v>11749</v>
      </c>
      <c r="Z3">
        <v>305</v>
      </c>
    </row>
    <row r="4" spans="1:26" ht="26.4" customHeight="1">
      <c r="H4" s="141" t="str">
        <f t="shared" ref="H4:H67" si="0">IF(INDEX($A$3:$A$1000, (ROW(D4)-ROW($D$3))*5+3) = "", "", INDEX($A$3:$A$1000, (ROW(D4)-ROW($D$3))*5+3))</f>
        <v/>
      </c>
      <c r="I4" s="141" t="str" cm="1">
        <f t="array" ref="I4">IF(INDEX(C:C,(ROW()-2)*2+1)=0,"",INDEX(C:C,(ROW()-2)*2+1))</f>
        <v>POPA FCU</v>
      </c>
      <c r="J4" s="141" t="str" cm="1">
        <f t="array" ref="J4">IF(INDEX(D:D,(ROW()-2)*2+1)=0,"",INDEX(D:D,(ROW()-2)*2+1))</f>
        <v>Credit Report</v>
      </c>
      <c r="K4" s="141" cm="1">
        <f t="array" ref="K4">IF(INDEX(F:F,(ROW()-2)*2+1)=0,"",INDEX(F:F,(ROW()-2)*2+1))</f>
        <v>2895</v>
      </c>
      <c r="L4" s="141" cm="1">
        <f t="array" ref="L4">IF(INDEX(E:E,(ROW()-2)*2+1)=0,"",INDEX(E:E,(ROW()-2)*2+1))</f>
        <v>150</v>
      </c>
      <c r="M4" s="141" t="str" cm="1">
        <f t="array" ref="M4">IF(INDEX(B:B,(ROW()-2)*2+1)=0,"",INDEX(B:B,(ROW()-2)*2+1))</f>
        <v>Installme...</v>
      </c>
      <c r="N4" s="98" t="s">
        <v>174</v>
      </c>
      <c r="W4" t="str">
        <v>POPA FCU</v>
      </c>
      <c r="X4">
        <f t="array" ref="X4">IFERROR(INDEX(E$2:E$100, SMALL(IF($N$2:$N$100="YES", ROW($N$2:$N$100)-MIN(ROW($N$2:$N$100))+1), ROW(2:2))), " ")</f>
        <v>0</v>
      </c>
      <c r="Y4">
        <v>2895</v>
      </c>
      <c r="Z4">
        <v>150</v>
      </c>
    </row>
    <row r="5" spans="1:26" ht="26.4" customHeight="1">
      <c r="B5" t="s">
        <v>295</v>
      </c>
      <c r="C5" t="s">
        <v>296</v>
      </c>
      <c r="D5" t="s">
        <v>157</v>
      </c>
      <c r="E5" s="227">
        <v>150</v>
      </c>
      <c r="F5" s="227">
        <v>2895</v>
      </c>
      <c r="H5" s="141" t="str">
        <f t="shared" si="0"/>
        <v/>
      </c>
      <c r="I5" s="141" t="str" cm="1">
        <f t="array" ref="I5">IF(INDEX(C:C,(ROW()-2)*2+1)=0,"",INDEX(C:C,(ROW()-2)*2+1))</f>
        <v>REGION...</v>
      </c>
      <c r="J5" s="141" t="str" cm="1">
        <f t="array" ref="J5">IF(INDEX(D:D,(ROW()-2)*2+1)=0,"",INDEX(D:D,(ROW()-2)*2+1))</f>
        <v>Credit Report</v>
      </c>
      <c r="K5" s="141" cm="1">
        <f t="array" ref="K5">IF(INDEX(F:F,(ROW()-2)*2+1)=0,"",INDEX(F:F,(ROW()-2)*2+1))</f>
        <v>6373</v>
      </c>
      <c r="L5" s="141" cm="1">
        <f t="array" ref="L5">IF(INDEX(E:E,(ROW()-2)*2+1)=0,"",INDEX(E:E,(ROW()-2)*2+1))</f>
        <v>263</v>
      </c>
      <c r="M5" s="141" t="str" cm="1">
        <f t="array" ref="M5">IF(INDEX(B:B,(ROW()-2)*2+1)=0,"",INDEX(B:B,(ROW()-2)*2+1))</f>
        <v>Installme...</v>
      </c>
      <c r="N5" s="98" t="s">
        <v>174</v>
      </c>
      <c r="W5" t="str">
        <v>REGION...</v>
      </c>
      <c r="X5">
        <f t="array" ref="X5">IFERROR(INDEX(E$2:E$100, SMALL(IF($N$2:$N$100="YES", ROW($N$2:$N$100)-MIN(ROW($N$2:$N$100))+1), ROW(3:3))), " ")</f>
        <v>150</v>
      </c>
      <c r="Y5">
        <v>6373</v>
      </c>
      <c r="Z5">
        <v>263</v>
      </c>
    </row>
    <row r="6" spans="1:26" ht="26.4" customHeight="1">
      <c r="H6" s="141" t="str">
        <f t="shared" si="0"/>
        <v/>
      </c>
      <c r="I6" s="141" t="str" cm="1">
        <f t="array" ref="I6">IF(INDEX(C:C,(ROW()-2)*2+1)=0,"",INDEX(C:C,(ROW()-2)*2+1))</f>
        <v>POPA FCU</v>
      </c>
      <c r="J6" s="141" t="str" cm="1">
        <f t="array" ref="J6">IF(INDEX(D:D,(ROW()-2)*2+1)=0,"",INDEX(D:D,(ROW()-2)*2+1))</f>
        <v>Credit Report</v>
      </c>
      <c r="K6" s="141" cm="1">
        <f t="array" ref="K6">IF(INDEX(F:F,(ROW()-2)*2+1)=0,"",INDEX(F:F,(ROW()-2)*2+1))</f>
        <v>1111</v>
      </c>
      <c r="L6" s="141" cm="1">
        <f t="array" ref="L6">IF(INDEX(E:E,(ROW()-2)*2+1)=0,"",INDEX(E:E,(ROW()-2)*2+1))</f>
        <v>31</v>
      </c>
      <c r="M6" s="141" t="str" cm="1">
        <f t="array" ref="M6">IF(INDEX(B:B,(ROW()-2)*2+1)=0,"",INDEX(B:B,(ROW()-2)*2+1))</f>
        <v>Revolving</v>
      </c>
      <c r="N6" s="98" t="s">
        <v>174</v>
      </c>
      <c r="W6" t="str">
        <v>POPA FCU</v>
      </c>
      <c r="X6">
        <f t="array" ref="X6">IFERROR(INDEX(E$2:E$100, SMALL(IF($N$2:$N$100="YES", ROW($N$2:$N$100)-MIN(ROW($N$2:$N$100))+1), ROW(4:4))), " ")</f>
        <v>0</v>
      </c>
      <c r="Y6">
        <v>1111</v>
      </c>
      <c r="Z6">
        <v>31</v>
      </c>
    </row>
    <row r="7" spans="1:26" ht="26.4" customHeight="1">
      <c r="B7" t="s">
        <v>295</v>
      </c>
      <c r="C7" t="s">
        <v>297</v>
      </c>
      <c r="D7" t="s">
        <v>157</v>
      </c>
      <c r="E7" s="227">
        <v>263</v>
      </c>
      <c r="F7" s="227">
        <v>6373</v>
      </c>
      <c r="H7" s="141" t="str">
        <f t="shared" si="0"/>
        <v/>
      </c>
      <c r="I7" s="141" t="str" cm="1">
        <f t="array" ref="I7">IF(INDEX(C:C,(ROW()-2)*2+1)=0,"",INDEX(C:C,(ROW()-2)*2+1))</f>
        <v>POPA FCU</v>
      </c>
      <c r="J7" s="141" t="str" cm="1">
        <f t="array" ref="J7">IF(INDEX(D:D,(ROW()-2)*2+1)=0,"",INDEX(D:D,(ROW()-2)*2+1))</f>
        <v>Credit Report</v>
      </c>
      <c r="K7" s="141" t="str" cm="1">
        <f t="array" ref="K7">IF(INDEX(F:F,(ROW()-2)*2+1)=0,"",INDEX(F:F,(ROW()-2)*2+1))</f>
        <v>$15,679....</v>
      </c>
      <c r="L7" s="141" cm="1">
        <f t="array" ref="L7">IF(INDEX(E:E,(ROW()-2)*2+1)=0,"",INDEX(E:E,(ROW()-2)*2+1))</f>
        <v>334</v>
      </c>
      <c r="M7" s="141" t="str" cm="1">
        <f t="array" ref="M7">IF(INDEX(B:B,(ROW()-2)*2+1)=0,"",INDEX(B:B,(ROW()-2)*2+1))</f>
        <v>Installme...</v>
      </c>
      <c r="N7" s="98" t="s">
        <v>174</v>
      </c>
      <c r="W7" t="str">
        <v>POPA FCU</v>
      </c>
      <c r="X7">
        <f t="array" ref="X7">IFERROR(INDEX(E$2:E$100, SMALL(IF($N$2:$N$100="YES", ROW($N$2:$N$100)-MIN(ROW($N$2:$N$100))+1), ROW(5:5))), " ")</f>
        <v>263</v>
      </c>
      <c r="Y7">
        <v>15679</v>
      </c>
      <c r="Z7">
        <v>334</v>
      </c>
    </row>
    <row r="8" spans="1:26" ht="26.4" customHeight="1">
      <c r="H8" s="141" t="str">
        <f t="shared" si="0"/>
        <v/>
      </c>
      <c r="I8" s="141" t="str" cm="1">
        <f t="array" ref="I8">IF(INDEX(C:C,(ROW()-2)*2+1)=0,"",INDEX(C:C,(ROW()-2)*2+1))</f>
        <v>ALTAVIST...</v>
      </c>
      <c r="J8" s="141" t="str" cm="1">
        <f t="array" ref="J8">IF(INDEX(D:D,(ROW()-2)*2+1)=0,"",INDEX(D:D,(ROW()-2)*2+1))</f>
        <v>Credit Report</v>
      </c>
      <c r="K8" s="141" t="str" cm="1">
        <f t="array" ref="K8">IF(INDEX(F:F,(ROW()-2)*2+1)=0,"",INDEX(F:F,(ROW()-2)*2+1))</f>
        <v>$16,278....</v>
      </c>
      <c r="L8" s="141" cm="1">
        <f t="array" ref="L8">IF(INDEX(E:E,(ROW()-2)*2+1)=0,"",INDEX(E:E,(ROW()-2)*2+1))</f>
        <v>508</v>
      </c>
      <c r="M8" s="141" t="str" cm="1">
        <f t="array" ref="M8">IF(INDEX(B:B,(ROW()-2)*2+1)=0,"",INDEX(B:B,(ROW()-2)*2+1))</f>
        <v>Installme...</v>
      </c>
      <c r="N8" s="98" t="s">
        <v>174</v>
      </c>
      <c r="W8" t="str">
        <v>ALTAVIST...</v>
      </c>
      <c r="X8">
        <f t="array" ref="X8">IFERROR(INDEX(E$2:E$100, SMALL(IF($N$2:$N$100="YES", ROW($N$2:$N$100)-MIN(ROW($N$2:$N$100))+1), ROW(6:6))), " ")</f>
        <v>0</v>
      </c>
      <c r="Y8">
        <v>16278</v>
      </c>
      <c r="Z8">
        <v>508</v>
      </c>
    </row>
    <row r="9" spans="1:26" ht="26.4" customHeight="1">
      <c r="B9" t="s">
        <v>148</v>
      </c>
      <c r="C9" t="s">
        <v>296</v>
      </c>
      <c r="D9" t="s">
        <v>157</v>
      </c>
      <c r="E9" s="227">
        <v>31</v>
      </c>
      <c r="F9" s="227">
        <v>1111</v>
      </c>
      <c r="H9" s="141" t="str">
        <f t="shared" si="0"/>
        <v/>
      </c>
      <c r="I9" s="141" t="str" cm="1">
        <f t="array" ref="I9">IF(INDEX(C:C,(ROW()-2)*2+1)=0,"",INDEX(C:C,(ROW()-2)*2+1))</f>
        <v>MARINR FINC</v>
      </c>
      <c r="J9" s="141" t="str" cm="1">
        <f t="array" ref="J9">IF(INDEX(D:D,(ROW()-2)*2+1)=0,"",INDEX(D:D,(ROW()-2)*2+1))</f>
        <v>Credit Report</v>
      </c>
      <c r="K9" s="141" t="str" cm="1">
        <f t="array" ref="K9">IF(INDEX(F:F,(ROW()-2)*2+1)=0,"",INDEX(F:F,(ROW()-2)*2+1))</f>
        <v>$19,524....</v>
      </c>
      <c r="L9" s="141" cm="1">
        <f t="array" ref="L9">IF(INDEX(E:E,(ROW()-2)*2+1)=0,"",INDEX(E:E,(ROW()-2)*2+1))</f>
        <v>549</v>
      </c>
      <c r="M9" s="141" t="str" cm="1">
        <f t="array" ref="M9">IF(INDEX(B:B,(ROW()-2)*2+1)=0,"",INDEX(B:B,(ROW()-2)*2+1))</f>
        <v>Installme...</v>
      </c>
      <c r="N9" s="98" t="s">
        <v>175</v>
      </c>
      <c r="X9" t="str">
        <f t="array" ref="X9">IFERROR(INDEX(E$2:E$100, SMALL(IF($N$2:$N$100="YES", ROW($N$2:$N$100)-MIN(ROW($N$2:$N$100))+1), ROW(7:7))), " ")</f>
        <v xml:space="preserve"> </v>
      </c>
    </row>
    <row r="10" spans="1:26" ht="26.4" customHeight="1">
      <c r="H10" s="141" t="str">
        <f t="shared" si="0"/>
        <v/>
      </c>
      <c r="I10" s="141" t="str" cm="1">
        <f t="array" ref="I10">IF(INDEX(C:C,(ROW()-2)*2+1)=0,"",INDEX(C:C,(ROW()-2)*2+1))</f>
        <v>ONEMAIN</v>
      </c>
      <c r="J10" s="141" t="str" cm="1">
        <f t="array" ref="J10">IF(INDEX(D:D,(ROW()-2)*2+1)=0,"",INDEX(D:D,(ROW()-2)*2+1))</f>
        <v>Credit Report</v>
      </c>
      <c r="K10" s="141" cm="1">
        <f t="array" ref="K10">IF(INDEX(F:F,(ROW()-2)*2+1)=0,"",INDEX(F:F,(ROW()-2)*2+1))</f>
        <v>8790</v>
      </c>
      <c r="L10" s="141" cm="1">
        <f t="array" ref="L10">IF(INDEX(E:E,(ROW()-2)*2+1)=0,"",INDEX(E:E,(ROW()-2)*2+1))</f>
        <v>296</v>
      </c>
      <c r="M10" s="141" t="str" cm="1">
        <f t="array" ref="M10">IF(INDEX(B:B,(ROW()-2)*2+1)=0,"",INDEX(B:B,(ROW()-2)*2+1))</f>
        <v>Installme...</v>
      </c>
      <c r="N10" s="98" t="s">
        <v>175</v>
      </c>
      <c r="X10" t="str">
        <f t="array" ref="X10">IFERROR(INDEX(E$2:E$100, SMALL(IF($N$2:$N$100="YES", ROW($N$2:$N$100)-MIN(ROW($N$2:$N$100))+1), ROW(8:8))), " ")</f>
        <v xml:space="preserve"> </v>
      </c>
    </row>
    <row r="11" spans="1:26" ht="26.4" customHeight="1">
      <c r="B11" t="s">
        <v>295</v>
      </c>
      <c r="C11" t="s">
        <v>296</v>
      </c>
      <c r="D11" t="s">
        <v>157</v>
      </c>
      <c r="E11" s="227">
        <v>334</v>
      </c>
      <c r="F11" t="s">
        <v>298</v>
      </c>
      <c r="H11" s="141" t="str">
        <f t="shared" si="0"/>
        <v/>
      </c>
      <c r="I11" s="141" t="str" cm="1">
        <f t="array" ref="I11">IF(INDEX(C:C,(ROW()-2)*2+1)=0,"",INDEX(C:C,(ROW()-2)*2+1))</f>
        <v/>
      </c>
      <c r="J11" s="141" t="str" cm="1">
        <f t="array" ref="J11">IF(INDEX(D:D,(ROW()-2)*2+1)=0,"",INDEX(D:D,(ROW()-2)*2+1))</f>
        <v/>
      </c>
      <c r="K11" s="141" t="str" cm="1">
        <f t="array" ref="K11">IF(INDEX(F:F,(ROW()-2)*2+1)=0,"",INDEX(F:F,(ROW()-2)*2+1))</f>
        <v/>
      </c>
      <c r="L11" s="141" t="str" cm="1">
        <f t="array" ref="L11">IF(INDEX(E:E,(ROW()-2)*2+1)=0,"",INDEX(E:E,(ROW()-2)*2+1))</f>
        <v/>
      </c>
      <c r="M11" s="141" t="str" cm="1">
        <f t="array" ref="M11">IF(INDEX(B:B,(ROW()-2)*2+1)=0,"",INDEX(B:B,(ROW()-2)*2+1))</f>
        <v/>
      </c>
      <c r="N11" s="98" t="s">
        <v>175</v>
      </c>
      <c r="X11" t="str">
        <f t="array" ref="X11">IFERROR(INDEX(E$2:E$100, SMALL(IF($N$2:$N$100="YES", ROW($N$2:$N$100)-MIN(ROW($N$2:$N$100))+1), ROW(9:9))), " ")</f>
        <v xml:space="preserve"> </v>
      </c>
    </row>
    <row r="12" spans="1:26" ht="39.6" customHeight="1">
      <c r="H12" s="141" t="str">
        <f t="shared" si="0"/>
        <v/>
      </c>
      <c r="I12" s="141" t="str" cm="1">
        <f t="array" ref="I12">IF(INDEX(C:C,(ROW()-2)*2+1)=0,"",INDEX(C:C,(ROW()-2)*2+1))</f>
        <v/>
      </c>
      <c r="J12" s="141" t="str" cm="1">
        <f t="array" ref="J12">IF(INDEX(D:D,(ROW()-2)*2+1)=0,"",INDEX(D:D,(ROW()-2)*2+1))</f>
        <v/>
      </c>
      <c r="K12" s="141" t="str" cm="1">
        <f t="array" ref="K12">IF(INDEX(F:F,(ROW()-2)*2+1)=0,"",INDEX(F:F,(ROW()-2)*2+1))</f>
        <v/>
      </c>
      <c r="L12" s="141" t="str" cm="1">
        <f t="array" ref="L12">IF(INDEX(E:E,(ROW()-2)*2+1)=0,"",INDEX(E:E,(ROW()-2)*2+1))</f>
        <v/>
      </c>
      <c r="M12" s="141" t="str" cm="1">
        <f t="array" ref="M12">IF(INDEX(B:B,(ROW()-2)*2+1)=0,"",INDEX(B:B,(ROW()-2)*2+1))</f>
        <v/>
      </c>
      <c r="N12" s="98" t="s">
        <v>175</v>
      </c>
      <c r="X12" t="str">
        <f t="array" ref="X12">IFERROR(INDEX(E$2:E$100, SMALL(IF($N$2:$N$100="YES", ROW($N$2:$N$100)-MIN(ROW($N$2:$N$100))+1), ROW(10:10))), " ")</f>
        <v xml:space="preserve"> </v>
      </c>
    </row>
    <row r="13" spans="1:26" ht="26.4" customHeight="1">
      <c r="B13" t="s">
        <v>295</v>
      </c>
      <c r="C13" t="s">
        <v>299</v>
      </c>
      <c r="D13" t="s">
        <v>157</v>
      </c>
      <c r="E13" s="227">
        <v>508</v>
      </c>
      <c r="F13" t="s">
        <v>300</v>
      </c>
      <c r="H13" s="141" t="str">
        <f t="shared" si="0"/>
        <v/>
      </c>
      <c r="I13" s="141" t="str" cm="1">
        <f t="array" ref="I13">IF(INDEX(C:C,(ROW()-2)*2+1)=0,"",INDEX(C:C,(ROW()-2)*2+1))</f>
        <v/>
      </c>
      <c r="J13" s="141" t="str" cm="1">
        <f t="array" ref="J13">IF(INDEX(D:D,(ROW()-2)*2+1)=0,"",INDEX(D:D,(ROW()-2)*2+1))</f>
        <v/>
      </c>
      <c r="K13" s="141" t="str" cm="1">
        <f t="array" ref="K13">IF(INDEX(F:F,(ROW()-2)*2+1)=0,"",INDEX(F:F,(ROW()-2)*2+1))</f>
        <v/>
      </c>
      <c r="L13" s="141" t="str" cm="1">
        <f t="array" ref="L13">IF(INDEX(E:E,(ROW()-2)*2+1)=0,"",INDEX(E:E,(ROW()-2)*2+1))</f>
        <v/>
      </c>
      <c r="M13" s="141" t="str" cm="1">
        <f t="array" ref="M13">IF(INDEX(B:B,(ROW()-2)*2+1)=0,"",INDEX(B:B,(ROW()-2)*2+1))</f>
        <v/>
      </c>
      <c r="N13" s="98" t="s">
        <v>175</v>
      </c>
      <c r="X13" t="str">
        <f t="array" ref="X13">IFERROR(INDEX(E$2:E$100, SMALL(IF($N$2:$N$100="YES", ROW($N$2:$N$100)-MIN(ROW($N$2:$N$100))+1), ROW(11:11))), " ")</f>
        <v xml:space="preserve"> </v>
      </c>
    </row>
    <row r="14" spans="1:26" ht="15.6">
      <c r="H14" s="141" t="str">
        <f t="shared" si="0"/>
        <v/>
      </c>
      <c r="I14" s="141" t="str" cm="1">
        <f t="array" ref="I14">IF(INDEX(C:C,(ROW()-2)*2+1)=0,"",INDEX(C:C,(ROW()-2)*2+1))</f>
        <v/>
      </c>
      <c r="J14" s="141" t="str" cm="1">
        <f t="array" ref="J14">IF(INDEX(D:D,(ROW()-2)*2+1)=0,"",INDEX(D:D,(ROW()-2)*2+1))</f>
        <v/>
      </c>
      <c r="K14" s="141" t="str" cm="1">
        <f t="array" ref="K14">IF(INDEX(F:F,(ROW()-2)*2+1)=0,"",INDEX(F:F,(ROW()-2)*2+1))</f>
        <v/>
      </c>
      <c r="L14" s="141" t="str" cm="1">
        <f t="array" ref="L14">IF(INDEX(E:E,(ROW()-2)*2+1)=0,"",INDEX(E:E,(ROW()-2)*2+1))</f>
        <v/>
      </c>
      <c r="M14" s="141" t="str" cm="1">
        <f t="array" ref="M14">IF(INDEX(B:B,(ROW()-2)*2+1)=0,"",INDEX(B:B,(ROW()-2)*2+1))</f>
        <v/>
      </c>
      <c r="N14" s="98" t="s">
        <v>175</v>
      </c>
      <c r="X14" t="str">
        <f t="array" ref="X14">IFERROR(INDEX(E$2:E$100, SMALL(IF($N$2:$N$100="YES", ROW($N$2:$N$100)-MIN(ROW($N$2:$N$100))+1), ROW(12:12))), " ")</f>
        <v xml:space="preserve"> </v>
      </c>
    </row>
    <row r="15" spans="1:26" ht="15.6">
      <c r="B15" t="s">
        <v>295</v>
      </c>
      <c r="C15" t="s">
        <v>242</v>
      </c>
      <c r="D15" t="s">
        <v>157</v>
      </c>
      <c r="E15" s="227">
        <v>549</v>
      </c>
      <c r="F15" t="s">
        <v>301</v>
      </c>
      <c r="H15" s="141" t="str">
        <f t="shared" si="0"/>
        <v/>
      </c>
      <c r="I15" s="141" t="str" cm="1">
        <f t="array" ref="I15">IF(INDEX(C:C,(ROW()-2)*2+1)=0,"",INDEX(C:C,(ROW()-2)*2+1))</f>
        <v/>
      </c>
      <c r="J15" s="141" t="str" cm="1">
        <f t="array" ref="J15">IF(INDEX(D:D,(ROW()-2)*2+1)=0,"",INDEX(D:D,(ROW()-2)*2+1))</f>
        <v/>
      </c>
      <c r="K15" s="141" t="str" cm="1">
        <f t="array" ref="K15">IF(INDEX(F:F,(ROW()-2)*2+1)=0,"",INDEX(F:F,(ROW()-2)*2+1))</f>
        <v/>
      </c>
      <c r="L15" s="141" t="str" cm="1">
        <f t="array" ref="L15">IF(INDEX(E:E,(ROW()-2)*2+1)=0,"",INDEX(E:E,(ROW()-2)*2+1))</f>
        <v/>
      </c>
      <c r="M15" s="141" t="str" cm="1">
        <f t="array" ref="M15">IF(INDEX(B:B,(ROW()-2)*2+1)=0,"",INDEX(B:B,(ROW()-2)*2+1))</f>
        <v/>
      </c>
      <c r="N15" s="98" t="s">
        <v>175</v>
      </c>
      <c r="X15" t="str">
        <f t="array" ref="X15">IFERROR(INDEX(E$2:E$100, SMALL(IF($N$2:$N$100="YES", ROW($N$2:$N$100)-MIN(ROW($N$2:$N$100))+1), ROW(13:13))), " ")</f>
        <v xml:space="preserve"> </v>
      </c>
    </row>
    <row r="16" spans="1:26" ht="15.6">
      <c r="H16" s="141" t="str">
        <f t="shared" si="0"/>
        <v/>
      </c>
      <c r="I16" s="141" t="str" cm="1">
        <f t="array" ref="I16">IF(INDEX(C:C,(ROW()-2)*2+1)=0,"",INDEX(C:C,(ROW()-2)*2+1))</f>
        <v/>
      </c>
      <c r="J16" s="141" t="str" cm="1">
        <f t="array" ref="J16">IF(INDEX(D:D,(ROW()-2)*2+1)=0,"",INDEX(D:D,(ROW()-2)*2+1))</f>
        <v/>
      </c>
      <c r="K16" s="141" t="str" cm="1">
        <f t="array" ref="K16">IF(INDEX(F:F,(ROW()-2)*2+1)=0,"",INDEX(F:F,(ROW()-2)*2+1))</f>
        <v/>
      </c>
      <c r="L16" s="141" t="str" cm="1">
        <f t="array" ref="L16">IF(INDEX(E:E,(ROW()-2)*2+1)=0,"",INDEX(E:E,(ROW()-2)*2+1))</f>
        <v/>
      </c>
      <c r="M16" s="141" t="str" cm="1">
        <f t="array" ref="M16">IF(INDEX(B:B,(ROW()-2)*2+1)=0,"",INDEX(B:B,(ROW()-2)*2+1))</f>
        <v/>
      </c>
      <c r="N16" s="98" t="s">
        <v>175</v>
      </c>
      <c r="X16" t="str">
        <f t="array" ref="X16">IFERROR(INDEX(E$2:E$100, SMALL(IF($N$2:$N$100="YES", ROW($N$2:$N$100)-MIN(ROW($N$2:$N$100))+1), ROW(14:14))), " ")</f>
        <v xml:space="preserve"> </v>
      </c>
    </row>
    <row r="17" spans="2:24" ht="15.6">
      <c r="B17" t="s">
        <v>295</v>
      </c>
      <c r="C17" t="s">
        <v>241</v>
      </c>
      <c r="D17" t="s">
        <v>157</v>
      </c>
      <c r="E17" s="227">
        <v>296</v>
      </c>
      <c r="F17" s="227">
        <v>8790</v>
      </c>
      <c r="H17" s="141" t="str">
        <f t="shared" si="0"/>
        <v/>
      </c>
      <c r="I17" s="141" t="str" cm="1">
        <f t="array" ref="I17">IF(INDEX(C:C,(ROW()-2)*2+1)=0,"",INDEX(C:C,(ROW()-2)*2+1))</f>
        <v/>
      </c>
      <c r="J17" s="141" t="str" cm="1">
        <f t="array" ref="J17">IF(INDEX(D:D,(ROW()-2)*2+1)=0,"",INDEX(D:D,(ROW()-2)*2+1))</f>
        <v/>
      </c>
      <c r="K17" s="141" t="str" cm="1">
        <f t="array" ref="K17">IF(INDEX(F:F,(ROW()-2)*2+1)=0,"",INDEX(F:F,(ROW()-2)*2+1))</f>
        <v/>
      </c>
      <c r="L17" s="141" t="str" cm="1">
        <f t="array" ref="L17">IF(INDEX(E:E,(ROW()-2)*2+1)=0,"",INDEX(E:E,(ROW()-2)*2+1))</f>
        <v/>
      </c>
      <c r="M17" s="141" t="str" cm="1">
        <f t="array" ref="M17">IF(INDEX(B:B,(ROW()-2)*2+1)=0,"",INDEX(B:B,(ROW()-2)*2+1))</f>
        <v/>
      </c>
      <c r="N17" s="98" t="s">
        <v>175</v>
      </c>
      <c r="X17" t="str">
        <f t="array" ref="X17">IFERROR(INDEX(E$2:E$100, SMALL(IF($N$2:$N$100="YES", ROW($N$2:$N$100)-MIN(ROW($N$2:$N$100))+1), ROW(15:15))), " ")</f>
        <v xml:space="preserve"> </v>
      </c>
    </row>
    <row r="18" spans="2:24" ht="15.6">
      <c r="H18" s="141" t="str">
        <f t="shared" si="0"/>
        <v/>
      </c>
      <c r="I18" s="141" t="str" cm="1">
        <f t="array" ref="I18">IF(INDEX(C:C,(ROW()-2)*2+1)=0,"",INDEX(C:C,(ROW()-2)*2+1))</f>
        <v/>
      </c>
      <c r="J18" s="141" t="str" cm="1">
        <f t="array" ref="J18">IF(INDEX(D:D,(ROW()-2)*2+1)=0,"",INDEX(D:D,(ROW()-2)*2+1))</f>
        <v/>
      </c>
      <c r="K18" s="141" t="str" cm="1">
        <f t="array" ref="K18">IF(INDEX(F:F,(ROW()-2)*2+1)=0,"",INDEX(F:F,(ROW()-2)*2+1))</f>
        <v/>
      </c>
      <c r="L18" s="141" t="str" cm="1">
        <f t="array" ref="L18">IF(INDEX(E:E,(ROW()-2)*2+1)=0,"",INDEX(E:E,(ROW()-2)*2+1))</f>
        <v/>
      </c>
      <c r="M18" s="141" t="str" cm="1">
        <f t="array" ref="M18">IF(INDEX(B:B,(ROW()-2)*2+1)=0,"",INDEX(B:B,(ROW()-2)*2+1))</f>
        <v/>
      </c>
      <c r="N18" s="98" t="s">
        <v>175</v>
      </c>
      <c r="X18" t="str">
        <f t="array" ref="X18">IFERROR(INDEX(E$2:E$100, SMALL(IF($N$2:$N$100="YES", ROW($N$2:$N$100)-MIN(ROW($N$2:$N$100))+1), ROW(16:16))), " ")</f>
        <v xml:space="preserve"> </v>
      </c>
    </row>
    <row r="19" spans="2:24" ht="15.6">
      <c r="H19" s="141" t="str">
        <f t="shared" si="0"/>
        <v/>
      </c>
      <c r="I19" s="141" t="str" cm="1">
        <f t="array" ref="I19">IF(INDEX(C:C,(ROW()-2)*2+1)=0,"",INDEX(C:C,(ROW()-2)*2+1))</f>
        <v/>
      </c>
      <c r="J19" s="141" t="str" cm="1">
        <f t="array" ref="J19">IF(INDEX(D:D,(ROW()-2)*2+1)=0,"",INDEX(D:D,(ROW()-2)*2+1))</f>
        <v/>
      </c>
      <c r="K19" s="141" t="str" cm="1">
        <f t="array" ref="K19">IF(INDEX(F:F,(ROW()-2)*2+1)=0,"",INDEX(F:F,(ROW()-2)*2+1))</f>
        <v/>
      </c>
      <c r="L19" s="141" t="str" cm="1">
        <f t="array" ref="L19">IF(INDEX(E:E,(ROW()-2)*2+1)=0,"",INDEX(E:E,(ROW()-2)*2+1))</f>
        <v/>
      </c>
      <c r="M19" s="141" t="str" cm="1">
        <f t="array" ref="M19">IF(INDEX(B:B,(ROW()-2)*2+1)=0,"",INDEX(B:B,(ROW()-2)*2+1))</f>
        <v/>
      </c>
      <c r="N19" s="98" t="s">
        <v>175</v>
      </c>
      <c r="X19" t="str">
        <f t="array" ref="X19">IFERROR(INDEX(E$2:E$100, SMALL(IF($N$2:$N$100="YES", ROW($N$2:$N$100)-MIN(ROW($N$2:$N$100))+1), ROW(17:17))), " ")</f>
        <v xml:space="preserve"> </v>
      </c>
    </row>
    <row r="20" spans="2:24" ht="15.6">
      <c r="H20" s="141" t="str">
        <f t="shared" si="0"/>
        <v/>
      </c>
      <c r="I20" s="141" t="str" cm="1">
        <f t="array" ref="I20">IF(INDEX(C:C,(ROW()-2)*2+1)=0,"",INDEX(C:C,(ROW()-2)*2+1))</f>
        <v/>
      </c>
      <c r="J20" s="141" t="str" cm="1">
        <f t="array" ref="J20">IF(INDEX(D:D,(ROW()-2)*2+1)=0,"",INDEX(D:D,(ROW()-2)*2+1))</f>
        <v/>
      </c>
      <c r="K20" s="141" t="str" cm="1">
        <f t="array" ref="K20">IF(INDEX(F:F,(ROW()-2)*2+1)=0,"",INDEX(F:F,(ROW()-2)*2+1))</f>
        <v/>
      </c>
      <c r="L20" s="141" t="str" cm="1">
        <f t="array" ref="L20">IF(INDEX(E:E,(ROW()-2)*2+1)=0,"",INDEX(E:E,(ROW()-2)*2+1))</f>
        <v/>
      </c>
      <c r="M20" s="141" t="str" cm="1">
        <f t="array" ref="M20">IF(INDEX(B:B,(ROW()-2)*2+1)=0,"",INDEX(B:B,(ROW()-2)*2+1))</f>
        <v/>
      </c>
      <c r="N20" s="98" t="s">
        <v>175</v>
      </c>
      <c r="X20" t="str">
        <f t="array" ref="X20">IFERROR(INDEX(E$2:E$100, SMALL(IF($N$2:$N$100="YES", ROW($N$2:$N$100)-MIN(ROW($N$2:$N$100))+1), ROW(18:18))), " ")</f>
        <v xml:space="preserve"> </v>
      </c>
    </row>
    <row r="21" spans="2:24" ht="15.6">
      <c r="H21" s="141" t="str">
        <f t="shared" si="0"/>
        <v/>
      </c>
      <c r="I21" s="141" t="str" cm="1">
        <f t="array" ref="I21">IF(INDEX(C:C,(ROW()-2)*2+1)=0,"",INDEX(C:C,(ROW()-2)*2+1))</f>
        <v/>
      </c>
      <c r="J21" s="141" t="str" cm="1">
        <f t="array" ref="J21">IF(INDEX(D:D,(ROW()-2)*2+1)=0,"",INDEX(D:D,(ROW()-2)*2+1))</f>
        <v/>
      </c>
      <c r="K21" s="141" t="str" cm="1">
        <f t="array" ref="K21">IF(INDEX(F:F,(ROW()-2)*2+1)=0,"",INDEX(F:F,(ROW()-2)*2+1))</f>
        <v/>
      </c>
      <c r="L21" s="141" t="str" cm="1">
        <f t="array" ref="L21">IF(INDEX(E:E,(ROW()-2)*2+1)=0,"",INDEX(E:E,(ROW()-2)*2+1))</f>
        <v/>
      </c>
      <c r="M21" s="141" t="str" cm="1">
        <f t="array" ref="M21">IF(INDEX(B:B,(ROW()-2)*2+1)=0,"",INDEX(B:B,(ROW()-2)*2+1))</f>
        <v/>
      </c>
      <c r="N21" s="98" t="s">
        <v>175</v>
      </c>
      <c r="X21" t="str">
        <f t="array" ref="X21">IFERROR(INDEX(E$2:E$100, SMALL(IF($N$2:$N$100="YES", ROW($N$2:$N$100)-MIN(ROW($N$2:$N$100))+1), ROW(19:19))), " ")</f>
        <v xml:space="preserve"> </v>
      </c>
    </row>
    <row r="22" spans="2:24" ht="15.6">
      <c r="H22" s="141" t="str">
        <f t="shared" si="0"/>
        <v/>
      </c>
      <c r="I22" s="141" t="str" cm="1">
        <f t="array" ref="I22">IF(INDEX(C:C,(ROW()-2)*2+1)=0,"",INDEX(C:C,(ROW()-2)*2+1))</f>
        <v/>
      </c>
      <c r="J22" s="141" t="str" cm="1">
        <f t="array" ref="J22">IF(INDEX(D:D,(ROW()-2)*2+1)=0,"",INDEX(D:D,(ROW()-2)*2+1))</f>
        <v/>
      </c>
      <c r="K22" s="141" t="str" cm="1">
        <f t="array" ref="K22">IF(INDEX(F:F,(ROW()-2)*2+1)=0,"",INDEX(F:F,(ROW()-2)*2+1))</f>
        <v/>
      </c>
      <c r="L22" s="141" t="str" cm="1">
        <f t="array" ref="L22">IF(INDEX(E:E,(ROW()-2)*2+1)=0,"",INDEX(E:E,(ROW()-2)*2+1))</f>
        <v/>
      </c>
      <c r="M22" s="141" t="str" cm="1">
        <f t="array" ref="M22">IF(INDEX(B:B,(ROW()-2)*2+1)=0,"",INDEX(B:B,(ROW()-2)*2+1))</f>
        <v/>
      </c>
      <c r="N22" s="98" t="s">
        <v>175</v>
      </c>
      <c r="X22" t="str">
        <f t="array" ref="X22">IFERROR(INDEX(E$2:E$100, SMALL(IF($N$2:$N$100="YES", ROW($N$2:$N$100)-MIN(ROW($N$2:$N$100))+1), ROW(20:20))), " ")</f>
        <v xml:space="preserve"> </v>
      </c>
    </row>
    <row r="23" spans="2:24" ht="15.6">
      <c r="H23" s="141" t="str">
        <f t="shared" si="0"/>
        <v/>
      </c>
      <c r="I23" s="141" t="str" cm="1">
        <f t="array" ref="I23">IF(INDEX(C:C,(ROW()-2)*2+1)=0,"",INDEX(C:C,(ROW()-2)*2+1))</f>
        <v/>
      </c>
      <c r="J23" s="141" t="str" cm="1">
        <f t="array" ref="J23">IF(INDEX(D:D,(ROW()-2)*2+1)=0,"",INDEX(D:D,(ROW()-2)*2+1))</f>
        <v/>
      </c>
      <c r="K23" s="141" t="str" cm="1">
        <f t="array" ref="K23">IF(INDEX(F:F,(ROW()-2)*2+1)=0,"",INDEX(F:F,(ROW()-2)*2+1))</f>
        <v/>
      </c>
      <c r="L23" s="141" t="str" cm="1">
        <f t="array" ref="L23">IF(INDEX(E:E,(ROW()-2)*2+1)=0,"",INDEX(E:E,(ROW()-2)*2+1))</f>
        <v/>
      </c>
      <c r="M23" s="141" t="str" cm="1">
        <f t="array" ref="M23">IF(INDEX(B:B,(ROW()-2)*2+1)=0,"",INDEX(B:B,(ROW()-2)*2+1))</f>
        <v/>
      </c>
      <c r="N23" s="98" t="s">
        <v>175</v>
      </c>
      <c r="X23" t="str">
        <f t="array" ref="X23">IFERROR(INDEX(E$2:E$100, SMALL(IF($N$2:$N$100="YES", ROW($N$2:$N$100)-MIN(ROW($N$2:$N$100))+1), ROW(21:21))), " ")</f>
        <v xml:space="preserve"> </v>
      </c>
    </row>
    <row r="24" spans="2:24" ht="15.6">
      <c r="H24" s="141" t="str">
        <f t="shared" si="0"/>
        <v/>
      </c>
      <c r="I24" s="141" t="str" cm="1">
        <f t="array" ref="I24">IF(INDEX(C:C,(ROW()-2)*2+1)=0,"",INDEX(C:C,(ROW()-2)*2+1))</f>
        <v/>
      </c>
      <c r="J24" s="141" t="str" cm="1">
        <f t="array" ref="J24">IF(INDEX(D:D,(ROW()-2)*2+1)=0,"",INDEX(D:D,(ROW()-2)*2+1))</f>
        <v/>
      </c>
      <c r="K24" s="141" t="str" cm="1">
        <f t="array" ref="K24">IF(INDEX(F:F,(ROW()-2)*2+1)=0,"",INDEX(F:F,(ROW()-2)*2+1))</f>
        <v/>
      </c>
      <c r="L24" s="141" t="str" cm="1">
        <f t="array" ref="L24">IF(INDEX(E:E,(ROW()-2)*2+1)=0,"",INDEX(E:E,(ROW()-2)*2+1))</f>
        <v/>
      </c>
      <c r="M24" s="141" t="str" cm="1">
        <f t="array" ref="M24">IF(INDEX(B:B,(ROW()-2)*2+1)=0,"",INDEX(B:B,(ROW()-2)*2+1))</f>
        <v/>
      </c>
      <c r="N24" s="98"/>
      <c r="X24" t="str">
        <f t="array" ref="X24">IFERROR(INDEX(E$2:E$100, SMALL(IF($N$2:$N$100="YES", ROW($N$2:$N$100)-MIN(ROW($N$2:$N$100))+1), ROW(22:22))), " ")</f>
        <v xml:space="preserve"> </v>
      </c>
    </row>
    <row r="25" spans="2:24" ht="15.6">
      <c r="H25" s="141" t="str">
        <f t="shared" si="0"/>
        <v/>
      </c>
      <c r="I25" s="141" t="str" cm="1">
        <f t="array" ref="I25">IF(INDEX(C:C,(ROW()-2)*2+1)=0,"",INDEX(C:C,(ROW()-2)*2+1))</f>
        <v/>
      </c>
      <c r="J25" s="141" t="str" cm="1">
        <f t="array" ref="J25">IF(INDEX(D:D,(ROW()-2)*2+1)=0,"",INDEX(D:D,(ROW()-2)*2+1))</f>
        <v/>
      </c>
      <c r="K25" s="141" t="str" cm="1">
        <f t="array" ref="K25">IF(INDEX(F:F,(ROW()-2)*2+1)=0,"",INDEX(F:F,(ROW()-2)*2+1))</f>
        <v/>
      </c>
      <c r="L25" s="141" t="str" cm="1">
        <f t="array" ref="L25">IF(INDEX(E:E,(ROW()-2)*2+1)=0,"",INDEX(E:E,(ROW()-2)*2+1))</f>
        <v/>
      </c>
      <c r="M25" s="141" t="str" cm="1">
        <f t="array" ref="M25">IF(INDEX(B:B,(ROW()-2)*2+1)=0,"",INDEX(B:B,(ROW()-2)*2+1))</f>
        <v/>
      </c>
      <c r="N25" s="98"/>
      <c r="X25" t="str">
        <f t="array" ref="X25">IFERROR(INDEX(E$2:E$100, SMALL(IF($N$2:$N$100="YES", ROW($N$2:$N$100)-MIN(ROW($N$2:$N$100))+1), ROW(23:23))), " ")</f>
        <v xml:space="preserve"> </v>
      </c>
    </row>
    <row r="26" spans="2:24" ht="15.6">
      <c r="H26" s="141" t="str">
        <f t="shared" si="0"/>
        <v/>
      </c>
      <c r="I26" s="141" t="str" cm="1">
        <f t="array" ref="I26">IF(INDEX(C:C,(ROW()-2)*2+1)=0,"",INDEX(C:C,(ROW()-2)*2+1))</f>
        <v/>
      </c>
      <c r="J26" s="141" t="str" cm="1">
        <f t="array" ref="J26">IF(INDEX(D:D,(ROW()-2)*2+1)=0,"",INDEX(D:D,(ROW()-2)*2+1))</f>
        <v/>
      </c>
      <c r="K26" s="141" t="str" cm="1">
        <f t="array" ref="K26">IF(INDEX(F:F,(ROW()-2)*2+1)=0,"",INDEX(F:F,(ROW()-2)*2+1))</f>
        <v/>
      </c>
      <c r="L26" s="141" t="str" cm="1">
        <f t="array" ref="L26">IF(INDEX(E:E,(ROW()-2)*2+1)=0,"",INDEX(E:E,(ROW()-2)*2+1))</f>
        <v/>
      </c>
      <c r="M26" s="141" t="str" cm="1">
        <f t="array" ref="M26">IF(INDEX(B:B,(ROW()-2)*2+1)=0,"",INDEX(B:B,(ROW()-2)*2+1))</f>
        <v/>
      </c>
      <c r="N26" s="98"/>
      <c r="X26" t="str">
        <f t="array" ref="X26">IFERROR(INDEX(E$2:E$100, SMALL(IF($N$2:$N$100="YES", ROW($N$2:$N$100)-MIN(ROW($N$2:$N$100))+1), ROW(24:24))), " ")</f>
        <v xml:space="preserve"> </v>
      </c>
    </row>
    <row r="27" spans="2:24" ht="15.6">
      <c r="H27" s="141" t="str">
        <f t="shared" si="0"/>
        <v/>
      </c>
      <c r="I27" s="141" t="str" cm="1">
        <f t="array" ref="I27">IF(INDEX(C:C,(ROW()-2)*2+1)=0,"",INDEX(C:C,(ROW()-2)*2+1))</f>
        <v/>
      </c>
      <c r="J27" s="141" t="str" cm="1">
        <f t="array" ref="J27">IF(INDEX(D:D,(ROW()-2)*2+1)=0,"",INDEX(D:D,(ROW()-2)*2+1))</f>
        <v/>
      </c>
      <c r="K27" s="141" t="str" cm="1">
        <f t="array" ref="K27">IF(INDEX(F:F,(ROW()-2)*2+1)=0,"",INDEX(F:F,(ROW()-2)*2+1))</f>
        <v/>
      </c>
      <c r="L27" s="141" t="str" cm="1">
        <f t="array" ref="L27">IF(INDEX(E:E,(ROW()-2)*2+1)=0,"",INDEX(E:E,(ROW()-2)*2+1))</f>
        <v/>
      </c>
      <c r="M27" s="141" t="str" cm="1">
        <f t="array" ref="M27">IF(INDEX(B:B,(ROW()-2)*2+1)=0,"",INDEX(B:B,(ROW()-2)*2+1))</f>
        <v/>
      </c>
      <c r="N27" s="98"/>
      <c r="X27" t="str">
        <f t="array" ref="X27">IFERROR(INDEX(E$2:E$100, SMALL(IF($N$2:$N$100="YES", ROW($N$2:$N$100)-MIN(ROW($N$2:$N$100))+1), ROW(25:25))), " ")</f>
        <v xml:space="preserve"> </v>
      </c>
    </row>
    <row r="28" spans="2:24" ht="15.6">
      <c r="H28" s="141" t="str">
        <f t="shared" si="0"/>
        <v/>
      </c>
      <c r="I28" s="141" t="str" cm="1">
        <f t="array" ref="I28">IF(INDEX(C:C,(ROW()-2)*2+1)=0,"",INDEX(C:C,(ROW()-2)*2+1))</f>
        <v/>
      </c>
      <c r="J28" s="141" t="str" cm="1">
        <f t="array" ref="J28">IF(INDEX(D:D,(ROW()-2)*2+1)=0,"",INDEX(D:D,(ROW()-2)*2+1))</f>
        <v/>
      </c>
      <c r="K28" s="141" t="str" cm="1">
        <f t="array" ref="K28">IF(INDEX(F:F,(ROW()-2)*2+1)=0,"",INDEX(F:F,(ROW()-2)*2+1))</f>
        <v/>
      </c>
      <c r="L28" s="141" t="str" cm="1">
        <f t="array" ref="L28">IF(INDEX(E:E,(ROW()-2)*2+1)=0,"",INDEX(E:E,(ROW()-2)*2+1))</f>
        <v/>
      </c>
      <c r="M28" s="141" t="str" cm="1">
        <f t="array" ref="M28">IF(INDEX(B:B,(ROW()-2)*2+1)=0,"",INDEX(B:B,(ROW()-2)*2+1))</f>
        <v/>
      </c>
      <c r="N28" s="98"/>
      <c r="X28" t="str">
        <f t="array" ref="X28">IFERROR(INDEX(E$2:E$100, SMALL(IF($N$2:$N$100="YES", ROW($N$2:$N$100)-MIN(ROW($N$2:$N$100))+1), ROW(26:26))), " ")</f>
        <v xml:space="preserve"> </v>
      </c>
    </row>
    <row r="29" spans="2:24" ht="15.6">
      <c r="H29" s="141" t="str">
        <f t="shared" si="0"/>
        <v/>
      </c>
      <c r="I29" s="141" t="str" cm="1">
        <f t="array" ref="I29">IF(INDEX(C:C,(ROW()-2)*2+1)=0,"",INDEX(C:C,(ROW()-2)*2+1))</f>
        <v/>
      </c>
      <c r="J29" s="141" t="str" cm="1">
        <f t="array" ref="J29">IF(INDEX(D:D,(ROW()-2)*2+1)=0,"",INDEX(D:D,(ROW()-2)*2+1))</f>
        <v/>
      </c>
      <c r="K29" s="141" t="str" cm="1">
        <f t="array" ref="K29">IF(INDEX(F:F,(ROW()-2)*2+1)=0,"",INDEX(F:F,(ROW()-2)*2+1))</f>
        <v/>
      </c>
      <c r="L29" s="141" t="str" cm="1">
        <f t="array" ref="L29">IF(INDEX(E:E,(ROW()-2)*2+1)=0,"",INDEX(E:E,(ROW()-2)*2+1))</f>
        <v/>
      </c>
      <c r="M29" s="141" t="str" cm="1">
        <f t="array" ref="M29">IF(INDEX(B:B,(ROW()-2)*2+1)=0,"",INDEX(B:B,(ROW()-2)*2+1))</f>
        <v/>
      </c>
      <c r="N29" s="98"/>
      <c r="X29" t="str">
        <f t="array" ref="X29">IFERROR(INDEX(E$2:E$100, SMALL(IF($N$2:$N$100="YES", ROW($N$2:$N$100)-MIN(ROW($N$2:$N$100))+1), ROW(27:27))), " ")</f>
        <v xml:space="preserve"> </v>
      </c>
    </row>
    <row r="30" spans="2:24" ht="15.6">
      <c r="H30" s="141" t="str">
        <f t="shared" si="0"/>
        <v/>
      </c>
      <c r="I30" s="141" t="str" cm="1">
        <f t="array" ref="I30">IF(INDEX(C:C,(ROW()-2)*2+1)=0,"",INDEX(C:C,(ROW()-2)*2+1))</f>
        <v/>
      </c>
      <c r="J30" s="141" t="str" cm="1">
        <f t="array" ref="J30">IF(INDEX(D:D,(ROW()-2)*2+1)=0,"",INDEX(D:D,(ROW()-2)*2+1))</f>
        <v/>
      </c>
      <c r="K30" s="141" t="str" cm="1">
        <f t="array" ref="K30">IF(INDEX(F:F,(ROW()-2)*2+1)=0,"",INDEX(F:F,(ROW()-2)*2+1))</f>
        <v/>
      </c>
      <c r="L30" s="141" t="str" cm="1">
        <f t="array" ref="L30">IF(INDEX(E:E,(ROW()-2)*2+1)=0,"",INDEX(E:E,(ROW()-2)*2+1))</f>
        <v/>
      </c>
      <c r="M30" s="141" t="str" cm="1">
        <f t="array" ref="M30">IF(INDEX(B:B,(ROW()-2)*2+1)=0,"",INDEX(B:B,(ROW()-2)*2+1))</f>
        <v/>
      </c>
      <c r="N30" s="98"/>
      <c r="X30" t="str">
        <f t="array" ref="X30">IFERROR(INDEX(E$2:E$100, SMALL(IF($N$2:$N$100="YES", ROW($N$2:$N$100)-MIN(ROW($N$2:$N$100))+1), ROW(28:28))), " ")</f>
        <v xml:space="preserve"> </v>
      </c>
    </row>
    <row r="31" spans="2:24" ht="15.6">
      <c r="H31" s="141" t="str">
        <f t="shared" si="0"/>
        <v/>
      </c>
      <c r="I31" s="141" t="str" cm="1">
        <f t="array" ref="I31">IF(INDEX(C:C,(ROW()-2)*2+1)=0,"",INDEX(C:C,(ROW()-2)*2+1))</f>
        <v/>
      </c>
      <c r="J31" s="141" t="str" cm="1">
        <f t="array" ref="J31">IF(INDEX(D:D,(ROW()-2)*2+1)=0,"",INDEX(D:D,(ROW()-2)*2+1))</f>
        <v/>
      </c>
      <c r="K31" s="141" t="str" cm="1">
        <f t="array" ref="K31">IF(INDEX(F:F,(ROW()-2)*2+1)=0,"",INDEX(F:F,(ROW()-2)*2+1))</f>
        <v/>
      </c>
      <c r="L31" s="141" t="str" cm="1">
        <f t="array" ref="L31">IF(INDEX(E:E,(ROW()-2)*2+1)=0,"",INDEX(E:E,(ROW()-2)*2+1))</f>
        <v/>
      </c>
      <c r="M31" s="141" t="str" cm="1">
        <f t="array" ref="M31">IF(INDEX(B:B,(ROW()-2)*2+1)=0,"",INDEX(B:B,(ROW()-2)*2+1))</f>
        <v/>
      </c>
      <c r="N31" s="98"/>
      <c r="X31" t="str">
        <f t="array" ref="X31">IFERROR(INDEX(E$2:E$100, SMALL(IF($N$2:$N$100="YES", ROW($N$2:$N$100)-MIN(ROW($N$2:$N$100))+1), ROW(29:29))), " ")</f>
        <v xml:space="preserve"> </v>
      </c>
    </row>
    <row r="32" spans="2:24" ht="15.6">
      <c r="H32" s="141" t="str">
        <f t="shared" si="0"/>
        <v/>
      </c>
      <c r="I32" s="141" t="str" cm="1">
        <f t="array" ref="I32">IF(INDEX(C:C,(ROW()-2)*2+1)=0,"",INDEX(C:C,(ROW()-2)*2+1))</f>
        <v/>
      </c>
      <c r="J32" s="141" t="str" cm="1">
        <f t="array" ref="J32">IF(INDEX(D:D,(ROW()-2)*2+1)=0,"",INDEX(D:D,(ROW()-2)*2+1))</f>
        <v/>
      </c>
      <c r="K32" s="141" t="str" cm="1">
        <f t="array" ref="K32">IF(INDEX(F:F,(ROW()-2)*2+1)=0,"",INDEX(F:F,(ROW()-2)*2+1))</f>
        <v/>
      </c>
      <c r="L32" s="141" t="str" cm="1">
        <f t="array" ref="L32">IF(INDEX(E:E,(ROW()-2)*2+1)=0,"",INDEX(E:E,(ROW()-2)*2+1))</f>
        <v/>
      </c>
      <c r="M32" s="141" t="str" cm="1">
        <f t="array" ref="M32">IF(INDEX(B:B,(ROW()-2)*2+1)=0,"",INDEX(B:B,(ROW()-2)*2+1))</f>
        <v/>
      </c>
      <c r="N32" s="98"/>
      <c r="X32" t="str">
        <f t="array" ref="X32">IFERROR(INDEX(E$2:E$100, SMALL(IF($N$2:$N$100="YES", ROW($N$2:$N$100)-MIN(ROW($N$2:$N$100))+1), ROW(30:30))), " ")</f>
        <v xml:space="preserve"> </v>
      </c>
    </row>
    <row r="33" spans="8:24" ht="15.6">
      <c r="H33" s="141" t="str">
        <f t="shared" si="0"/>
        <v/>
      </c>
      <c r="I33" s="141" t="str" cm="1">
        <f t="array" ref="I33">IF(INDEX(C:C,(ROW()-2)*2+1)=0,"",INDEX(C:C,(ROW()-2)*2+1))</f>
        <v/>
      </c>
      <c r="J33" s="141" t="str" cm="1">
        <f t="array" ref="J33">IF(INDEX(D:D,(ROW()-2)*2+1)=0,"",INDEX(D:D,(ROW()-2)*2+1))</f>
        <v/>
      </c>
      <c r="K33" s="141" t="str" cm="1">
        <f t="array" ref="K33">IF(INDEX(F:F,(ROW()-2)*2+1)=0,"",INDEX(F:F,(ROW()-2)*2+1))</f>
        <v/>
      </c>
      <c r="L33" s="141" t="str" cm="1">
        <f t="array" ref="L33">IF(INDEX(E:E,(ROW()-2)*2+1)=0,"",INDEX(E:E,(ROW()-2)*2+1))</f>
        <v/>
      </c>
      <c r="M33" s="141" t="str" cm="1">
        <f t="array" ref="M33">IF(INDEX(B:B,(ROW()-2)*2+1)=0,"",INDEX(B:B,(ROW()-2)*2+1))</f>
        <v/>
      </c>
      <c r="N33" s="98"/>
      <c r="X33" t="str">
        <f t="array" ref="X33">IFERROR(INDEX(E$2:E$100, SMALL(IF($N$2:$N$100="YES", ROW($N$2:$N$100)-MIN(ROW($N$2:$N$100))+1), ROW(31:31))), " ")</f>
        <v xml:space="preserve"> </v>
      </c>
    </row>
    <row r="34" spans="8:24" ht="15.6">
      <c r="H34" s="141" t="str">
        <f t="shared" si="0"/>
        <v/>
      </c>
      <c r="I34" s="141" t="str" cm="1">
        <f t="array" ref="I34">IF(INDEX(C:C,(ROW()-2)*2+1)=0,"",INDEX(C:C,(ROW()-2)*2+1))</f>
        <v/>
      </c>
      <c r="J34" s="141" t="str" cm="1">
        <f t="array" ref="J34">IF(INDEX(D:D,(ROW()-2)*2+1)=0,"",INDEX(D:D,(ROW()-2)*2+1))</f>
        <v/>
      </c>
      <c r="K34" s="141" t="str" cm="1">
        <f t="array" ref="K34">IF(INDEX(F:F,(ROW()-2)*2+1)=0,"",INDEX(F:F,(ROW()-2)*2+1))</f>
        <v/>
      </c>
      <c r="L34" s="141" t="str" cm="1">
        <f t="array" ref="L34">IF(INDEX(E:E,(ROW()-2)*2+1)=0,"",INDEX(E:E,(ROW()-2)*2+1))</f>
        <v/>
      </c>
      <c r="M34" s="141" t="str" cm="1">
        <f t="array" ref="M34">IF(INDEX(B:B,(ROW()-2)*2+1)=0,"",INDEX(B:B,(ROW()-2)*2+1))</f>
        <v/>
      </c>
      <c r="N34" s="98"/>
      <c r="X34" t="str">
        <f t="array" ref="X34">IFERROR(INDEX(E$2:E$100, SMALL(IF($N$2:$N$100="YES", ROW($N$2:$N$100)-MIN(ROW($N$2:$N$100))+1), ROW(32:32))), " ")</f>
        <v xml:space="preserve"> </v>
      </c>
    </row>
    <row r="35" spans="8:24" ht="15.6">
      <c r="H35" s="141" t="str">
        <f t="shared" si="0"/>
        <v/>
      </c>
      <c r="I35" s="141" t="str" cm="1">
        <f t="array" ref="I35">IF(INDEX(C:C,(ROW()-2)*2+1)=0,"",INDEX(C:C,(ROW()-2)*2+1))</f>
        <v/>
      </c>
      <c r="J35" s="141" t="str" cm="1">
        <f t="array" ref="J35">IF(INDEX(D:D,(ROW()-2)*2+1)=0,"",INDEX(D:D,(ROW()-2)*2+1))</f>
        <v/>
      </c>
      <c r="K35" s="141" t="str" cm="1">
        <f t="array" ref="K35">IF(INDEX(F:F,(ROW()-2)*2+1)=0,"",INDEX(F:F,(ROW()-2)*2+1))</f>
        <v/>
      </c>
      <c r="L35" s="141" t="str" cm="1">
        <f t="array" ref="L35">IF(INDEX(E:E,(ROW()-2)*2+1)=0,"",INDEX(E:E,(ROW()-2)*2+1))</f>
        <v/>
      </c>
      <c r="M35" s="141" t="str" cm="1">
        <f t="array" ref="M35">IF(INDEX(B:B,(ROW()-2)*2+1)=0,"",INDEX(B:B,(ROW()-2)*2+1))</f>
        <v/>
      </c>
      <c r="N35" s="98"/>
      <c r="X35" t="str">
        <f t="array" ref="X35">IFERROR(INDEX(E$2:E$100, SMALL(IF($N$2:$N$100="YES", ROW($N$2:$N$100)-MIN(ROW($N$2:$N$100))+1), ROW(33:33))), " ")</f>
        <v xml:space="preserve"> </v>
      </c>
    </row>
    <row r="36" spans="8:24" ht="15.6">
      <c r="H36" s="141" t="str">
        <f t="shared" si="0"/>
        <v/>
      </c>
      <c r="I36" s="141" t="str" cm="1">
        <f t="array" ref="I36">IF(INDEX(C:C,(ROW()-2)*2+1)=0,"",INDEX(C:C,(ROW()-2)*2+1))</f>
        <v/>
      </c>
      <c r="J36" s="141" t="str" cm="1">
        <f t="array" ref="J36">IF(INDEX(D:D,(ROW()-2)*2+1)=0,"",INDEX(D:D,(ROW()-2)*2+1))</f>
        <v/>
      </c>
      <c r="K36" s="141" t="str" cm="1">
        <f t="array" ref="K36">IF(INDEX(F:F,(ROW()-2)*2+1)=0,"",INDEX(F:F,(ROW()-2)*2+1))</f>
        <v/>
      </c>
      <c r="L36" s="141" t="str" cm="1">
        <f t="array" ref="L36">IF(INDEX(E:E,(ROW()-2)*2+1)=0,"",INDEX(E:E,(ROW()-2)*2+1))</f>
        <v/>
      </c>
      <c r="M36" s="141" t="str" cm="1">
        <f t="array" ref="M36">IF(INDEX(B:B,(ROW()-2)*2+1)=0,"",INDEX(B:B,(ROW()-2)*2+1))</f>
        <v/>
      </c>
      <c r="N36" s="98"/>
      <c r="X36" t="str">
        <f t="array" ref="X36">IFERROR(INDEX(E$2:E$100, SMALL(IF($N$2:$N$100="YES", ROW($N$2:$N$100)-MIN(ROW($N$2:$N$100))+1), ROW(34:34))), " ")</f>
        <v xml:space="preserve"> </v>
      </c>
    </row>
    <row r="37" spans="8:24" ht="15.6">
      <c r="H37" s="141" t="str">
        <f t="shared" si="0"/>
        <v/>
      </c>
      <c r="I37" s="141" t="str" cm="1">
        <f t="array" ref="I37">IF(INDEX(C:C,(ROW()-2)*2+1)=0,"",INDEX(C:C,(ROW()-2)*2+1))</f>
        <v/>
      </c>
      <c r="J37" s="141" t="str" cm="1">
        <f t="array" ref="J37">IF(INDEX(D:D,(ROW()-2)*2+1)=0,"",INDEX(D:D,(ROW()-2)*2+1))</f>
        <v/>
      </c>
      <c r="K37" s="141" t="str" cm="1">
        <f t="array" ref="K37">IF(INDEX(F:F,(ROW()-2)*2+1)=0,"",INDEX(F:F,(ROW()-2)*2+1))</f>
        <v/>
      </c>
      <c r="L37" s="141" t="str" cm="1">
        <f t="array" ref="L37">IF(INDEX(E:E,(ROW()-2)*2+1)=0,"",INDEX(E:E,(ROW()-2)*2+1))</f>
        <v/>
      </c>
      <c r="M37" s="141" t="str" cm="1">
        <f t="array" ref="M37">IF(INDEX(B:B,(ROW()-2)*2+1)=0,"",INDEX(B:B,(ROW()-2)*2+1))</f>
        <v/>
      </c>
      <c r="N37" s="98"/>
      <c r="X37" t="str">
        <f t="array" ref="X37">IFERROR(INDEX(E$2:E$100, SMALL(IF($N$2:$N$100="YES", ROW($N$2:$N$100)-MIN(ROW($N$2:$N$100))+1), ROW(35:35))), " ")</f>
        <v xml:space="preserve"> </v>
      </c>
    </row>
    <row r="38" spans="8:24" ht="15.6">
      <c r="H38" s="141" t="str">
        <f t="shared" si="0"/>
        <v/>
      </c>
      <c r="I38" s="141" t="str" cm="1">
        <f t="array" ref="I38">IF(INDEX(C:C,(ROW()-2)*2+1)=0,"",INDEX(C:C,(ROW()-2)*2+1))</f>
        <v/>
      </c>
      <c r="J38" s="141" t="str" cm="1">
        <f t="array" ref="J38">IF(INDEX(D:D,(ROW()-2)*2+1)=0,"",INDEX(D:D,(ROW()-2)*2+1))</f>
        <v/>
      </c>
      <c r="K38" s="141" t="str" cm="1">
        <f t="array" ref="K38">IF(INDEX(F:F,(ROW()-2)*2+1)=0,"",INDEX(F:F,(ROW()-2)*2+1))</f>
        <v/>
      </c>
      <c r="L38" s="141" t="str" cm="1">
        <f t="array" ref="L38">IF(INDEX(E:E,(ROW()-2)*2+1)=0,"",INDEX(E:E,(ROW()-2)*2+1))</f>
        <v/>
      </c>
      <c r="M38" s="141" t="str" cm="1">
        <f t="array" ref="M38">IF(INDEX(B:B,(ROW()-2)*2+1)=0,"",INDEX(B:B,(ROW()-2)*2+1))</f>
        <v/>
      </c>
      <c r="N38" s="98"/>
      <c r="X38" t="str">
        <f t="array" ref="X38">IFERROR(INDEX(E$2:E$100, SMALL(IF($N$2:$N$100="YES", ROW($N$2:$N$100)-MIN(ROW($N$2:$N$100))+1), ROW(36:36))), " ")</f>
        <v xml:space="preserve"> </v>
      </c>
    </row>
    <row r="39" spans="8:24" ht="15.6">
      <c r="H39" s="141" t="str">
        <f t="shared" si="0"/>
        <v/>
      </c>
      <c r="I39" s="141" t="str" cm="1">
        <f t="array" ref="I39">IF(INDEX(C:C,(ROW()-2)*2+1)=0,"",INDEX(C:C,(ROW()-2)*2+1))</f>
        <v/>
      </c>
      <c r="J39" s="141" t="str" cm="1">
        <f t="array" ref="J39">IF(INDEX(D:D,(ROW()-2)*2+1)=0,"",INDEX(D:D,(ROW()-2)*2+1))</f>
        <v/>
      </c>
      <c r="K39" s="141" t="str" cm="1">
        <f t="array" ref="K39">IF(INDEX(F:F,(ROW()-2)*2+1)=0,"",INDEX(F:F,(ROW()-2)*2+1))</f>
        <v/>
      </c>
      <c r="L39" s="141" t="str" cm="1">
        <f t="array" ref="L39">IF(INDEX(E:E,(ROW()-2)*2+1)=0,"",INDEX(E:E,(ROW()-2)*2+1))</f>
        <v/>
      </c>
      <c r="M39" s="141" t="str" cm="1">
        <f t="array" ref="M39">IF(INDEX(B:B,(ROW()-2)*2+1)=0,"",INDEX(B:B,(ROW()-2)*2+1))</f>
        <v/>
      </c>
      <c r="N39" s="98"/>
      <c r="X39" t="str">
        <f t="array" ref="X39">IFERROR(INDEX(E$2:E$100, SMALL(IF($N$2:$N$100="YES", ROW($N$2:$N$100)-MIN(ROW($N$2:$N$100))+1), ROW(37:37))), " ")</f>
        <v xml:space="preserve"> </v>
      </c>
    </row>
    <row r="40" spans="8:24" ht="15.6">
      <c r="H40" s="141" t="str">
        <f t="shared" si="0"/>
        <v/>
      </c>
      <c r="I40" s="141" t="str" cm="1">
        <f t="array" ref="I40">IF(INDEX(C:C,(ROW()-2)*2+1)=0,"",INDEX(C:C,(ROW()-2)*2+1))</f>
        <v/>
      </c>
      <c r="J40" s="141" t="str" cm="1">
        <f t="array" ref="J40">IF(INDEX(D:D,(ROW()-2)*2+1)=0,"",INDEX(D:D,(ROW()-2)*2+1))</f>
        <v/>
      </c>
      <c r="K40" s="141" t="str" cm="1">
        <f t="array" ref="K40">IF(INDEX(F:F,(ROW()-2)*2+1)=0,"",INDEX(F:F,(ROW()-2)*2+1))</f>
        <v/>
      </c>
      <c r="L40" s="141" t="str" cm="1">
        <f t="array" ref="L40">IF(INDEX(E:E,(ROW()-2)*2+1)=0,"",INDEX(E:E,(ROW()-2)*2+1))</f>
        <v/>
      </c>
      <c r="M40" s="141" t="str" cm="1">
        <f t="array" ref="M40">IF(INDEX(B:B,(ROW()-2)*2+1)=0,"",INDEX(B:B,(ROW()-2)*2+1))</f>
        <v/>
      </c>
      <c r="N40" s="98"/>
      <c r="X40" t="str">
        <f t="array" ref="X40">IFERROR(INDEX(E$2:E$100, SMALL(IF($N$2:$N$100="YES", ROW($N$2:$N$100)-MIN(ROW($N$2:$N$100))+1), ROW(38:38))), " ")</f>
        <v xml:space="preserve"> </v>
      </c>
    </row>
    <row r="41" spans="8:24" ht="15.6">
      <c r="H41" s="141" t="str">
        <f t="shared" si="0"/>
        <v/>
      </c>
      <c r="I41" s="141" t="str" cm="1">
        <f t="array" ref="I41">IF(INDEX(C:C,(ROW()-2)*2+1)=0,"",INDEX(C:C,(ROW()-2)*2+1))</f>
        <v/>
      </c>
      <c r="J41" s="141" t="str" cm="1">
        <f t="array" ref="J41">IF(INDEX(D:D,(ROW()-2)*2+1)=0,"",INDEX(D:D,(ROW()-2)*2+1))</f>
        <v/>
      </c>
      <c r="K41" s="141" t="str" cm="1">
        <f t="array" ref="K41">IF(INDEX(F:F,(ROW()-2)*2+1)=0,"",INDEX(F:F,(ROW()-2)*2+1))</f>
        <v/>
      </c>
      <c r="L41" s="141" t="str" cm="1">
        <f t="array" ref="L41">IF(INDEX(E:E,(ROW()-2)*2+1)=0,"",INDEX(E:E,(ROW()-2)*2+1))</f>
        <v/>
      </c>
      <c r="M41" s="141" t="str" cm="1">
        <f t="array" ref="M41">IF(INDEX(B:B,(ROW()-2)*2+1)=0,"",INDEX(B:B,(ROW()-2)*2+1))</f>
        <v/>
      </c>
      <c r="N41" s="98"/>
      <c r="X41" t="str">
        <f t="array" ref="X41">IFERROR(INDEX(E$2:E$100, SMALL(IF($N$2:$N$100="YES", ROW($N$2:$N$100)-MIN(ROW($N$2:$N$100))+1), ROW(39:39))), " ")</f>
        <v xml:space="preserve"> </v>
      </c>
    </row>
    <row r="42" spans="8:24" ht="15.6">
      <c r="H42" s="141" t="str">
        <f t="shared" si="0"/>
        <v/>
      </c>
      <c r="I42" s="141" t="str" cm="1">
        <f t="array" ref="I42">IF(INDEX(C:C,(ROW()-2)*2+1)=0,"",INDEX(C:C,(ROW()-2)*2+1))</f>
        <v/>
      </c>
      <c r="J42" s="141" t="str" cm="1">
        <f t="array" ref="J42">IF(INDEX(D:D,(ROW()-2)*2+1)=0,"",INDEX(D:D,(ROW()-2)*2+1))</f>
        <v/>
      </c>
      <c r="K42" s="141" t="str" cm="1">
        <f t="array" ref="K42">IF(INDEX(F:F,(ROW()-2)*2+1)=0,"",INDEX(F:F,(ROW()-2)*2+1))</f>
        <v/>
      </c>
      <c r="L42" s="141" t="str" cm="1">
        <f t="array" ref="L42">IF(INDEX(E:E,(ROW()-2)*2+1)=0,"",INDEX(E:E,(ROW()-2)*2+1))</f>
        <v/>
      </c>
      <c r="M42" s="141" t="str" cm="1">
        <f t="array" ref="M42">IF(INDEX(B:B,(ROW()-2)*2+1)=0,"",INDEX(B:B,(ROW()-2)*2+1))</f>
        <v/>
      </c>
      <c r="N42" s="98"/>
      <c r="X42" t="str">
        <f t="array" ref="X42">IFERROR(INDEX(E$2:E$100, SMALL(IF($N$2:$N$100="YES", ROW($N$2:$N$100)-MIN(ROW($N$2:$N$100))+1), ROW(40:40))), " ")</f>
        <v xml:space="preserve"> </v>
      </c>
    </row>
    <row r="43" spans="8:24" ht="15.6">
      <c r="H43" s="141" t="str">
        <f t="shared" si="0"/>
        <v/>
      </c>
      <c r="I43" s="141" t="str" cm="1">
        <f t="array" ref="I43">IF(INDEX(C:C,(ROW()-2)*2+1)=0,"",INDEX(C:C,(ROW()-2)*2+1))</f>
        <v/>
      </c>
      <c r="J43" s="141" t="str" cm="1">
        <f t="array" ref="J43">IF(INDEX(D:D,(ROW()-2)*2+1)=0,"",INDEX(D:D,(ROW()-2)*2+1))</f>
        <v/>
      </c>
      <c r="K43" s="141" t="str" cm="1">
        <f t="array" ref="K43">IF(INDEX(F:F,(ROW()-2)*2+1)=0,"",INDEX(F:F,(ROW()-2)*2+1))</f>
        <v/>
      </c>
      <c r="L43" s="141" t="str" cm="1">
        <f t="array" ref="L43">IF(INDEX(E:E,(ROW()-2)*2+1)=0,"",INDEX(E:E,(ROW()-2)*2+1))</f>
        <v/>
      </c>
      <c r="M43" s="141" t="str" cm="1">
        <f t="array" ref="M43">IF(INDEX(B:B,(ROW()-2)*2+1)=0,"",INDEX(B:B,(ROW()-2)*2+1))</f>
        <v/>
      </c>
      <c r="N43" s="98"/>
      <c r="X43" t="str">
        <f t="array" ref="X43">IFERROR(INDEX(E$2:E$100, SMALL(IF($N$2:$N$100="YES", ROW($N$2:$N$100)-MIN(ROW($N$2:$N$100))+1), ROW(41:41))), " ")</f>
        <v xml:space="preserve"> </v>
      </c>
    </row>
    <row r="44" spans="8:24" ht="15.6">
      <c r="H44" s="141" t="str">
        <f t="shared" si="0"/>
        <v/>
      </c>
      <c r="I44" s="141" t="str" cm="1">
        <f t="array" ref="I44">IF(INDEX(C:C,(ROW()-2)*2+1)=0,"",INDEX(C:C,(ROW()-2)*2+1))</f>
        <v/>
      </c>
      <c r="J44" s="141" t="str" cm="1">
        <f t="array" ref="J44">IF(INDEX(D:D,(ROW()-2)*2+1)=0,"",INDEX(D:D,(ROW()-2)*2+1))</f>
        <v/>
      </c>
      <c r="K44" s="141" t="str" cm="1">
        <f t="array" ref="K44">IF(INDEX(F:F,(ROW()-2)*2+1)=0,"",INDEX(F:F,(ROW()-2)*2+1))</f>
        <v/>
      </c>
      <c r="L44" s="141" t="str" cm="1">
        <f t="array" ref="L44">IF(INDEX(E:E,(ROW()-2)*2+1)=0,"",INDEX(E:E,(ROW()-2)*2+1))</f>
        <v/>
      </c>
      <c r="M44" s="141" t="str" cm="1">
        <f t="array" ref="M44">IF(INDEX(B:B,(ROW()-2)*2+1)=0,"",INDEX(B:B,(ROW()-2)*2+1))</f>
        <v/>
      </c>
      <c r="N44" s="98"/>
      <c r="X44" t="str">
        <f t="array" ref="X44">IFERROR(INDEX(E$2:E$100, SMALL(IF($N$2:$N$100="YES", ROW($N$2:$N$100)-MIN(ROW($N$2:$N$100))+1), ROW(42:42))), " ")</f>
        <v xml:space="preserve"> </v>
      </c>
    </row>
    <row r="45" spans="8:24" ht="15.6">
      <c r="H45" s="141" t="str">
        <f t="shared" si="0"/>
        <v/>
      </c>
      <c r="I45" s="141" t="str" cm="1">
        <f t="array" ref="I45">IF(INDEX(C:C,(ROW()-2)*2+1)=0,"",INDEX(C:C,(ROW()-2)*2+1))</f>
        <v/>
      </c>
      <c r="J45" s="141" t="str" cm="1">
        <f t="array" ref="J45">IF(INDEX(D:D,(ROW()-2)*2+1)=0,"",INDEX(D:D,(ROW()-2)*2+1))</f>
        <v/>
      </c>
      <c r="K45" s="141" t="str" cm="1">
        <f t="array" ref="K45">IF(INDEX(F:F,(ROW()-2)*2+1)=0,"",INDEX(F:F,(ROW()-2)*2+1))</f>
        <v/>
      </c>
      <c r="L45" s="141" t="str" cm="1">
        <f t="array" ref="L45">IF(INDEX(E:E,(ROW()-2)*2+1)=0,"",INDEX(E:E,(ROW()-2)*2+1))</f>
        <v/>
      </c>
      <c r="M45" s="141" t="str" cm="1">
        <f t="array" ref="M45">IF(INDEX(B:B,(ROW()-2)*2+1)=0,"",INDEX(B:B,(ROW()-2)*2+1))</f>
        <v/>
      </c>
      <c r="N45" s="98"/>
      <c r="X45" t="str">
        <f t="array" ref="X45">IFERROR(INDEX(E$2:E$100, SMALL(IF($N$2:$N$100="YES", ROW($N$2:$N$100)-MIN(ROW($N$2:$N$100))+1), ROW(43:43))), " ")</f>
        <v xml:space="preserve"> </v>
      </c>
    </row>
    <row r="46" spans="8:24" ht="15.6">
      <c r="H46" s="141" t="str">
        <f t="shared" si="0"/>
        <v/>
      </c>
      <c r="I46" s="141" t="str" cm="1">
        <f t="array" ref="I46">IF(INDEX(C:C,(ROW()-2)*2+1)=0,"",INDEX(C:C,(ROW()-2)*2+1))</f>
        <v/>
      </c>
      <c r="J46" s="141" t="str" cm="1">
        <f t="array" ref="J46">IF(INDEX(D:D,(ROW()-2)*2+1)=0,"",INDEX(D:D,(ROW()-2)*2+1))</f>
        <v/>
      </c>
      <c r="K46" s="141" t="str" cm="1">
        <f t="array" ref="K46">IF(INDEX(F:F,(ROW()-2)*2+1)=0,"",INDEX(F:F,(ROW()-2)*2+1))</f>
        <v/>
      </c>
      <c r="L46" s="141" t="str" cm="1">
        <f t="array" ref="L46">IF(INDEX(E:E,(ROW()-2)*2+1)=0,"",INDEX(E:E,(ROW()-2)*2+1))</f>
        <v/>
      </c>
      <c r="M46" s="141" t="str" cm="1">
        <f t="array" ref="M46">IF(INDEX(B:B,(ROW()-2)*2+1)=0,"",INDEX(B:B,(ROW()-2)*2+1))</f>
        <v/>
      </c>
      <c r="N46" s="98"/>
      <c r="X46" t="str">
        <f t="array" ref="X46">IFERROR(INDEX(E$2:E$100, SMALL(IF($N$2:$N$100="YES", ROW($N$2:$N$100)-MIN(ROW($N$2:$N$100))+1), ROW(44:44))), " ")</f>
        <v xml:space="preserve"> </v>
      </c>
    </row>
    <row r="47" spans="8:24" ht="15.6">
      <c r="H47" s="141" t="str">
        <f t="shared" si="0"/>
        <v/>
      </c>
      <c r="I47" s="141" t="str" cm="1">
        <f t="array" ref="I47">IF(INDEX(C:C,(ROW()-2)*2+1)=0,"",INDEX(C:C,(ROW()-2)*2+1))</f>
        <v/>
      </c>
      <c r="J47" s="141" t="str" cm="1">
        <f t="array" ref="J47">IF(INDEX(D:D,(ROW()-2)*2+1)=0,"",INDEX(D:D,(ROW()-2)*2+1))</f>
        <v/>
      </c>
      <c r="K47" s="141" t="str" cm="1">
        <f t="array" ref="K47">IF(INDEX(F:F,(ROW()-2)*2+1)=0,"",INDEX(F:F,(ROW()-2)*2+1))</f>
        <v/>
      </c>
      <c r="L47" s="141" t="str" cm="1">
        <f t="array" ref="L47">IF(INDEX(E:E,(ROW()-2)*2+1)=0,"",INDEX(E:E,(ROW()-2)*2+1))</f>
        <v/>
      </c>
      <c r="M47" s="141" t="str" cm="1">
        <f t="array" ref="M47">IF(INDEX(B:B,(ROW()-2)*2+1)=0,"",INDEX(B:B,(ROW()-2)*2+1))</f>
        <v/>
      </c>
      <c r="N47" s="98"/>
      <c r="X47" t="str">
        <f t="array" ref="X47">IFERROR(INDEX(E$2:E$100, SMALL(IF($N$2:$N$100="YES", ROW($N$2:$N$100)-MIN(ROW($N$2:$N$100))+1), ROW(45:45))), " ")</f>
        <v xml:space="preserve"> </v>
      </c>
    </row>
    <row r="48" spans="8:24" ht="15.6">
      <c r="H48" s="141" t="str">
        <f t="shared" si="0"/>
        <v/>
      </c>
      <c r="I48" s="141" t="str" cm="1">
        <f t="array" ref="I48">IF(INDEX(C:C,(ROW()-2)*2+1)=0,"",INDEX(C:C,(ROW()-2)*2+1))</f>
        <v/>
      </c>
      <c r="J48" s="141" t="str" cm="1">
        <f t="array" ref="J48">IF(INDEX(D:D,(ROW()-2)*2+1)=0,"",INDEX(D:D,(ROW()-2)*2+1))</f>
        <v/>
      </c>
      <c r="K48" s="141" t="str" cm="1">
        <f t="array" ref="K48">IF(INDEX(F:F,(ROW()-2)*2+1)=0,"",INDEX(F:F,(ROW()-2)*2+1))</f>
        <v/>
      </c>
      <c r="L48" s="141" t="str" cm="1">
        <f t="array" ref="L48">IF(INDEX(E:E,(ROW()-2)*2+1)=0,"",INDEX(E:E,(ROW()-2)*2+1))</f>
        <v/>
      </c>
      <c r="M48" s="141" t="str" cm="1">
        <f t="array" ref="M48">IF(INDEX(B:B,(ROW()-2)*2+1)=0,"",INDEX(B:B,(ROW()-2)*2+1))</f>
        <v/>
      </c>
      <c r="N48" s="98"/>
      <c r="X48" t="str">
        <f t="array" ref="X48">IFERROR(INDEX(E$2:E$100, SMALL(IF($N$2:$N$100="YES", ROW($N$2:$N$100)-MIN(ROW($N$2:$N$100))+1), ROW(46:46))), " ")</f>
        <v xml:space="preserve"> </v>
      </c>
    </row>
    <row r="49" spans="8:24" ht="15.6">
      <c r="H49" s="141" t="str">
        <f t="shared" si="0"/>
        <v/>
      </c>
      <c r="I49" s="141" t="str" cm="1">
        <f t="array" ref="I49">IF(INDEX(C:C,(ROW()-2)*2+1)=0,"",INDEX(C:C,(ROW()-2)*2+1))</f>
        <v/>
      </c>
      <c r="J49" s="141" t="str" cm="1">
        <f t="array" ref="J49">IF(INDEX(D:D,(ROW()-2)*2+1)=0,"",INDEX(D:D,(ROW()-2)*2+1))</f>
        <v/>
      </c>
      <c r="K49" s="141" t="str" cm="1">
        <f t="array" ref="K49">IF(INDEX(F:F,(ROW()-2)*2+1)=0,"",INDEX(F:F,(ROW()-2)*2+1))</f>
        <v/>
      </c>
      <c r="L49" s="141" t="str" cm="1">
        <f t="array" ref="L49">IF(INDEX(E:E,(ROW()-2)*2+1)=0,"",INDEX(E:E,(ROW()-2)*2+1))</f>
        <v/>
      </c>
      <c r="M49" s="141" t="str" cm="1">
        <f t="array" ref="M49">IF(INDEX(B:B,(ROW()-2)*2+1)=0,"",INDEX(B:B,(ROW()-2)*2+1))</f>
        <v/>
      </c>
      <c r="N49" s="98"/>
      <c r="X49" t="str">
        <f t="array" ref="X49">IFERROR(INDEX(E$2:E$100, SMALL(IF($N$2:$N$100="YES", ROW($N$2:$N$100)-MIN(ROW($N$2:$N$100))+1), ROW(47:47))), " ")</f>
        <v xml:space="preserve"> </v>
      </c>
    </row>
    <row r="50" spans="8:24" ht="15.6">
      <c r="H50" s="141" t="str">
        <f t="shared" si="0"/>
        <v/>
      </c>
      <c r="I50" s="141" t="str" cm="1">
        <f t="array" ref="I50">IF(INDEX(C:C,(ROW()-2)*2+1)=0,"",INDEX(C:C,(ROW()-2)*2+1))</f>
        <v/>
      </c>
      <c r="J50" s="141" t="str" cm="1">
        <f t="array" ref="J50">IF(INDEX(D:D,(ROW()-2)*2+1)=0,"",INDEX(D:D,(ROW()-2)*2+1))</f>
        <v/>
      </c>
      <c r="K50" s="141" t="str" cm="1">
        <f t="array" ref="K50">IF(INDEX(F:F,(ROW()-2)*2+1)=0,"",INDEX(F:F,(ROW()-2)*2+1))</f>
        <v/>
      </c>
      <c r="L50" s="141" t="str" cm="1">
        <f t="array" ref="L50">IF(INDEX(E:E,(ROW()-2)*2+1)=0,"",INDEX(E:E,(ROW()-2)*2+1))</f>
        <v/>
      </c>
      <c r="M50" s="141" t="str" cm="1">
        <f t="array" ref="M50">IF(INDEX(B:B,(ROW()-2)*2+1)=0,"",INDEX(B:B,(ROW()-2)*2+1))</f>
        <v/>
      </c>
      <c r="N50" s="98"/>
      <c r="X50" t="str">
        <f t="array" ref="X50">IFERROR(INDEX(E$2:E$100, SMALL(IF($N$2:$N$100="YES", ROW($N$2:$N$100)-MIN(ROW($N$2:$N$100))+1), ROW(48:48))), " ")</f>
        <v xml:space="preserve"> </v>
      </c>
    </row>
    <row r="51" spans="8:24" ht="15.6">
      <c r="H51" s="141" t="str">
        <f t="shared" si="0"/>
        <v/>
      </c>
      <c r="I51" s="141" t="str" cm="1">
        <f t="array" ref="I51">IF(INDEX(C:C,(ROW()-2)*2+1)=0,"",INDEX(C:C,(ROW()-2)*2+1))</f>
        <v/>
      </c>
      <c r="J51" s="141" t="str" cm="1">
        <f t="array" ref="J51">IF(INDEX(D:D,(ROW()-2)*2+1)=0,"",INDEX(D:D,(ROW()-2)*2+1))</f>
        <v/>
      </c>
      <c r="K51" s="141" t="str" cm="1">
        <f t="array" ref="K51">IF(INDEX(F:F,(ROW()-2)*2+1)=0,"",INDEX(F:F,(ROW()-2)*2+1))</f>
        <v/>
      </c>
      <c r="L51" s="141" t="str" cm="1">
        <f t="array" ref="L51">IF(INDEX(E:E,(ROW()-2)*2+1)=0,"",INDEX(E:E,(ROW()-2)*2+1))</f>
        <v/>
      </c>
      <c r="M51" s="141" t="str" cm="1">
        <f t="array" ref="M51">IF(INDEX(B:B,(ROW()-2)*2+1)=0,"",INDEX(B:B,(ROW()-2)*2+1))</f>
        <v/>
      </c>
      <c r="N51" s="98"/>
      <c r="X51" t="str">
        <f t="array" ref="X51">IFERROR(INDEX(E$2:E$100, SMALL(IF($N$2:$N$100="YES", ROW($N$2:$N$100)-MIN(ROW($N$2:$N$100))+1), ROW(49:49))), " ")</f>
        <v xml:space="preserve"> </v>
      </c>
    </row>
    <row r="52" spans="8:24" ht="15.6">
      <c r="H52" s="141" t="str">
        <f t="shared" si="0"/>
        <v/>
      </c>
      <c r="I52" s="141" t="str" cm="1">
        <f t="array" ref="I52">IF(INDEX(C:C,(ROW()-2)*2+1)=0,"",INDEX(C:C,(ROW()-2)*2+1))</f>
        <v/>
      </c>
      <c r="J52" s="141" t="str" cm="1">
        <f t="array" ref="J52">IF(INDEX(D:D,(ROW()-2)*2+1)=0,"",INDEX(D:D,(ROW()-2)*2+1))</f>
        <v/>
      </c>
      <c r="K52" s="141" t="str" cm="1">
        <f t="array" ref="K52">IF(INDEX(F:F,(ROW()-2)*2+1)=0,"",INDEX(F:F,(ROW()-2)*2+1))</f>
        <v/>
      </c>
      <c r="L52" s="141" t="str" cm="1">
        <f t="array" ref="L52">IF(INDEX(E:E,(ROW()-2)*2+1)=0,"",INDEX(E:E,(ROW()-2)*2+1))</f>
        <v/>
      </c>
      <c r="M52" s="141" t="str" cm="1">
        <f t="array" ref="M52">IF(INDEX(B:B,(ROW()-2)*2+1)=0,"",INDEX(B:B,(ROW()-2)*2+1))</f>
        <v/>
      </c>
      <c r="N52" s="98"/>
      <c r="X52" t="str">
        <f t="array" ref="X52">IFERROR(INDEX(E$2:E$100, SMALL(IF($N$2:$N$100="YES", ROW($N$2:$N$100)-MIN(ROW($N$2:$N$100))+1), ROW(50:50))), " ")</f>
        <v xml:space="preserve"> </v>
      </c>
    </row>
    <row r="53" spans="8:24" ht="15.6">
      <c r="H53" s="141" t="str">
        <f t="shared" si="0"/>
        <v/>
      </c>
      <c r="I53" s="141" t="str" cm="1">
        <f t="array" ref="I53">IF(INDEX(C:C,(ROW()-2)*2+1)=0,"",INDEX(C:C,(ROW()-2)*2+1))</f>
        <v/>
      </c>
      <c r="J53" s="141" t="str" cm="1">
        <f t="array" ref="J53">IF(INDEX(D:D,(ROW()-2)*2+1)=0,"",INDEX(D:D,(ROW()-2)*2+1))</f>
        <v/>
      </c>
      <c r="K53" s="141" t="str" cm="1">
        <f t="array" ref="K53">IF(INDEX(F:F,(ROW()-2)*2+1)=0,"",INDEX(F:F,(ROW()-2)*2+1))</f>
        <v/>
      </c>
      <c r="L53" s="141" t="str" cm="1">
        <f t="array" ref="L53">IF(INDEX(E:E,(ROW()-2)*2+1)=0,"",INDEX(E:E,(ROW()-2)*2+1))</f>
        <v/>
      </c>
      <c r="M53" s="141" t="str" cm="1">
        <f t="array" ref="M53">IF(INDEX(B:B,(ROW()-2)*2+1)=0,"",INDEX(B:B,(ROW()-2)*2+1))</f>
        <v/>
      </c>
      <c r="N53" s="98"/>
      <c r="X53" t="str">
        <f t="array" ref="X53">IFERROR(INDEX(E$2:E$100, SMALL(IF($N$2:$N$100="YES", ROW($N$2:$N$100)-MIN(ROW($N$2:$N$100))+1), ROW(51:51))), " ")</f>
        <v xml:space="preserve"> </v>
      </c>
    </row>
    <row r="54" spans="8:24" ht="15.6">
      <c r="H54" s="141" t="str">
        <f t="shared" si="0"/>
        <v/>
      </c>
      <c r="I54" s="141" t="str" cm="1">
        <f t="array" ref="I54">IF(INDEX(C:C,(ROW()-2)*2+1)=0,"",INDEX(C:C,(ROW()-2)*2+1))</f>
        <v/>
      </c>
      <c r="J54" s="141" t="str" cm="1">
        <f t="array" ref="J54">IF(INDEX(D:D,(ROW()-2)*2+1)=0,"",INDEX(D:D,(ROW()-2)*2+1))</f>
        <v/>
      </c>
      <c r="K54" s="141" t="str" cm="1">
        <f t="array" ref="K54">IF(INDEX(F:F,(ROW()-2)*2+1)=0,"",INDEX(F:F,(ROW()-2)*2+1))</f>
        <v/>
      </c>
      <c r="L54" s="141" t="str" cm="1">
        <f t="array" ref="L54">IF(INDEX(E:E,(ROW()-2)*2+1)=0,"",INDEX(E:E,(ROW()-2)*2+1))</f>
        <v/>
      </c>
      <c r="M54" s="141" t="str" cm="1">
        <f t="array" ref="M54">IF(INDEX(B:B,(ROW()-2)*2+1)=0,"",INDEX(B:B,(ROW()-2)*2+1))</f>
        <v/>
      </c>
      <c r="N54" s="98"/>
      <c r="X54" t="str">
        <f t="array" ref="X54">IFERROR(INDEX(E$2:E$100, SMALL(IF($N$2:$N$100="YES", ROW($N$2:$N$100)-MIN(ROW($N$2:$N$100))+1), ROW(52:52))), " ")</f>
        <v xml:space="preserve"> </v>
      </c>
    </row>
    <row r="55" spans="8:24" ht="15.6">
      <c r="H55" s="141" t="str">
        <f t="shared" si="0"/>
        <v/>
      </c>
      <c r="I55" s="141" t="str" cm="1">
        <f t="array" ref="I55">IF(INDEX(C:C,(ROW()-2)*2+1)=0,"",INDEX(C:C,(ROW()-2)*2+1))</f>
        <v/>
      </c>
      <c r="J55" s="141" t="str" cm="1">
        <f t="array" ref="J55">IF(INDEX(D:D,(ROW()-2)*2+1)=0,"",INDEX(D:D,(ROW()-2)*2+1))</f>
        <v/>
      </c>
      <c r="K55" s="141" t="str" cm="1">
        <f t="array" ref="K55">IF(INDEX(F:F,(ROW()-2)*2+1)=0,"",INDEX(F:F,(ROW()-2)*2+1))</f>
        <v/>
      </c>
      <c r="L55" s="141" t="str" cm="1">
        <f t="array" ref="L55">IF(INDEX(E:E,(ROW()-2)*2+1)=0,"",INDEX(E:E,(ROW()-2)*2+1))</f>
        <v/>
      </c>
      <c r="M55" s="141" t="str" cm="1">
        <f t="array" ref="M55">IF(INDEX(B:B,(ROW()-2)*2+1)=0,"",INDEX(B:B,(ROW()-2)*2+1))</f>
        <v/>
      </c>
      <c r="N55" s="98"/>
      <c r="X55" t="str">
        <f t="array" ref="X55">IFERROR(INDEX(E$2:E$100, SMALL(IF($N$2:$N$100="YES", ROW($N$2:$N$100)-MIN(ROW($N$2:$N$100))+1), ROW(53:53))), " ")</f>
        <v xml:space="preserve"> </v>
      </c>
    </row>
    <row r="56" spans="8:24" ht="15.6">
      <c r="H56" s="141" t="str">
        <f t="shared" si="0"/>
        <v/>
      </c>
      <c r="I56" s="141" t="str" cm="1">
        <f t="array" ref="I56">IF(INDEX(C:C,(ROW()-2)*2+1)=0,"",INDEX(C:C,(ROW()-2)*2+1))</f>
        <v/>
      </c>
      <c r="J56" s="141" t="str" cm="1">
        <f t="array" ref="J56">IF(INDEX(D:D,(ROW()-2)*2+1)=0,"",INDEX(D:D,(ROW()-2)*2+1))</f>
        <v/>
      </c>
      <c r="K56" s="141" t="str" cm="1">
        <f t="array" ref="K56">IF(INDEX(F:F,(ROW()-2)*2+1)=0,"",INDEX(F:F,(ROW()-2)*2+1))</f>
        <v/>
      </c>
      <c r="L56" s="141" t="str" cm="1">
        <f t="array" ref="L56">IF(INDEX(E:E,(ROW()-2)*2+1)=0,"",INDEX(E:E,(ROW()-2)*2+1))</f>
        <v/>
      </c>
      <c r="M56" s="141" t="str" cm="1">
        <f t="array" ref="M56">IF(INDEX(B:B,(ROW()-2)*2+1)=0,"",INDEX(B:B,(ROW()-2)*2+1))</f>
        <v/>
      </c>
      <c r="N56" s="98"/>
      <c r="X56" t="str">
        <f t="array" ref="X56">IFERROR(INDEX(E$2:E$100, SMALL(IF($N$2:$N$100="YES", ROW($N$2:$N$100)-MIN(ROW($N$2:$N$100))+1), ROW(54:54))), " ")</f>
        <v xml:space="preserve"> </v>
      </c>
    </row>
    <row r="57" spans="8:24" ht="15.6">
      <c r="H57" s="141" t="str">
        <f t="shared" si="0"/>
        <v/>
      </c>
      <c r="I57" s="141" t="str" cm="1">
        <f t="array" ref="I57">IF(INDEX(C:C,(ROW()-2)*2+1)=0,"",INDEX(C:C,(ROW()-2)*2+1))</f>
        <v/>
      </c>
      <c r="J57" s="141" t="str" cm="1">
        <f t="array" ref="J57">IF(INDEX(D:D,(ROW()-2)*2+1)=0,"",INDEX(D:D,(ROW()-2)*2+1))</f>
        <v/>
      </c>
      <c r="K57" s="141" t="str" cm="1">
        <f t="array" ref="K57">IF(INDEX(F:F,(ROW()-2)*2+1)=0,"",INDEX(F:F,(ROW()-2)*2+1))</f>
        <v/>
      </c>
      <c r="L57" s="141" t="str" cm="1">
        <f t="array" ref="L57">IF(INDEX(E:E,(ROW()-2)*2+1)=0,"",INDEX(E:E,(ROW()-2)*2+1))</f>
        <v/>
      </c>
      <c r="M57" s="141" t="str" cm="1">
        <f t="array" ref="M57">IF(INDEX(B:B,(ROW()-2)*2+1)=0,"",INDEX(B:B,(ROW()-2)*2+1))</f>
        <v/>
      </c>
      <c r="N57" s="98"/>
      <c r="X57" t="str">
        <f t="array" ref="X57">IFERROR(INDEX(E$2:E$100, SMALL(IF($N$2:$N$100="YES", ROW($N$2:$N$100)-MIN(ROW($N$2:$N$100))+1), ROW(55:55))), " ")</f>
        <v xml:space="preserve"> </v>
      </c>
    </row>
    <row r="58" spans="8:24" ht="15.6">
      <c r="H58" s="141" t="str">
        <f t="shared" si="0"/>
        <v/>
      </c>
      <c r="I58" s="141" t="str" cm="1">
        <f t="array" ref="I58">IF(INDEX(C:C,(ROW()-2)*2+1)=0,"",INDEX(C:C,(ROW()-2)*2+1))</f>
        <v/>
      </c>
      <c r="J58" s="141" t="str" cm="1">
        <f t="array" ref="J58">IF(INDEX(D:D,(ROW()-2)*2+1)=0,"",INDEX(D:D,(ROW()-2)*2+1))</f>
        <v/>
      </c>
      <c r="K58" s="141" t="str" cm="1">
        <f t="array" ref="K58">IF(INDEX(F:F,(ROW()-2)*2+1)=0,"",INDEX(F:F,(ROW()-2)*2+1))</f>
        <v/>
      </c>
      <c r="L58" s="141" t="str" cm="1">
        <f t="array" ref="L58">IF(INDEX(E:E,(ROW()-2)*2+1)=0,"",INDEX(E:E,(ROW()-2)*2+1))</f>
        <v/>
      </c>
      <c r="M58" s="141" t="str" cm="1">
        <f t="array" ref="M58">IF(INDEX(B:B,(ROW()-2)*2+1)=0,"",INDEX(B:B,(ROW()-2)*2+1))</f>
        <v/>
      </c>
      <c r="N58" s="98"/>
      <c r="X58" t="str">
        <f t="array" ref="X58">IFERROR(INDEX(E$2:E$100, SMALL(IF($N$2:$N$100="YES", ROW($N$2:$N$100)-MIN(ROW($N$2:$N$100))+1), ROW(56:56))), " ")</f>
        <v xml:space="preserve"> </v>
      </c>
    </row>
    <row r="59" spans="8:24" ht="15.6">
      <c r="H59" s="141" t="str">
        <f t="shared" si="0"/>
        <v/>
      </c>
      <c r="I59" s="141" t="str" cm="1">
        <f t="array" ref="I59">IF(INDEX(C:C,(ROW()-2)*2+1)=0,"",INDEX(C:C,(ROW()-2)*2+1))</f>
        <v/>
      </c>
      <c r="J59" s="141" t="str" cm="1">
        <f t="array" ref="J59">IF(INDEX(D:D,(ROW()-2)*2+1)=0,"",INDEX(D:D,(ROW()-2)*2+1))</f>
        <v/>
      </c>
      <c r="K59" s="141" t="str" cm="1">
        <f t="array" ref="K59">IF(INDEX(F:F,(ROW()-2)*2+1)=0,"",INDEX(F:F,(ROW()-2)*2+1))</f>
        <v/>
      </c>
      <c r="L59" s="141" t="str" cm="1">
        <f t="array" ref="L59">IF(INDEX(E:E,(ROW()-2)*2+1)=0,"",INDEX(E:E,(ROW()-2)*2+1))</f>
        <v/>
      </c>
      <c r="M59" s="141" t="str" cm="1">
        <f t="array" ref="M59">IF(INDEX(B:B,(ROW()-2)*2+1)=0,"",INDEX(B:B,(ROW()-2)*2+1))</f>
        <v/>
      </c>
      <c r="N59" s="98"/>
      <c r="X59" t="str">
        <f t="array" ref="X59">IFERROR(INDEX(E$2:E$100, SMALL(IF($N$2:$N$100="YES", ROW($N$2:$N$100)-MIN(ROW($N$2:$N$100))+1), ROW(57:57))), " ")</f>
        <v xml:space="preserve"> </v>
      </c>
    </row>
    <row r="60" spans="8:24" ht="15.6">
      <c r="H60" s="141" t="str">
        <f t="shared" si="0"/>
        <v/>
      </c>
      <c r="I60" s="141" t="str" cm="1">
        <f t="array" ref="I60">IF(INDEX(C:C,(ROW()-2)*2+1)=0,"",INDEX(C:C,(ROW()-2)*2+1))</f>
        <v/>
      </c>
      <c r="J60" s="141" t="str" cm="1">
        <f t="array" ref="J60">IF(INDEX(D:D,(ROW()-2)*2+1)=0,"",INDEX(D:D,(ROW()-2)*2+1))</f>
        <v/>
      </c>
      <c r="K60" s="141" t="str" cm="1">
        <f t="array" ref="K60">IF(INDEX(F:F,(ROW()-2)*2+1)=0,"",INDEX(F:F,(ROW()-2)*2+1))</f>
        <v/>
      </c>
      <c r="L60" s="141" t="str" cm="1">
        <f t="array" ref="L60">IF(INDEX(E:E,(ROW()-2)*2+1)=0,"",INDEX(E:E,(ROW()-2)*2+1))</f>
        <v/>
      </c>
      <c r="M60" s="141" t="str" cm="1">
        <f t="array" ref="M60">IF(INDEX(B:B,(ROW()-2)*2+1)=0,"",INDEX(B:B,(ROW()-2)*2+1))</f>
        <v/>
      </c>
      <c r="N60" s="98"/>
      <c r="X60" t="str">
        <f t="array" ref="X60">IFERROR(INDEX(E$2:E$100, SMALL(IF($N$2:$N$100="YES", ROW($N$2:$N$100)-MIN(ROW($N$2:$N$100))+1), ROW(58:58))), " ")</f>
        <v xml:space="preserve"> </v>
      </c>
    </row>
    <row r="61" spans="8:24">
      <c r="H61" s="141" t="str">
        <f t="shared" si="0"/>
        <v/>
      </c>
      <c r="I61" s="141" t="str" cm="1">
        <f t="array" ref="I61">IF(INDEX(C:C,(ROW()-2)*2+1)=0,"",INDEX(C:C,(ROW()-2)*2+1))</f>
        <v/>
      </c>
      <c r="J61" s="141" t="str" cm="1">
        <f t="array" ref="J61">IF(INDEX(D:D,(ROW()-2)*2+1)=0,"",INDEX(D:D,(ROW()-2)*2+1))</f>
        <v/>
      </c>
      <c r="K61" s="141" t="str" cm="1">
        <f t="array" ref="K61">IF(INDEX(F:F,(ROW()-2)*2+1)=0,"",INDEX(F:F,(ROW()-2)*2+1))</f>
        <v/>
      </c>
      <c r="L61" s="141" t="str" cm="1">
        <f t="array" ref="L61">IF(INDEX(E:E,(ROW()-2)*2+1)=0,"",INDEX(E:E,(ROW()-2)*2+1))</f>
        <v/>
      </c>
      <c r="M61" s="141" t="str" cm="1">
        <f t="array" ref="M61">IF(INDEX(B:B,(ROW()-2)*2+1)=0,"",INDEX(B:B,(ROW()-2)*2+1))</f>
        <v/>
      </c>
      <c r="X61" t="str">
        <f t="array" ref="X61">IFERROR(INDEX(E$2:E$100, SMALL(IF($N$2:$N$100="YES", ROW($N$2:$N$100)-MIN(ROW($N$2:$N$100))+1), ROW(59:59))), " ")</f>
        <v xml:space="preserve"> </v>
      </c>
    </row>
    <row r="62" spans="8:24">
      <c r="H62" s="141" t="str">
        <f t="shared" si="0"/>
        <v/>
      </c>
      <c r="I62" s="141" t="str" cm="1">
        <f t="array" ref="I62">IF(INDEX(C:C,(ROW()-2)*2+1)=0,"",INDEX(C:C,(ROW()-2)*2+1))</f>
        <v/>
      </c>
      <c r="J62" s="141" t="str" cm="1">
        <f t="array" ref="J62">IF(INDEX(D:D,(ROW()-2)*2+1)=0,"",INDEX(D:D,(ROW()-2)*2+1))</f>
        <v/>
      </c>
      <c r="K62" s="141" t="str" cm="1">
        <f t="array" ref="K62">IF(INDEX(F:F,(ROW()-2)*2+1)=0,"",INDEX(F:F,(ROW()-2)*2+1))</f>
        <v/>
      </c>
      <c r="L62" s="141" t="str" cm="1">
        <f t="array" ref="L62">IF(INDEX(E:E,(ROW()-2)*2+1)=0,"",INDEX(E:E,(ROW()-2)*2+1))</f>
        <v/>
      </c>
      <c r="M62" s="141" t="str" cm="1">
        <f t="array" ref="M62">IF(INDEX(B:B,(ROW()-2)*2+1)=0,"",INDEX(B:B,(ROW()-2)*2+1))</f>
        <v/>
      </c>
      <c r="X62" t="str">
        <f t="array" ref="X62">IFERROR(INDEX(E$2:E$100, SMALL(IF($N$2:$N$100="YES", ROW($N$2:$N$100)-MIN(ROW($N$2:$N$100))+1), ROW(60:60))), " ")</f>
        <v xml:space="preserve"> </v>
      </c>
    </row>
    <row r="63" spans="8:24">
      <c r="H63" s="141" t="str">
        <f t="shared" si="0"/>
        <v/>
      </c>
      <c r="I63" s="141" t="str" cm="1">
        <f t="array" ref="I63">IF(INDEX(C:C,(ROW()-2)*2+1)=0,"",INDEX(C:C,(ROW()-2)*2+1))</f>
        <v/>
      </c>
      <c r="J63" s="141" t="str" cm="1">
        <f t="array" ref="J63">IF(INDEX(D:D,(ROW()-2)*2+1)=0,"",INDEX(D:D,(ROW()-2)*2+1))</f>
        <v/>
      </c>
      <c r="K63" s="141" t="str" cm="1">
        <f t="array" ref="K63">IF(INDEX(F:F,(ROW()-2)*2+1)=0,"",INDEX(F:F,(ROW()-2)*2+1))</f>
        <v/>
      </c>
      <c r="L63" s="141" t="str" cm="1">
        <f t="array" ref="L63">IF(INDEX(E:E,(ROW()-2)*2+1)=0,"",INDEX(E:E,(ROW()-2)*2+1))</f>
        <v/>
      </c>
      <c r="M63" s="141" t="str" cm="1">
        <f t="array" ref="M63">IF(INDEX(B:B,(ROW()-2)*2+1)=0,"",INDEX(B:B,(ROW()-2)*2+1))</f>
        <v/>
      </c>
      <c r="X63" t="str">
        <f t="array" ref="X63">IFERROR(INDEX(E$2:E$100, SMALL(IF($N$2:$N$100="YES", ROW($N$2:$N$100)-MIN(ROW($N$2:$N$100))+1), ROW(61:61))), " ")</f>
        <v xml:space="preserve"> </v>
      </c>
    </row>
    <row r="64" spans="8:24">
      <c r="H64" s="141" t="str">
        <f t="shared" si="0"/>
        <v/>
      </c>
      <c r="I64" s="141" t="str" cm="1">
        <f t="array" ref="I64">IF(INDEX(C:C,(ROW()-2)*2+1)=0,"",INDEX(C:C,(ROW()-2)*2+1))</f>
        <v/>
      </c>
      <c r="J64" s="141" t="str" cm="1">
        <f t="array" ref="J64">IF(INDEX(D:D,(ROW()-2)*2+1)=0,"",INDEX(D:D,(ROW()-2)*2+1))</f>
        <v/>
      </c>
      <c r="K64" s="141" t="str" cm="1">
        <f t="array" ref="K64">IF(INDEX(F:F,(ROW()-2)*2+1)=0,"",INDEX(F:F,(ROW()-2)*2+1))</f>
        <v/>
      </c>
      <c r="L64" s="141" t="str" cm="1">
        <f t="array" ref="L64">IF(INDEX(E:E,(ROW()-2)*2+1)=0,"",INDEX(E:E,(ROW()-2)*2+1))</f>
        <v/>
      </c>
      <c r="M64" s="141" t="str" cm="1">
        <f t="array" ref="M64">IF(INDEX(B:B,(ROW()-2)*2+1)=0,"",INDEX(B:B,(ROW()-2)*2+1))</f>
        <v/>
      </c>
      <c r="X64" t="str">
        <f t="array" ref="X64">IFERROR(INDEX(E$2:E$100, SMALL(IF($N$2:$N$100="YES", ROW($N$2:$N$100)-MIN(ROW($N$2:$N$100))+1), ROW(62:62))), " ")</f>
        <v xml:space="preserve"> </v>
      </c>
    </row>
    <row r="65" spans="8:24">
      <c r="H65" s="141" t="str">
        <f t="shared" si="0"/>
        <v/>
      </c>
      <c r="I65" s="141" t="str" cm="1">
        <f t="array" ref="I65">IF(INDEX(C:C,(ROW()-2)*2+1)=0,"",INDEX(C:C,(ROW()-2)*2+1))</f>
        <v/>
      </c>
      <c r="J65" s="141" t="str" cm="1">
        <f t="array" ref="J65">IF(INDEX(D:D,(ROW()-2)*2+1)=0,"",INDEX(D:D,(ROW()-2)*2+1))</f>
        <v/>
      </c>
      <c r="K65" s="141" t="str" cm="1">
        <f t="array" ref="K65">IF(INDEX(F:F,(ROW()-2)*2+1)=0,"",INDEX(F:F,(ROW()-2)*2+1))</f>
        <v/>
      </c>
      <c r="L65" s="141" t="str" cm="1">
        <f t="array" ref="L65">IF(INDEX(E:E,(ROW()-2)*2+1)=0,"",INDEX(E:E,(ROW()-2)*2+1))</f>
        <v/>
      </c>
      <c r="M65" s="141" t="str" cm="1">
        <f t="array" ref="M65">IF(INDEX(B:B,(ROW()-2)*2+1)=0,"",INDEX(B:B,(ROW()-2)*2+1))</f>
        <v/>
      </c>
      <c r="X65" t="str">
        <f t="array" ref="X65">IFERROR(INDEX(E$2:E$100, SMALL(IF($N$2:$N$100="YES", ROW($N$2:$N$100)-MIN(ROW($N$2:$N$100))+1), ROW(63:63))), " ")</f>
        <v xml:space="preserve"> </v>
      </c>
    </row>
    <row r="66" spans="8:24">
      <c r="H66" s="141" t="str">
        <f t="shared" si="0"/>
        <v/>
      </c>
      <c r="I66" s="141" t="str" cm="1">
        <f t="array" ref="I66">IF(INDEX(C:C,(ROW()-2)*2+1)=0,"",INDEX(C:C,(ROW()-2)*2+1))</f>
        <v/>
      </c>
      <c r="J66" s="141" t="str" cm="1">
        <f t="array" ref="J66">IF(INDEX(D:D,(ROW()-2)*2+1)=0,"",INDEX(D:D,(ROW()-2)*2+1))</f>
        <v/>
      </c>
      <c r="K66" s="141" t="str" cm="1">
        <f t="array" ref="K66">IF(INDEX(F:F,(ROW()-2)*2+1)=0,"",INDEX(F:F,(ROW()-2)*2+1))</f>
        <v/>
      </c>
      <c r="L66" s="141" t="str" cm="1">
        <f t="array" ref="L66">IF(INDEX(E:E,(ROW()-2)*2+1)=0,"",INDEX(E:E,(ROW()-2)*2+1))</f>
        <v/>
      </c>
      <c r="M66" s="141" t="str" cm="1">
        <f t="array" ref="M66">IF(INDEX(B:B,(ROW()-2)*2+1)=0,"",INDEX(B:B,(ROW()-2)*2+1))</f>
        <v/>
      </c>
      <c r="X66" t="str">
        <f t="array" ref="X66">IFERROR(INDEX(E$2:E$100, SMALL(IF($N$2:$N$100="YES", ROW($N$2:$N$100)-MIN(ROW($N$2:$N$100))+1), ROW(64:64))), " ")</f>
        <v xml:space="preserve"> </v>
      </c>
    </row>
    <row r="67" spans="8:24">
      <c r="H67" s="141" t="str">
        <f t="shared" si="0"/>
        <v/>
      </c>
      <c r="I67" s="141" t="str" cm="1">
        <f t="array" ref="I67">IF(INDEX(C:C,(ROW()-2)*2+1)=0,"",INDEX(C:C,(ROW()-2)*2+1))</f>
        <v/>
      </c>
      <c r="J67" s="141" t="str" cm="1">
        <f t="array" ref="J67">IF(INDEX(D:D,(ROW()-2)*2+1)=0,"",INDEX(D:D,(ROW()-2)*2+1))</f>
        <v/>
      </c>
      <c r="K67" s="141" t="str" cm="1">
        <f t="array" ref="K67">IF(INDEX(F:F,(ROW()-2)*2+1)=0,"",INDEX(F:F,(ROW()-2)*2+1))</f>
        <v/>
      </c>
      <c r="L67" s="141" t="str" cm="1">
        <f t="array" ref="L67">IF(INDEX(E:E,(ROW()-2)*2+1)=0,"",INDEX(E:E,(ROW()-2)*2+1))</f>
        <v/>
      </c>
      <c r="M67" s="141" t="str" cm="1">
        <f t="array" ref="M67">IF(INDEX(B:B,(ROW()-2)*2+1)=0,"",INDEX(B:B,(ROW()-2)*2+1))</f>
        <v/>
      </c>
      <c r="X67" t="str">
        <f t="array" ref="X67">IFERROR(INDEX(E$2:E$100, SMALL(IF($N$2:$N$100="YES", ROW($N$2:$N$100)-MIN(ROW($N$2:$N$100))+1), ROW(65:65))), " ")</f>
        <v xml:space="preserve"> </v>
      </c>
    </row>
    <row r="68" spans="8:24">
      <c r="H68" s="141" t="str">
        <f t="shared" ref="H68:H131" si="1">IF(INDEX($A$3:$A$1000, (ROW(D68)-ROW($D$3))*5+3) = "", "", INDEX($A$3:$A$1000, (ROW(D68)-ROW($D$3))*5+3))</f>
        <v/>
      </c>
      <c r="I68" s="141" t="str" cm="1">
        <f t="array" ref="I68">IF(INDEX(C:C,(ROW()-2)*2+1)=0,"",INDEX(C:C,(ROW()-2)*2+1))</f>
        <v/>
      </c>
      <c r="J68" s="141" t="str" cm="1">
        <f t="array" ref="J68">IF(INDEX(D:D,(ROW()-2)*2+1)=0,"",INDEX(D:D,(ROW()-2)*2+1))</f>
        <v/>
      </c>
      <c r="K68" s="141" t="str" cm="1">
        <f t="array" ref="K68">IF(INDEX(F:F,(ROW()-2)*2+1)=0,"",INDEX(F:F,(ROW()-2)*2+1))</f>
        <v/>
      </c>
      <c r="L68" s="141" t="str" cm="1">
        <f t="array" ref="L68">IF(INDEX(E:E,(ROW()-2)*2+1)=0,"",INDEX(E:E,(ROW()-2)*2+1))</f>
        <v/>
      </c>
      <c r="M68" s="141" t="str" cm="1">
        <f t="array" ref="M68">IF(INDEX(B:B,(ROW()-2)*2+1)=0,"",INDEX(B:B,(ROW()-2)*2+1))</f>
        <v/>
      </c>
      <c r="X68" t="str">
        <f t="array" ref="X68">IFERROR(INDEX(E$2:E$100, SMALL(IF($N$2:$N$100="YES", ROW($N$2:$N$100)-MIN(ROW($N$2:$N$100))+1), ROW(66:66))), " ")</f>
        <v xml:space="preserve"> </v>
      </c>
    </row>
    <row r="69" spans="8:24">
      <c r="H69" s="141" t="str">
        <f t="shared" si="1"/>
        <v/>
      </c>
      <c r="I69" s="141" t="str" cm="1">
        <f t="array" ref="I69">IF(INDEX(C:C,(ROW()-2)*2+1)=0,"",INDEX(C:C,(ROW()-2)*2+1))</f>
        <v/>
      </c>
      <c r="J69" s="141" t="str" cm="1">
        <f t="array" ref="J69">IF(INDEX(D:D,(ROW()-2)*2+1)=0,"",INDEX(D:D,(ROW()-2)*2+1))</f>
        <v/>
      </c>
      <c r="K69" s="141" t="str" cm="1">
        <f t="array" ref="K69">IF(INDEX(F:F,(ROW()-2)*2+1)=0,"",INDEX(F:F,(ROW()-2)*2+1))</f>
        <v/>
      </c>
      <c r="L69" s="141" t="str" cm="1">
        <f t="array" ref="L69">IF(INDEX(E:E,(ROW()-2)*2+1)=0,"",INDEX(E:E,(ROW()-2)*2+1))</f>
        <v/>
      </c>
      <c r="M69" s="141" t="str" cm="1">
        <f t="array" ref="M69">IF(INDEX(B:B,(ROW()-2)*2+1)=0,"",INDEX(B:B,(ROW()-2)*2+1))</f>
        <v/>
      </c>
      <c r="X69" t="str">
        <f t="array" ref="X69">IFERROR(INDEX(E$2:E$100, SMALL(IF($N$2:$N$100="YES", ROW($N$2:$N$100)-MIN(ROW($N$2:$N$100))+1), ROW(67:67))), " ")</f>
        <v xml:space="preserve"> </v>
      </c>
    </row>
    <row r="70" spans="8:24">
      <c r="H70" s="141" t="str">
        <f t="shared" si="1"/>
        <v/>
      </c>
      <c r="I70" s="141" t="str" cm="1">
        <f t="array" ref="I70">IF(INDEX(C:C,(ROW()-2)*2+1)=0,"",INDEX(C:C,(ROW()-2)*2+1))</f>
        <v/>
      </c>
      <c r="J70" s="141" t="str" cm="1">
        <f t="array" ref="J70">IF(INDEX(D:D,(ROW()-2)*2+1)=0,"",INDEX(D:D,(ROW()-2)*2+1))</f>
        <v/>
      </c>
      <c r="K70" s="141" t="str" cm="1">
        <f t="array" ref="K70">IF(INDEX(F:F,(ROW()-2)*2+1)=0,"",INDEX(F:F,(ROW()-2)*2+1))</f>
        <v/>
      </c>
      <c r="L70" s="141" t="str" cm="1">
        <f t="array" ref="L70">IF(INDEX(E:E,(ROW()-2)*2+1)=0,"",INDEX(E:E,(ROW()-2)*2+1))</f>
        <v/>
      </c>
      <c r="M70" s="141" t="str" cm="1">
        <f t="array" ref="M70">IF(INDEX(B:B,(ROW()-2)*2+1)=0,"",INDEX(B:B,(ROW()-2)*2+1))</f>
        <v/>
      </c>
      <c r="X70" t="str">
        <f t="array" ref="X70">IFERROR(INDEX(E$2:E$100, SMALL(IF($N$2:$N$100="YES", ROW($N$2:$N$100)-MIN(ROW($N$2:$N$100))+1), ROW(68:68))), " ")</f>
        <v xml:space="preserve"> </v>
      </c>
    </row>
    <row r="71" spans="8:24">
      <c r="H71" s="141" t="str">
        <f t="shared" si="1"/>
        <v/>
      </c>
      <c r="I71" s="141" t="str" cm="1">
        <f t="array" ref="I71">IF(INDEX(C:C,(ROW()-2)*2+1)=0,"",INDEX(C:C,(ROW()-2)*2+1))</f>
        <v/>
      </c>
      <c r="J71" s="141" t="str" cm="1">
        <f t="array" ref="J71">IF(INDEX(D:D,(ROW()-2)*2+1)=0,"",INDEX(D:D,(ROW()-2)*2+1))</f>
        <v/>
      </c>
      <c r="K71" s="141" t="str" cm="1">
        <f t="array" ref="K71">IF(INDEX(F:F,(ROW()-2)*2+1)=0,"",INDEX(F:F,(ROW()-2)*2+1))</f>
        <v/>
      </c>
      <c r="L71" s="141" t="str" cm="1">
        <f t="array" ref="L71">IF(INDEX(E:E,(ROW()-2)*2+1)=0,"",INDEX(E:E,(ROW()-2)*2+1))</f>
        <v/>
      </c>
      <c r="M71" s="141" t="str" cm="1">
        <f t="array" ref="M71">IF(INDEX(B:B,(ROW()-2)*2+1)=0,"",INDEX(B:B,(ROW()-2)*2+1))</f>
        <v/>
      </c>
      <c r="X71" t="str">
        <f t="array" ref="X71">IFERROR(INDEX(E$2:E$100, SMALL(IF($N$2:$N$100="YES", ROW($N$2:$N$100)-MIN(ROW($N$2:$N$100))+1), ROW(69:69))), " ")</f>
        <v xml:space="preserve"> </v>
      </c>
    </row>
    <row r="72" spans="8:24">
      <c r="H72" s="141" t="str">
        <f t="shared" si="1"/>
        <v/>
      </c>
      <c r="I72" s="141" t="str" cm="1">
        <f t="array" ref="I72">IF(INDEX(C:C,(ROW()-2)*2+1)=0,"",INDEX(C:C,(ROW()-2)*2+1))</f>
        <v/>
      </c>
      <c r="J72" s="141" t="str" cm="1">
        <f t="array" ref="J72">IF(INDEX(D:D,(ROW()-2)*2+1)=0,"",INDEX(D:D,(ROW()-2)*2+1))</f>
        <v/>
      </c>
      <c r="K72" s="141" t="str" cm="1">
        <f t="array" ref="K72">IF(INDEX(F:F,(ROW()-2)*2+1)=0,"",INDEX(F:F,(ROW()-2)*2+1))</f>
        <v/>
      </c>
      <c r="L72" s="141" t="str" cm="1">
        <f t="array" ref="L72">IF(INDEX(E:E,(ROW()-2)*2+1)=0,"",INDEX(E:E,(ROW()-2)*2+1))</f>
        <v/>
      </c>
      <c r="M72" s="141" t="str" cm="1">
        <f t="array" ref="M72">IF(INDEX(B:B,(ROW()-2)*2+1)=0,"",INDEX(B:B,(ROW()-2)*2+1))</f>
        <v/>
      </c>
      <c r="X72" t="str">
        <f t="array" ref="X72">IFERROR(INDEX(E$2:E$100, SMALL(IF($N$2:$N$100="YES", ROW($N$2:$N$100)-MIN(ROW($N$2:$N$100))+1), ROW(70:70))), " ")</f>
        <v xml:space="preserve"> </v>
      </c>
    </row>
    <row r="73" spans="8:24">
      <c r="H73" s="141" t="str">
        <f t="shared" si="1"/>
        <v/>
      </c>
      <c r="I73" s="141" t="str" cm="1">
        <f t="array" ref="I73">IF(INDEX(C:C,(ROW()-2)*2+1)=0,"",INDEX(C:C,(ROW()-2)*2+1))</f>
        <v/>
      </c>
      <c r="J73" s="141" t="str" cm="1">
        <f t="array" ref="J73">IF(INDEX(D:D,(ROW()-2)*2+1)=0,"",INDEX(D:D,(ROW()-2)*2+1))</f>
        <v/>
      </c>
      <c r="K73" s="141" t="str" cm="1">
        <f t="array" ref="K73">IF(INDEX(F:F,(ROW()-2)*2+1)=0,"",INDEX(F:F,(ROW()-2)*2+1))</f>
        <v/>
      </c>
      <c r="L73" s="141" t="str" cm="1">
        <f t="array" ref="L73">IF(INDEX(E:E,(ROW()-2)*2+1)=0,"",INDEX(E:E,(ROW()-2)*2+1))</f>
        <v/>
      </c>
      <c r="M73" s="141" t="str" cm="1">
        <f t="array" ref="M73">IF(INDEX(B:B,(ROW()-2)*2+1)=0,"",INDEX(B:B,(ROW()-2)*2+1))</f>
        <v/>
      </c>
      <c r="X73" t="str">
        <f t="array" ref="X73">IFERROR(INDEX(E$2:E$100, SMALL(IF($N$2:$N$100="YES", ROW($N$2:$N$100)-MIN(ROW($N$2:$N$100))+1), ROW(71:71))), " ")</f>
        <v xml:space="preserve"> </v>
      </c>
    </row>
    <row r="74" spans="8:24">
      <c r="H74" s="141" t="str">
        <f t="shared" si="1"/>
        <v/>
      </c>
      <c r="I74" s="141" t="str" cm="1">
        <f t="array" ref="I74">IF(INDEX(C:C,(ROW()-2)*2+1)=0,"",INDEX(C:C,(ROW()-2)*2+1))</f>
        <v/>
      </c>
      <c r="J74" s="141" t="str" cm="1">
        <f t="array" ref="J74">IF(INDEX(D:D,(ROW()-2)*2+1)=0,"",INDEX(D:D,(ROW()-2)*2+1))</f>
        <v/>
      </c>
      <c r="K74" s="141" t="str" cm="1">
        <f t="array" ref="K74">IF(INDEX(F:F,(ROW()-2)*2+1)=0,"",INDEX(F:F,(ROW()-2)*2+1))</f>
        <v/>
      </c>
      <c r="L74" s="141" t="str" cm="1">
        <f t="array" ref="L74">IF(INDEX(E:E,(ROW()-2)*2+1)=0,"",INDEX(E:E,(ROW()-2)*2+1))</f>
        <v/>
      </c>
      <c r="M74" s="141" t="str" cm="1">
        <f t="array" ref="M74">IF(INDEX(B:B,(ROW()-2)*2+1)=0,"",INDEX(B:B,(ROW()-2)*2+1))</f>
        <v/>
      </c>
      <c r="X74" t="str">
        <f t="array" ref="X74">IFERROR(INDEX(E$2:E$100, SMALL(IF($N$2:$N$100="YES", ROW($N$2:$N$100)-MIN(ROW($N$2:$N$100))+1), ROW(72:72))), " ")</f>
        <v xml:space="preserve"> </v>
      </c>
    </row>
    <row r="75" spans="8:24">
      <c r="H75" s="141" t="str">
        <f t="shared" si="1"/>
        <v/>
      </c>
      <c r="I75" s="141" t="str" cm="1">
        <f t="array" ref="I75">IF(INDEX(C:C,(ROW()-2)*2+1)=0,"",INDEX(C:C,(ROW()-2)*2+1))</f>
        <v/>
      </c>
      <c r="J75" s="141" t="str" cm="1">
        <f t="array" ref="J75">IF(INDEX(D:D,(ROW()-2)*2+1)=0,"",INDEX(D:D,(ROW()-2)*2+1))</f>
        <v/>
      </c>
      <c r="K75" s="141" t="str" cm="1">
        <f t="array" ref="K75">IF(INDEX(F:F,(ROW()-2)*2+1)=0,"",INDEX(F:F,(ROW()-2)*2+1))</f>
        <v/>
      </c>
      <c r="L75" s="141" t="str" cm="1">
        <f t="array" ref="L75">IF(INDEX(E:E,(ROW()-2)*2+1)=0,"",INDEX(E:E,(ROW()-2)*2+1))</f>
        <v/>
      </c>
      <c r="M75" s="141" t="str" cm="1">
        <f t="array" ref="M75">IF(INDEX(B:B,(ROW()-2)*2+1)=0,"",INDEX(B:B,(ROW()-2)*2+1))</f>
        <v/>
      </c>
      <c r="X75" t="str">
        <f t="array" ref="X75">IFERROR(INDEX(E$2:E$100, SMALL(IF($N$2:$N$100="YES", ROW($N$2:$N$100)-MIN(ROW($N$2:$N$100))+1), ROW(73:73))), " ")</f>
        <v xml:space="preserve"> </v>
      </c>
    </row>
    <row r="76" spans="8:24">
      <c r="H76" s="141" t="str">
        <f t="shared" si="1"/>
        <v/>
      </c>
      <c r="I76" s="141" t="str" cm="1">
        <f t="array" ref="I76">IF(INDEX(C:C,(ROW()-2)*2+1)=0,"",INDEX(C:C,(ROW()-2)*2+1))</f>
        <v/>
      </c>
      <c r="J76" s="141" t="str" cm="1">
        <f t="array" ref="J76">IF(INDEX(D:D,(ROW()-2)*2+1)=0,"",INDEX(D:D,(ROW()-2)*2+1))</f>
        <v/>
      </c>
      <c r="K76" s="141" t="str" cm="1">
        <f t="array" ref="K76">IF(INDEX(F:F,(ROW()-2)*2+1)=0,"",INDEX(F:F,(ROW()-2)*2+1))</f>
        <v/>
      </c>
      <c r="L76" s="141" t="str" cm="1">
        <f t="array" ref="L76">IF(INDEX(E:E,(ROW()-2)*2+1)=0,"",INDEX(E:E,(ROW()-2)*2+1))</f>
        <v/>
      </c>
      <c r="M76" s="141" t="str" cm="1">
        <f t="array" ref="M76">IF(INDEX(B:B,(ROW()-2)*2+1)=0,"",INDEX(B:B,(ROW()-2)*2+1))</f>
        <v/>
      </c>
      <c r="X76" t="str">
        <f t="array" ref="X76">IFERROR(INDEX(E$2:E$100, SMALL(IF($N$2:$N$100="YES", ROW($N$2:$N$100)-MIN(ROW($N$2:$N$100))+1), ROW(74:74))), " ")</f>
        <v xml:space="preserve"> </v>
      </c>
    </row>
    <row r="77" spans="8:24">
      <c r="H77" s="141" t="str">
        <f t="shared" si="1"/>
        <v/>
      </c>
      <c r="I77" s="141" t="str" cm="1">
        <f t="array" ref="I77">IF(INDEX(C:C,(ROW()-2)*2+1)=0,"",INDEX(C:C,(ROW()-2)*2+1))</f>
        <v/>
      </c>
      <c r="J77" s="141" t="str" cm="1">
        <f t="array" ref="J77">IF(INDEX(D:D,(ROW()-2)*2+1)=0,"",INDEX(D:D,(ROW()-2)*2+1))</f>
        <v/>
      </c>
      <c r="K77" s="141" t="str" cm="1">
        <f t="array" ref="K77">IF(INDEX(F:F,(ROW()-2)*2+1)=0,"",INDEX(F:F,(ROW()-2)*2+1))</f>
        <v/>
      </c>
      <c r="L77" s="141" t="str" cm="1">
        <f t="array" ref="L77">IF(INDEX(E:E,(ROW()-2)*2+1)=0,"",INDEX(E:E,(ROW()-2)*2+1))</f>
        <v/>
      </c>
      <c r="M77" s="141" t="str" cm="1">
        <f t="array" ref="M77">IF(INDEX(B:B,(ROW()-2)*2+1)=0,"",INDEX(B:B,(ROW()-2)*2+1))</f>
        <v/>
      </c>
      <c r="X77" t="str">
        <f t="array" ref="X77">IFERROR(INDEX(E$2:E$100, SMALL(IF($N$2:$N$100="YES", ROW($N$2:$N$100)-MIN(ROW($N$2:$N$100))+1), ROW(75:75))), " ")</f>
        <v xml:space="preserve"> </v>
      </c>
    </row>
    <row r="78" spans="8:24">
      <c r="H78" s="141" t="str">
        <f t="shared" si="1"/>
        <v/>
      </c>
      <c r="I78" s="141" t="str" cm="1">
        <f t="array" ref="I78">IF(INDEX(C:C,(ROW()-2)*2+1)=0,"",INDEX(C:C,(ROW()-2)*2+1))</f>
        <v/>
      </c>
      <c r="J78" s="141" t="str" cm="1">
        <f t="array" ref="J78">IF(INDEX(D:D,(ROW()-2)*2+1)=0,"",INDEX(D:D,(ROW()-2)*2+1))</f>
        <v/>
      </c>
      <c r="K78" s="141" t="str" cm="1">
        <f t="array" ref="K78">IF(INDEX(F:F,(ROW()-2)*2+1)=0,"",INDEX(F:F,(ROW()-2)*2+1))</f>
        <v/>
      </c>
      <c r="L78" s="141" t="str" cm="1">
        <f t="array" ref="L78">IF(INDEX(E:E,(ROW()-2)*2+1)=0,"",INDEX(E:E,(ROW()-2)*2+1))</f>
        <v/>
      </c>
      <c r="M78" s="141" t="str" cm="1">
        <f t="array" ref="M78">IF(INDEX(B:B,(ROW()-2)*2+1)=0,"",INDEX(B:B,(ROW()-2)*2+1))</f>
        <v/>
      </c>
      <c r="X78" t="str">
        <f t="array" ref="X78">IFERROR(INDEX(E$2:E$100, SMALL(IF($N$2:$N$100="YES", ROW($N$2:$N$100)-MIN(ROW($N$2:$N$100))+1), ROW(76:76))), " ")</f>
        <v xml:space="preserve"> </v>
      </c>
    </row>
    <row r="79" spans="8:24">
      <c r="H79" s="141" t="str">
        <f t="shared" si="1"/>
        <v/>
      </c>
      <c r="I79" s="141" t="str" cm="1">
        <f t="array" ref="I79">IF(INDEX(C:C,(ROW()-2)*2+1)=0,"",INDEX(C:C,(ROW()-2)*2+1))</f>
        <v/>
      </c>
      <c r="J79" s="141" t="str" cm="1">
        <f t="array" ref="J79">IF(INDEX(D:D,(ROW()-2)*2+1)=0,"",INDEX(D:D,(ROW()-2)*2+1))</f>
        <v/>
      </c>
      <c r="K79" s="141" t="str" cm="1">
        <f t="array" ref="K79">IF(INDEX(F:F,(ROW()-2)*2+1)=0,"",INDEX(F:F,(ROW()-2)*2+1))</f>
        <v/>
      </c>
      <c r="L79" s="141" t="str" cm="1">
        <f t="array" ref="L79">IF(INDEX(E:E,(ROW()-2)*2+1)=0,"",INDEX(E:E,(ROW()-2)*2+1))</f>
        <v/>
      </c>
      <c r="M79" s="141" t="str" cm="1">
        <f t="array" ref="M79">IF(INDEX(B:B,(ROW()-2)*2+1)=0,"",INDEX(B:B,(ROW()-2)*2+1))</f>
        <v/>
      </c>
      <c r="X79" t="str">
        <f t="array" ref="X79">IFERROR(INDEX(E$2:E$100, SMALL(IF($N$2:$N$100="YES", ROW($N$2:$N$100)-MIN(ROW($N$2:$N$100))+1), ROW(77:77))), " ")</f>
        <v xml:space="preserve"> </v>
      </c>
    </row>
    <row r="80" spans="8:24">
      <c r="H80" s="141" t="str">
        <f t="shared" si="1"/>
        <v/>
      </c>
      <c r="I80" s="141" t="str" cm="1">
        <f t="array" ref="I80">IF(INDEX(C:C,(ROW()-2)*2+1)=0,"",INDEX(C:C,(ROW()-2)*2+1))</f>
        <v/>
      </c>
      <c r="J80" s="141" t="str" cm="1">
        <f t="array" ref="J80">IF(INDEX(D:D,(ROW()-2)*2+1)=0,"",INDEX(D:D,(ROW()-2)*2+1))</f>
        <v/>
      </c>
      <c r="K80" s="141" t="str" cm="1">
        <f t="array" ref="K80">IF(INDEX(F:F,(ROW()-2)*2+1)=0,"",INDEX(F:F,(ROW()-2)*2+1))</f>
        <v/>
      </c>
      <c r="L80" s="141" t="str" cm="1">
        <f t="array" ref="L80">IF(INDEX(E:E,(ROW()-2)*2+1)=0,"",INDEX(E:E,(ROW()-2)*2+1))</f>
        <v/>
      </c>
      <c r="M80" s="141" t="str" cm="1">
        <f t="array" ref="M80">IF(INDEX(B:B,(ROW()-2)*2+1)=0,"",INDEX(B:B,(ROW()-2)*2+1))</f>
        <v/>
      </c>
      <c r="X80" t="str">
        <f t="array" ref="X80">IFERROR(INDEX(E$2:E$100, SMALL(IF($N$2:$N$100="YES", ROW($N$2:$N$100)-MIN(ROW($N$2:$N$100))+1), ROW(78:78))), " ")</f>
        <v xml:space="preserve"> </v>
      </c>
    </row>
    <row r="81" spans="8:24">
      <c r="H81" s="141" t="str">
        <f t="shared" si="1"/>
        <v/>
      </c>
      <c r="I81" s="141" t="str" cm="1">
        <f t="array" ref="I81">IF(INDEX(C:C,(ROW()-2)*2+1)=0,"",INDEX(C:C,(ROW()-2)*2+1))</f>
        <v/>
      </c>
      <c r="J81" s="141" t="str" cm="1">
        <f t="array" ref="J81">IF(INDEX(D:D,(ROW()-2)*2+1)=0,"",INDEX(D:D,(ROW()-2)*2+1))</f>
        <v/>
      </c>
      <c r="K81" s="141" t="str" cm="1">
        <f t="array" ref="K81">IF(INDEX(F:F,(ROW()-2)*2+1)=0,"",INDEX(F:F,(ROW()-2)*2+1))</f>
        <v/>
      </c>
      <c r="L81" s="141" t="str" cm="1">
        <f t="array" ref="L81">IF(INDEX(E:E,(ROW()-2)*2+1)=0,"",INDEX(E:E,(ROW()-2)*2+1))</f>
        <v/>
      </c>
      <c r="M81" s="141" t="str" cm="1">
        <f t="array" ref="M81">IF(INDEX(B:B,(ROW()-2)*2+1)=0,"",INDEX(B:B,(ROW()-2)*2+1))</f>
        <v/>
      </c>
      <c r="X81" t="str">
        <f t="array" ref="X81">IFERROR(INDEX(E$2:E$100, SMALL(IF($N$2:$N$100="YES", ROW($N$2:$N$100)-MIN(ROW($N$2:$N$100))+1), ROW(79:79))), " ")</f>
        <v xml:space="preserve"> </v>
      </c>
    </row>
    <row r="82" spans="8:24">
      <c r="H82" s="141" t="str">
        <f t="shared" si="1"/>
        <v/>
      </c>
      <c r="I82" s="141" t="str" cm="1">
        <f t="array" ref="I82">IF(INDEX(C:C,(ROW()-2)*2+1)=0,"",INDEX(C:C,(ROW()-2)*2+1))</f>
        <v/>
      </c>
      <c r="J82" s="141" t="str" cm="1">
        <f t="array" ref="J82">IF(INDEX(D:D,(ROW()-2)*2+1)=0,"",INDEX(D:D,(ROW()-2)*2+1))</f>
        <v/>
      </c>
      <c r="K82" s="141" t="str" cm="1">
        <f t="array" ref="K82">IF(INDEX(F:F,(ROW()-2)*2+1)=0,"",INDEX(F:F,(ROW()-2)*2+1))</f>
        <v/>
      </c>
      <c r="L82" s="141" t="str" cm="1">
        <f t="array" ref="L82">IF(INDEX(E:E,(ROW()-2)*2+1)=0,"",INDEX(E:E,(ROW()-2)*2+1))</f>
        <v/>
      </c>
      <c r="M82" s="141" t="str" cm="1">
        <f t="array" ref="M82">IF(INDEX(B:B,(ROW()-2)*2+1)=0,"",INDEX(B:B,(ROW()-2)*2+1))</f>
        <v/>
      </c>
      <c r="X82" t="str">
        <f t="array" ref="X82">IFERROR(INDEX(E$2:E$100, SMALL(IF($N$2:$N$100="YES", ROW($N$2:$N$100)-MIN(ROW($N$2:$N$100))+1), ROW(80:80))), " ")</f>
        <v xml:space="preserve"> </v>
      </c>
    </row>
    <row r="83" spans="8:24">
      <c r="H83" s="141" t="str">
        <f t="shared" si="1"/>
        <v/>
      </c>
      <c r="I83" s="141" t="str" cm="1">
        <f t="array" ref="I83">IF(INDEX(C:C,(ROW()-2)*2+1)=0,"",INDEX(C:C,(ROW()-2)*2+1))</f>
        <v/>
      </c>
      <c r="J83" s="141" t="str" cm="1">
        <f t="array" ref="J83">IF(INDEX(D:D,(ROW()-2)*2+1)=0,"",INDEX(D:D,(ROW()-2)*2+1))</f>
        <v/>
      </c>
      <c r="K83" s="141" t="str" cm="1">
        <f t="array" ref="K83">IF(INDEX(F:F,(ROW()-2)*2+1)=0,"",INDEX(F:F,(ROW()-2)*2+1))</f>
        <v/>
      </c>
      <c r="L83" s="141" t="str" cm="1">
        <f t="array" ref="L83">IF(INDEX(E:E,(ROW()-2)*2+1)=0,"",INDEX(E:E,(ROW()-2)*2+1))</f>
        <v/>
      </c>
      <c r="M83" s="141" t="str" cm="1">
        <f t="array" ref="M83">IF(INDEX(B:B,(ROW()-2)*2+1)=0,"",INDEX(B:B,(ROW()-2)*2+1))</f>
        <v/>
      </c>
      <c r="X83" t="str">
        <f t="array" ref="X83">IFERROR(INDEX(E$2:E$100, SMALL(IF($N$2:$N$100="YES", ROW($N$2:$N$100)-MIN(ROW($N$2:$N$100))+1), ROW(81:81))), " ")</f>
        <v xml:space="preserve"> </v>
      </c>
    </row>
    <row r="84" spans="8:24">
      <c r="H84" s="141" t="str">
        <f t="shared" si="1"/>
        <v/>
      </c>
      <c r="I84" s="141" t="str" cm="1">
        <f t="array" ref="I84">IF(INDEX(C:C,(ROW()-2)*2+1)=0,"",INDEX(C:C,(ROW()-2)*2+1))</f>
        <v/>
      </c>
      <c r="J84" s="141" t="str" cm="1">
        <f t="array" ref="J84">IF(INDEX(D:D,(ROW()-2)*2+1)=0,"",INDEX(D:D,(ROW()-2)*2+1))</f>
        <v/>
      </c>
      <c r="K84" s="141" t="str" cm="1">
        <f t="array" ref="K84">IF(INDEX(F:F,(ROW()-2)*2+1)=0,"",INDEX(F:F,(ROW()-2)*2+1))</f>
        <v/>
      </c>
      <c r="L84" s="141" t="str" cm="1">
        <f t="array" ref="L84">IF(INDEX(E:E,(ROW()-2)*2+1)=0,"",INDEX(E:E,(ROW()-2)*2+1))</f>
        <v/>
      </c>
      <c r="M84" s="141" t="str" cm="1">
        <f t="array" ref="M84">IF(INDEX(B:B,(ROW()-2)*2+1)=0,"",INDEX(B:B,(ROW()-2)*2+1))</f>
        <v/>
      </c>
      <c r="X84" t="str">
        <f t="array" ref="X84">IFERROR(INDEX(E$2:E$100, SMALL(IF($N$2:$N$100="YES", ROW($N$2:$N$100)-MIN(ROW($N$2:$N$100))+1), ROW(82:82))), " ")</f>
        <v xml:space="preserve"> </v>
      </c>
    </row>
    <row r="85" spans="8:24">
      <c r="H85" s="141" t="str">
        <f t="shared" si="1"/>
        <v/>
      </c>
      <c r="I85" s="141" t="str" cm="1">
        <f t="array" ref="I85">IF(INDEX(C:C,(ROW()-2)*2+1)=0,"",INDEX(C:C,(ROW()-2)*2+1))</f>
        <v/>
      </c>
      <c r="J85" s="141" t="str" cm="1">
        <f t="array" ref="J85">IF(INDEX(D:D,(ROW()-2)*2+1)=0,"",INDEX(D:D,(ROW()-2)*2+1))</f>
        <v/>
      </c>
      <c r="K85" s="141" t="str" cm="1">
        <f t="array" ref="K85">IF(INDEX(F:F,(ROW()-2)*2+1)=0,"",INDEX(F:F,(ROW()-2)*2+1))</f>
        <v/>
      </c>
      <c r="L85" s="141" t="str" cm="1">
        <f t="array" ref="L85">IF(INDEX(E:E,(ROW()-2)*2+1)=0,"",INDEX(E:E,(ROW()-2)*2+1))</f>
        <v/>
      </c>
      <c r="M85" s="141" t="str" cm="1">
        <f t="array" ref="M85">IF(INDEX(B:B,(ROW()-2)*2+1)=0,"",INDEX(B:B,(ROW()-2)*2+1))</f>
        <v/>
      </c>
      <c r="X85" t="str">
        <f t="array" ref="X85">IFERROR(INDEX(E$2:E$100, SMALL(IF($N$2:$N$100="YES", ROW($N$2:$N$100)-MIN(ROW($N$2:$N$100))+1), ROW(83:83))), " ")</f>
        <v xml:space="preserve"> </v>
      </c>
    </row>
    <row r="86" spans="8:24">
      <c r="H86" s="141" t="str">
        <f t="shared" si="1"/>
        <v/>
      </c>
      <c r="I86" s="141" t="str" cm="1">
        <f t="array" ref="I86">IF(INDEX(C:C,(ROW()-2)*2+1)=0,"",INDEX(C:C,(ROW()-2)*2+1))</f>
        <v/>
      </c>
      <c r="J86" s="141" t="str" cm="1">
        <f t="array" ref="J86">IF(INDEX(D:D,(ROW()-2)*2+1)=0,"",INDEX(D:D,(ROW()-2)*2+1))</f>
        <v/>
      </c>
      <c r="K86" s="141" t="str" cm="1">
        <f t="array" ref="K86">IF(INDEX(F:F,(ROW()-2)*2+1)=0,"",INDEX(F:F,(ROW()-2)*2+1))</f>
        <v/>
      </c>
      <c r="L86" s="141" t="str" cm="1">
        <f t="array" ref="L86">IF(INDEX(E:E,(ROW()-2)*2+1)=0,"",INDEX(E:E,(ROW()-2)*2+1))</f>
        <v/>
      </c>
      <c r="M86" s="141" t="str" cm="1">
        <f t="array" ref="M86">IF(INDEX(B:B,(ROW()-2)*2+1)=0,"",INDEX(B:B,(ROW()-2)*2+1))</f>
        <v/>
      </c>
      <c r="X86" t="str">
        <f t="array" ref="X86">IFERROR(INDEX(E$2:E$100, SMALL(IF($N$2:$N$100="YES", ROW($N$2:$N$100)-MIN(ROW($N$2:$N$100))+1), ROW(84:84))), " ")</f>
        <v xml:space="preserve"> </v>
      </c>
    </row>
    <row r="87" spans="8:24">
      <c r="H87" s="141" t="str">
        <f t="shared" si="1"/>
        <v/>
      </c>
      <c r="I87" s="141" t="str" cm="1">
        <f t="array" ref="I87">IF(INDEX(C:C,(ROW()-2)*2+1)=0,"",INDEX(C:C,(ROW()-2)*2+1))</f>
        <v/>
      </c>
      <c r="J87" s="141" t="str" cm="1">
        <f t="array" ref="J87">IF(INDEX(D:D,(ROW()-2)*2+1)=0,"",INDEX(D:D,(ROW()-2)*2+1))</f>
        <v/>
      </c>
      <c r="K87" s="141" t="str" cm="1">
        <f t="array" ref="K87">IF(INDEX(F:F,(ROW()-2)*2+1)=0,"",INDEX(F:F,(ROW()-2)*2+1))</f>
        <v/>
      </c>
      <c r="L87" s="141" t="str" cm="1">
        <f t="array" ref="L87">IF(INDEX(E:E,(ROW()-2)*2+1)=0,"",INDEX(E:E,(ROW()-2)*2+1))</f>
        <v/>
      </c>
      <c r="M87" s="141" t="str" cm="1">
        <f t="array" ref="M87">IF(INDEX(B:B,(ROW()-2)*2+1)=0,"",INDEX(B:B,(ROW()-2)*2+1))</f>
        <v/>
      </c>
      <c r="X87" t="str">
        <f t="array" ref="X87">IFERROR(INDEX(E$2:E$100, SMALL(IF($N$2:$N$100="YES", ROW($N$2:$N$100)-MIN(ROW($N$2:$N$100))+1), ROW(85:85))), " ")</f>
        <v xml:space="preserve"> </v>
      </c>
    </row>
    <row r="88" spans="8:24">
      <c r="H88" s="141" t="str">
        <f t="shared" si="1"/>
        <v/>
      </c>
      <c r="I88" s="141" t="str" cm="1">
        <f t="array" ref="I88">IF(INDEX(C:C,(ROW()-2)*2+1)=0,"",INDEX(C:C,(ROW()-2)*2+1))</f>
        <v/>
      </c>
      <c r="J88" s="141" t="str" cm="1">
        <f t="array" ref="J88">IF(INDEX(D:D,(ROW()-2)*2+1)=0,"",INDEX(D:D,(ROW()-2)*2+1))</f>
        <v/>
      </c>
      <c r="K88" s="141" t="str" cm="1">
        <f t="array" ref="K88">IF(INDEX(F:F,(ROW()-2)*2+1)=0,"",INDEX(F:F,(ROW()-2)*2+1))</f>
        <v/>
      </c>
      <c r="L88" s="141" t="str" cm="1">
        <f t="array" ref="L88">IF(INDEX(E:E,(ROW()-2)*2+1)=0,"",INDEX(E:E,(ROW()-2)*2+1))</f>
        <v/>
      </c>
      <c r="M88" s="141" t="str" cm="1">
        <f t="array" ref="M88">IF(INDEX(B:B,(ROW()-2)*2+1)=0,"",INDEX(B:B,(ROW()-2)*2+1))</f>
        <v/>
      </c>
      <c r="X88" t="str">
        <f t="array" ref="X88">IFERROR(INDEX(E$2:E$100, SMALL(IF($N$2:$N$100="YES", ROW($N$2:$N$100)-MIN(ROW($N$2:$N$100))+1), ROW(86:86))), " ")</f>
        <v xml:space="preserve"> </v>
      </c>
    </row>
    <row r="89" spans="8:24">
      <c r="H89" s="141" t="str">
        <f t="shared" si="1"/>
        <v/>
      </c>
      <c r="I89" s="141" t="str" cm="1">
        <f t="array" ref="I89">IF(INDEX(C:C,(ROW()-2)*2+1)=0,"",INDEX(C:C,(ROW()-2)*2+1))</f>
        <v/>
      </c>
      <c r="J89" s="141" t="str" cm="1">
        <f t="array" ref="J89">IF(INDEX(D:D,(ROW()-2)*2+1)=0,"",INDEX(D:D,(ROW()-2)*2+1))</f>
        <v/>
      </c>
      <c r="K89" s="141" t="str" cm="1">
        <f t="array" ref="K89">IF(INDEX(F:F,(ROW()-2)*2+1)=0,"",INDEX(F:F,(ROW()-2)*2+1))</f>
        <v/>
      </c>
      <c r="L89" s="141" t="str" cm="1">
        <f t="array" ref="L89">IF(INDEX(E:E,(ROW()-2)*2+1)=0,"",INDEX(E:E,(ROW()-2)*2+1))</f>
        <v/>
      </c>
      <c r="M89" s="141" t="str" cm="1">
        <f t="array" ref="M89">IF(INDEX(B:B,(ROW()-2)*2+1)=0,"",INDEX(B:B,(ROW()-2)*2+1))</f>
        <v/>
      </c>
      <c r="X89" t="str">
        <f t="array" ref="X89">IFERROR(INDEX(E$2:E$100, SMALL(IF($N$2:$N$100="YES", ROW($N$2:$N$100)-MIN(ROW($N$2:$N$100))+1), ROW(87:87))), " ")</f>
        <v xml:space="preserve"> </v>
      </c>
    </row>
    <row r="90" spans="8:24">
      <c r="H90" s="141" t="str">
        <f t="shared" si="1"/>
        <v/>
      </c>
      <c r="I90" s="141" t="str" cm="1">
        <f t="array" ref="I90">IF(INDEX(C:C,(ROW()-2)*2+1)=0,"",INDEX(C:C,(ROW()-2)*2+1))</f>
        <v/>
      </c>
      <c r="J90" s="141" t="str" cm="1">
        <f t="array" ref="J90">IF(INDEX(D:D,(ROW()-2)*2+1)=0,"",INDEX(D:D,(ROW()-2)*2+1))</f>
        <v/>
      </c>
      <c r="K90" s="141" t="str" cm="1">
        <f t="array" ref="K90">IF(INDEX(F:F,(ROW()-2)*2+1)=0,"",INDEX(F:F,(ROW()-2)*2+1))</f>
        <v/>
      </c>
      <c r="L90" s="141" t="str" cm="1">
        <f t="array" ref="L90">IF(INDEX(E:E,(ROW()-2)*2+1)=0,"",INDEX(E:E,(ROW()-2)*2+1))</f>
        <v/>
      </c>
      <c r="M90" s="141" t="str" cm="1">
        <f t="array" ref="M90">IF(INDEX(B:B,(ROW()-2)*2+1)=0,"",INDEX(B:B,(ROW()-2)*2+1))</f>
        <v/>
      </c>
      <c r="X90" t="str">
        <f t="array" ref="X90">IFERROR(INDEX(E$2:E$100, SMALL(IF($N$2:$N$100="YES", ROW($N$2:$N$100)-MIN(ROW($N$2:$N$100))+1), ROW(88:88))), " ")</f>
        <v xml:space="preserve"> </v>
      </c>
    </row>
    <row r="91" spans="8:24">
      <c r="H91" s="141" t="str">
        <f t="shared" si="1"/>
        <v/>
      </c>
      <c r="I91" s="141" t="str" cm="1">
        <f t="array" ref="I91">IF(INDEX(C:C,(ROW()-2)*2+1)=0,"",INDEX(C:C,(ROW()-2)*2+1))</f>
        <v/>
      </c>
      <c r="J91" s="141" t="str" cm="1">
        <f t="array" ref="J91">IF(INDEX(D:D,(ROW()-2)*2+1)=0,"",INDEX(D:D,(ROW()-2)*2+1))</f>
        <v/>
      </c>
      <c r="K91" s="141" t="str" cm="1">
        <f t="array" ref="K91">IF(INDEX(F:F,(ROW()-2)*2+1)=0,"",INDEX(F:F,(ROW()-2)*2+1))</f>
        <v/>
      </c>
      <c r="L91" s="141" t="str" cm="1">
        <f t="array" ref="L91">IF(INDEX(E:E,(ROW()-2)*2+1)=0,"",INDEX(E:E,(ROW()-2)*2+1))</f>
        <v/>
      </c>
      <c r="M91" s="141" t="str" cm="1">
        <f t="array" ref="M91">IF(INDEX(B:B,(ROW()-2)*2+1)=0,"",INDEX(B:B,(ROW()-2)*2+1))</f>
        <v/>
      </c>
      <c r="X91" t="str">
        <f t="array" ref="X91">IFERROR(INDEX(E$2:E$100, SMALL(IF($N$2:$N$100="YES", ROW($N$2:$N$100)-MIN(ROW($N$2:$N$100))+1), ROW(89:89))), " ")</f>
        <v xml:space="preserve"> </v>
      </c>
    </row>
    <row r="92" spans="8:24">
      <c r="H92" s="141" t="str">
        <f t="shared" si="1"/>
        <v/>
      </c>
      <c r="I92" s="141" t="str" cm="1">
        <f t="array" ref="I92">IF(INDEX(C:C,(ROW()-2)*2+1)=0,"",INDEX(C:C,(ROW()-2)*2+1))</f>
        <v/>
      </c>
      <c r="J92" s="141" t="str" cm="1">
        <f t="array" ref="J92">IF(INDEX(D:D,(ROW()-2)*2+1)=0,"",INDEX(D:D,(ROW()-2)*2+1))</f>
        <v/>
      </c>
      <c r="K92" s="141" t="str" cm="1">
        <f t="array" ref="K92">IF(INDEX(F:F,(ROW()-2)*2+1)=0,"",INDEX(F:F,(ROW()-2)*2+1))</f>
        <v/>
      </c>
      <c r="L92" s="141" t="str" cm="1">
        <f t="array" ref="L92">IF(INDEX(E:E,(ROW()-2)*2+1)=0,"",INDEX(E:E,(ROW()-2)*2+1))</f>
        <v/>
      </c>
      <c r="M92" s="141" t="str" cm="1">
        <f t="array" ref="M92">IF(INDEX(B:B,(ROW()-2)*2+1)=0,"",INDEX(B:B,(ROW()-2)*2+1))</f>
        <v/>
      </c>
      <c r="X92" t="str">
        <f t="array" ref="X92">IFERROR(INDEX(E$2:E$100, SMALL(IF($N$2:$N$100="YES", ROW($N$2:$N$100)-MIN(ROW($N$2:$N$100))+1), ROW(90:90))), " ")</f>
        <v xml:space="preserve"> </v>
      </c>
    </row>
    <row r="93" spans="8:24">
      <c r="H93" s="141" t="str">
        <f t="shared" si="1"/>
        <v/>
      </c>
      <c r="I93" s="141" t="str" cm="1">
        <f t="array" ref="I93">IF(INDEX(C:C,(ROW()-2)*2+1)=0,"",INDEX(C:C,(ROW()-2)*2+1))</f>
        <v/>
      </c>
      <c r="J93" s="141" t="str" cm="1">
        <f t="array" ref="J93">IF(INDEX(D:D,(ROW()-2)*2+1)=0,"",INDEX(D:D,(ROW()-2)*2+1))</f>
        <v/>
      </c>
      <c r="K93" s="141" t="str" cm="1">
        <f t="array" ref="K93">IF(INDEX(F:F,(ROW()-2)*2+1)=0,"",INDEX(F:F,(ROW()-2)*2+1))</f>
        <v/>
      </c>
      <c r="L93" s="141" t="str" cm="1">
        <f t="array" ref="L93">IF(INDEX(E:E,(ROW()-2)*2+1)=0,"",INDEX(E:E,(ROW()-2)*2+1))</f>
        <v/>
      </c>
      <c r="M93" s="141" t="str" cm="1">
        <f t="array" ref="M93">IF(INDEX(B:B,(ROW()-2)*2+1)=0,"",INDEX(B:B,(ROW()-2)*2+1))</f>
        <v/>
      </c>
      <c r="X93" t="str">
        <f t="array" ref="X93">IFERROR(INDEX(E$2:E$100, SMALL(IF($N$2:$N$100="YES", ROW($N$2:$N$100)-MIN(ROW($N$2:$N$100))+1), ROW(91:91))), " ")</f>
        <v xml:space="preserve"> </v>
      </c>
    </row>
    <row r="94" spans="8:24">
      <c r="H94" s="141" t="str">
        <f t="shared" si="1"/>
        <v/>
      </c>
      <c r="I94" s="141" t="str" cm="1">
        <f t="array" ref="I94">IF(INDEX(C:C,(ROW()-2)*2+1)=0,"",INDEX(C:C,(ROW()-2)*2+1))</f>
        <v/>
      </c>
      <c r="J94" s="141" t="str" cm="1">
        <f t="array" ref="J94">IF(INDEX(D:D,(ROW()-2)*2+1)=0,"",INDEX(D:D,(ROW()-2)*2+1))</f>
        <v/>
      </c>
      <c r="K94" s="141" t="str" cm="1">
        <f t="array" ref="K94">IF(INDEX(F:F,(ROW()-2)*2+1)=0,"",INDEX(F:F,(ROW()-2)*2+1))</f>
        <v/>
      </c>
      <c r="L94" s="141" t="str" cm="1">
        <f t="array" ref="L94">IF(INDEX(E:E,(ROW()-2)*2+1)=0,"",INDEX(E:E,(ROW()-2)*2+1))</f>
        <v/>
      </c>
      <c r="M94" s="141" t="str" cm="1">
        <f t="array" ref="M94">IF(INDEX(B:B,(ROW()-2)*2+1)=0,"",INDEX(B:B,(ROW()-2)*2+1))</f>
        <v/>
      </c>
      <c r="X94" t="str">
        <f t="array" ref="X94">IFERROR(INDEX(E$2:E$100, SMALL(IF($N$2:$N$100="YES", ROW($N$2:$N$100)-MIN(ROW($N$2:$N$100))+1), ROW(92:92))), " ")</f>
        <v xml:space="preserve"> </v>
      </c>
    </row>
    <row r="95" spans="8:24">
      <c r="H95" s="141" t="str">
        <f t="shared" si="1"/>
        <v/>
      </c>
      <c r="I95" s="141" t="str" cm="1">
        <f t="array" ref="I95">IF(INDEX(C:C,(ROW()-2)*2+1)=0,"",INDEX(C:C,(ROW()-2)*2+1))</f>
        <v/>
      </c>
      <c r="J95" s="141" t="str" cm="1">
        <f t="array" ref="J95">IF(INDEX(D:D,(ROW()-2)*2+1)=0,"",INDEX(D:D,(ROW()-2)*2+1))</f>
        <v/>
      </c>
      <c r="K95" s="141" t="str" cm="1">
        <f t="array" ref="K95">IF(INDEX(F:F,(ROW()-2)*2+1)=0,"",INDEX(F:F,(ROW()-2)*2+1))</f>
        <v/>
      </c>
      <c r="L95" s="141" t="str" cm="1">
        <f t="array" ref="L95">IF(INDEX(E:E,(ROW()-2)*2+1)=0,"",INDEX(E:E,(ROW()-2)*2+1))</f>
        <v/>
      </c>
      <c r="M95" s="141" t="str" cm="1">
        <f t="array" ref="M95">IF(INDEX(B:B,(ROW()-2)*2+1)=0,"",INDEX(B:B,(ROW()-2)*2+1))</f>
        <v/>
      </c>
      <c r="X95" t="str">
        <f t="array" ref="X95">IFERROR(INDEX(E$2:E$100, SMALL(IF($N$2:$N$100="YES", ROW($N$2:$N$100)-MIN(ROW($N$2:$N$100))+1), ROW(93:93))), " ")</f>
        <v xml:space="preserve"> </v>
      </c>
    </row>
    <row r="96" spans="8:24">
      <c r="H96" s="141" t="str">
        <f t="shared" si="1"/>
        <v/>
      </c>
      <c r="I96" s="141" t="str" cm="1">
        <f t="array" ref="I96">IF(INDEX(C:C,(ROW()-2)*2+1)=0,"",INDEX(C:C,(ROW()-2)*2+1))</f>
        <v/>
      </c>
      <c r="J96" s="141" t="str" cm="1">
        <f t="array" ref="J96">IF(INDEX(D:D,(ROW()-2)*2+1)=0,"",INDEX(D:D,(ROW()-2)*2+1))</f>
        <v/>
      </c>
      <c r="K96" s="141" t="str" cm="1">
        <f t="array" ref="K96">IF(INDEX(F:F,(ROW()-2)*2+1)=0,"",INDEX(F:F,(ROW()-2)*2+1))</f>
        <v/>
      </c>
      <c r="L96" s="141" t="str" cm="1">
        <f t="array" ref="L96">IF(INDEX(E:E,(ROW()-2)*2+1)=0,"",INDEX(E:E,(ROW()-2)*2+1))</f>
        <v/>
      </c>
      <c r="M96" s="141" t="str" cm="1">
        <f t="array" ref="M96">IF(INDEX(B:B,(ROW()-2)*2+1)=0,"",INDEX(B:B,(ROW()-2)*2+1))</f>
        <v/>
      </c>
      <c r="X96" t="str">
        <f t="array" ref="X96">IFERROR(INDEX(E$2:E$100, SMALL(IF($N$2:$N$100="YES", ROW($N$2:$N$100)-MIN(ROW($N$2:$N$100))+1), ROW(94:94))), " ")</f>
        <v xml:space="preserve"> </v>
      </c>
    </row>
    <row r="97" spans="8:24">
      <c r="H97" s="141" t="str">
        <f t="shared" si="1"/>
        <v/>
      </c>
      <c r="I97" s="141" t="str" cm="1">
        <f t="array" ref="I97">IF(INDEX(C:C,(ROW()-2)*2+1)=0,"",INDEX(C:C,(ROW()-2)*2+1))</f>
        <v/>
      </c>
      <c r="J97" s="141" t="str" cm="1">
        <f t="array" ref="J97">IF(INDEX(D:D,(ROW()-2)*2+1)=0,"",INDEX(D:D,(ROW()-2)*2+1))</f>
        <v/>
      </c>
      <c r="K97" s="141" t="str" cm="1">
        <f t="array" ref="K97">IF(INDEX(F:F,(ROW()-2)*2+1)=0,"",INDEX(F:F,(ROW()-2)*2+1))</f>
        <v/>
      </c>
      <c r="L97" s="141" t="str" cm="1">
        <f t="array" ref="L97">IF(INDEX(E:E,(ROW()-2)*2+1)=0,"",INDEX(E:E,(ROW()-2)*2+1))</f>
        <v/>
      </c>
      <c r="M97" s="141" t="str" cm="1">
        <f t="array" ref="M97">IF(INDEX(B:B,(ROW()-2)*2+1)=0,"",INDEX(B:B,(ROW()-2)*2+1))</f>
        <v/>
      </c>
      <c r="X97" t="str">
        <f t="array" ref="X97">IFERROR(INDEX(E$2:E$100, SMALL(IF($N$2:$N$100="YES", ROW($N$2:$N$100)-MIN(ROW($N$2:$N$100))+1), ROW(95:95))), " ")</f>
        <v xml:space="preserve"> </v>
      </c>
    </row>
    <row r="98" spans="8:24">
      <c r="H98" s="141" t="str">
        <f t="shared" si="1"/>
        <v/>
      </c>
      <c r="I98" s="141" t="str" cm="1">
        <f t="array" ref="I98">IF(INDEX(C:C,(ROW()-2)*2+1)=0,"",INDEX(C:C,(ROW()-2)*2+1))</f>
        <v/>
      </c>
      <c r="J98" s="141" t="str" cm="1">
        <f t="array" ref="J98">IF(INDEX(D:D,(ROW()-2)*2+1)=0,"",INDEX(D:D,(ROW()-2)*2+1))</f>
        <v/>
      </c>
      <c r="K98" s="141" t="str" cm="1">
        <f t="array" ref="K98">IF(INDEX(F:F,(ROW()-2)*2+1)=0,"",INDEX(F:F,(ROW()-2)*2+1))</f>
        <v/>
      </c>
      <c r="L98" s="141" t="str" cm="1">
        <f t="array" ref="L98">IF(INDEX(E:E,(ROW()-2)*2+1)=0,"",INDEX(E:E,(ROW()-2)*2+1))</f>
        <v/>
      </c>
      <c r="M98" s="141" t="str" cm="1">
        <f t="array" ref="M98">IF(INDEX(B:B,(ROW()-2)*2+1)=0,"",INDEX(B:B,(ROW()-2)*2+1))</f>
        <v/>
      </c>
      <c r="X98" t="str">
        <f t="array" ref="X98">IFERROR(INDEX(E$2:E$100, SMALL(IF($N$2:$N$100="YES", ROW($N$2:$N$100)-MIN(ROW($N$2:$N$100))+1), ROW(96:96))), " ")</f>
        <v xml:space="preserve"> </v>
      </c>
    </row>
    <row r="99" spans="8:24">
      <c r="H99" s="141" t="str">
        <f t="shared" si="1"/>
        <v/>
      </c>
      <c r="I99" s="141" t="str" cm="1">
        <f t="array" ref="I99">IF(INDEX(C:C,(ROW()-2)*2+1)=0,"",INDEX(C:C,(ROW()-2)*2+1))</f>
        <v/>
      </c>
      <c r="J99" s="141" t="str" cm="1">
        <f t="array" ref="J99">IF(INDEX(D:D,(ROW()-2)*2+1)=0,"",INDEX(D:D,(ROW()-2)*2+1))</f>
        <v/>
      </c>
      <c r="K99" s="141" t="str" cm="1">
        <f t="array" ref="K99">IF(INDEX(F:F,(ROW()-2)*2+1)=0,"",INDEX(F:F,(ROW()-2)*2+1))</f>
        <v/>
      </c>
      <c r="L99" s="141" t="str" cm="1">
        <f t="array" ref="L99">IF(INDEX(E:E,(ROW()-2)*2+1)=0,"",INDEX(E:E,(ROW()-2)*2+1))</f>
        <v/>
      </c>
      <c r="M99" s="141" t="str" cm="1">
        <f t="array" ref="M99">IF(INDEX(B:B,(ROW()-2)*2+1)=0,"",INDEX(B:B,(ROW()-2)*2+1))</f>
        <v/>
      </c>
      <c r="X99" t="str">
        <f t="array" ref="X99">IFERROR(INDEX(E$2:E$100, SMALL(IF($N$2:$N$100="YES", ROW($N$2:$N$100)-MIN(ROW($N$2:$N$100))+1), ROW(97:97))), " ")</f>
        <v xml:space="preserve"> </v>
      </c>
    </row>
    <row r="100" spans="8:24">
      <c r="H100" s="141" t="str">
        <f t="shared" si="1"/>
        <v/>
      </c>
      <c r="I100" s="141" t="str" cm="1">
        <f t="array" ref="I100">IF(INDEX(C:C,(ROW()-2)*2+1)=0,"",INDEX(C:C,(ROW()-2)*2+1))</f>
        <v/>
      </c>
      <c r="J100" s="141" t="str" cm="1">
        <f t="array" ref="J100">IF(INDEX(D:D,(ROW()-2)*2+1)=0,"",INDEX(D:D,(ROW()-2)*2+1))</f>
        <v/>
      </c>
      <c r="K100" s="141" t="str" cm="1">
        <f t="array" ref="K100">IF(INDEX(F:F,(ROW()-2)*2+1)=0,"",INDEX(F:F,(ROW()-2)*2+1))</f>
        <v/>
      </c>
      <c r="L100" s="141" t="str" cm="1">
        <f t="array" ref="L100">IF(INDEX(E:E,(ROW()-2)*2+1)=0,"",INDEX(E:E,(ROW()-2)*2+1))</f>
        <v/>
      </c>
      <c r="M100" s="141" t="str" cm="1">
        <f t="array" ref="M100">IF(INDEX(B:B,(ROW()-2)*2+1)=0,"",INDEX(B:B,(ROW()-2)*2+1))</f>
        <v/>
      </c>
      <c r="X100" t="str">
        <f t="array" ref="X100">IFERROR(INDEX(E$2:E$100, SMALL(IF($N$2:$N$100="YES", ROW($N$2:$N$100)-MIN(ROW($N$2:$N$100))+1), ROW(98:98))), " ")</f>
        <v xml:space="preserve"> </v>
      </c>
    </row>
    <row r="101" spans="8:24">
      <c r="H101" s="141" t="str">
        <f t="shared" si="1"/>
        <v/>
      </c>
      <c r="I101" s="141" t="str" cm="1">
        <f t="array" ref="I101">IF(INDEX(C:C,(ROW()-2)*2+1)=0,"",INDEX(C:C,(ROW()-2)*2+1))</f>
        <v/>
      </c>
      <c r="J101" s="141" t="str" cm="1">
        <f t="array" ref="J101">IF(INDEX(D:D,(ROW()-2)*2+1)=0,"",INDEX(D:D,(ROW()-2)*2+1))</f>
        <v/>
      </c>
      <c r="K101" s="141" t="str" cm="1">
        <f t="array" ref="K101">IF(INDEX(F:F,(ROW()-2)*2+1)=0,"",INDEX(F:F,(ROW()-2)*2+1))</f>
        <v/>
      </c>
      <c r="L101" s="141" t="str" cm="1">
        <f t="array" ref="L101">IF(INDEX(E:E,(ROW()-2)*2+1)=0,"",INDEX(E:E,(ROW()-2)*2+1))</f>
        <v/>
      </c>
      <c r="M101" s="141" t="str" cm="1">
        <f t="array" ref="M101">IF(INDEX(B:B,(ROW()-2)*2+1)=0,"",INDEX(B:B,(ROW()-2)*2+1))</f>
        <v/>
      </c>
      <c r="X101" t="str">
        <f t="array" ref="X101">IFERROR(INDEX(E$2:E$100, SMALL(IF($N$2:$N$100="YES", ROW($N$2:$N$100)-MIN(ROW($N$2:$N$100))+1), ROW(99:99))), " ")</f>
        <v xml:space="preserve"> </v>
      </c>
    </row>
    <row r="102" spans="8:24">
      <c r="H102" s="141" t="str">
        <f t="shared" si="1"/>
        <v/>
      </c>
      <c r="I102" s="141" t="str" cm="1">
        <f t="array" ref="I102">IF(INDEX(C:C,(ROW()-2)*2+1)=0,"",INDEX(C:C,(ROW()-2)*2+1))</f>
        <v/>
      </c>
      <c r="J102" s="141" t="str" cm="1">
        <f t="array" ref="J102">IF(INDEX(D:D,(ROW()-2)*2+1)=0,"",INDEX(D:D,(ROW()-2)*2+1))</f>
        <v/>
      </c>
      <c r="K102" s="141" t="str" cm="1">
        <f t="array" ref="K102">IF(INDEX(F:F,(ROW()-2)*2+1)=0,"",INDEX(F:F,(ROW()-2)*2+1))</f>
        <v/>
      </c>
      <c r="L102" s="141" t="str" cm="1">
        <f t="array" ref="L102">IF(INDEX(E:E,(ROW()-2)*2+1)=0,"",INDEX(E:E,(ROW()-2)*2+1))</f>
        <v/>
      </c>
      <c r="M102" s="141" t="str" cm="1">
        <f t="array" ref="M102">IF(INDEX(B:B,(ROW()-2)*2+1)=0,"",INDEX(B:B,(ROW()-2)*2+1))</f>
        <v/>
      </c>
    </row>
    <row r="103" spans="8:24">
      <c r="H103" s="141" t="str">
        <f t="shared" si="1"/>
        <v/>
      </c>
      <c r="I103" s="141" t="str" cm="1">
        <f t="array" ref="I103">IF(INDEX(C:C,(ROW()-2)*2+1)=0,"",INDEX(C:C,(ROW()-2)*2+1))</f>
        <v/>
      </c>
      <c r="J103" s="141" t="str" cm="1">
        <f t="array" ref="J103">IF(INDEX(D:D,(ROW()-2)*2+1)=0,"",INDEX(D:D,(ROW()-2)*2+1))</f>
        <v/>
      </c>
      <c r="K103" s="141" t="str" cm="1">
        <f t="array" ref="K103">IF(INDEX(F:F,(ROW()-2)*2+1)=0,"",INDEX(F:F,(ROW()-2)*2+1))</f>
        <v/>
      </c>
      <c r="L103" s="141" t="str" cm="1">
        <f t="array" ref="L103">IF(INDEX(E:E,(ROW()-2)*2+1)=0,"",INDEX(E:E,(ROW()-2)*2+1))</f>
        <v/>
      </c>
      <c r="M103" s="141" t="str" cm="1">
        <f t="array" ref="M103">IF(INDEX(B:B,(ROW()-2)*2+1)=0,"",INDEX(B:B,(ROW()-2)*2+1))</f>
        <v/>
      </c>
    </row>
    <row r="104" spans="8:24">
      <c r="H104" s="141" t="str">
        <f t="shared" si="1"/>
        <v/>
      </c>
      <c r="I104" s="141" t="str" cm="1">
        <f t="array" ref="I104">IF(INDEX(C:C,(ROW()-2)*2+1)=0,"",INDEX(C:C,(ROW()-2)*2+1))</f>
        <v/>
      </c>
      <c r="J104" s="141" t="str" cm="1">
        <f t="array" ref="J104">IF(INDEX(D:D,(ROW()-2)*2+1)=0,"",INDEX(D:D,(ROW()-2)*2+1))</f>
        <v/>
      </c>
      <c r="K104" s="141" t="str" cm="1">
        <f t="array" ref="K104">IF(INDEX(F:F,(ROW()-2)*2+1)=0,"",INDEX(F:F,(ROW()-2)*2+1))</f>
        <v/>
      </c>
      <c r="L104" s="141" t="str" cm="1">
        <f t="array" ref="L104">IF(INDEX(E:E,(ROW()-2)*2+1)=0,"",INDEX(E:E,(ROW()-2)*2+1))</f>
        <v/>
      </c>
      <c r="M104" s="141" t="str" cm="1">
        <f t="array" ref="M104">IF(INDEX(B:B,(ROW()-2)*2+1)=0,"",INDEX(B:B,(ROW()-2)*2+1))</f>
        <v/>
      </c>
    </row>
    <row r="105" spans="8:24">
      <c r="H105" s="141" t="str">
        <f t="shared" si="1"/>
        <v/>
      </c>
      <c r="I105" s="141" t="str" cm="1">
        <f t="array" ref="I105">IF(INDEX(C:C,(ROW()-2)*2+1)=0,"",INDEX(C:C,(ROW()-2)*2+1))</f>
        <v/>
      </c>
      <c r="J105" s="141" t="str" cm="1">
        <f t="array" ref="J105">IF(INDEX(D:D,(ROW()-2)*2+1)=0,"",INDEX(D:D,(ROW()-2)*2+1))</f>
        <v/>
      </c>
      <c r="K105" s="141" t="str" cm="1">
        <f t="array" ref="K105">IF(INDEX(F:F,(ROW()-2)*2+1)=0,"",INDEX(F:F,(ROW()-2)*2+1))</f>
        <v/>
      </c>
      <c r="L105" s="141" t="str" cm="1">
        <f t="array" ref="L105">IF(INDEX(E:E,(ROW()-2)*2+1)=0,"",INDEX(E:E,(ROW()-2)*2+1))</f>
        <v/>
      </c>
      <c r="M105" s="141" t="str" cm="1">
        <f t="array" ref="M105">IF(INDEX(B:B,(ROW()-2)*2+1)=0,"",INDEX(B:B,(ROW()-2)*2+1))</f>
        <v/>
      </c>
    </row>
    <row r="106" spans="8:24">
      <c r="H106" s="141" t="str">
        <f t="shared" si="1"/>
        <v/>
      </c>
      <c r="I106" s="141" t="str" cm="1">
        <f t="array" ref="I106">IF(INDEX(C:C,(ROW()-2)*2+1)=0,"",INDEX(C:C,(ROW()-2)*2+1))</f>
        <v/>
      </c>
      <c r="J106" s="141" t="str" cm="1">
        <f t="array" ref="J106">IF(INDEX(D:D,(ROW()-2)*2+1)=0,"",INDEX(D:D,(ROW()-2)*2+1))</f>
        <v/>
      </c>
      <c r="K106" s="141" t="str" cm="1">
        <f t="array" ref="K106">IF(INDEX(F:F,(ROW()-2)*2+1)=0,"",INDEX(F:F,(ROW()-2)*2+1))</f>
        <v/>
      </c>
      <c r="L106" s="141" t="str" cm="1">
        <f t="array" ref="L106">IF(INDEX(E:E,(ROW()-2)*2+1)=0,"",INDEX(E:E,(ROW()-2)*2+1))</f>
        <v/>
      </c>
      <c r="M106" s="141" t="str" cm="1">
        <f t="array" ref="M106">IF(INDEX(B:B,(ROW()-2)*2+1)=0,"",INDEX(B:B,(ROW()-2)*2+1))</f>
        <v/>
      </c>
    </row>
    <row r="107" spans="8:24">
      <c r="H107" s="141" t="str">
        <f t="shared" si="1"/>
        <v/>
      </c>
      <c r="I107" s="141" t="str" cm="1">
        <f t="array" ref="I107">IF(INDEX(C:C,(ROW()-2)*2+1)=0,"",INDEX(C:C,(ROW()-2)*2+1))</f>
        <v/>
      </c>
      <c r="J107" s="141" t="str" cm="1">
        <f t="array" ref="J107">IF(INDEX(D:D,(ROW()-2)*2+1)=0,"",INDEX(D:D,(ROW()-2)*2+1))</f>
        <v/>
      </c>
      <c r="K107" s="141" t="str" cm="1">
        <f t="array" ref="K107">IF(INDEX(F:F,(ROW()-2)*2+1)=0,"",INDEX(F:F,(ROW()-2)*2+1))</f>
        <v/>
      </c>
      <c r="L107" s="141" t="str" cm="1">
        <f t="array" ref="L107">IF(INDEX(E:E,(ROW()-2)*2+1)=0,"",INDEX(E:E,(ROW()-2)*2+1))</f>
        <v/>
      </c>
      <c r="M107" s="141" t="str" cm="1">
        <f t="array" ref="M107">IF(INDEX(B:B,(ROW()-2)*2+1)=0,"",INDEX(B:B,(ROW()-2)*2+1))</f>
        <v/>
      </c>
    </row>
    <row r="108" spans="8:24">
      <c r="H108" s="141" t="str">
        <f t="shared" si="1"/>
        <v/>
      </c>
      <c r="I108" s="141" t="str" cm="1">
        <f t="array" ref="I108">IF(INDEX(C:C,(ROW()-2)*2+1)=0,"",INDEX(C:C,(ROW()-2)*2+1))</f>
        <v/>
      </c>
      <c r="J108" s="141" t="str" cm="1">
        <f t="array" ref="J108">IF(INDEX(D:D,(ROW()-2)*2+1)=0,"",INDEX(D:D,(ROW()-2)*2+1))</f>
        <v/>
      </c>
      <c r="K108" s="141" t="str" cm="1">
        <f t="array" ref="K108">IF(INDEX(F:F,(ROW()-2)*2+1)=0,"",INDEX(F:F,(ROW()-2)*2+1))</f>
        <v/>
      </c>
      <c r="L108" s="141" t="str" cm="1">
        <f t="array" ref="L108">IF(INDEX(E:E,(ROW()-2)*2+1)=0,"",INDEX(E:E,(ROW()-2)*2+1))</f>
        <v/>
      </c>
      <c r="M108" s="141" t="str" cm="1">
        <f t="array" ref="M108">IF(INDEX(B:B,(ROW()-2)*2+1)=0,"",INDEX(B:B,(ROW()-2)*2+1))</f>
        <v/>
      </c>
    </row>
    <row r="109" spans="8:24">
      <c r="H109" s="141" t="str">
        <f t="shared" si="1"/>
        <v/>
      </c>
      <c r="I109" s="141" t="str" cm="1">
        <f t="array" ref="I109">IF(INDEX(C:C,(ROW()-2)*2+1)=0,"",INDEX(C:C,(ROW()-2)*2+1))</f>
        <v/>
      </c>
      <c r="J109" s="141" t="str" cm="1">
        <f t="array" ref="J109">IF(INDEX(D:D,(ROW()-2)*2+1)=0,"",INDEX(D:D,(ROW()-2)*2+1))</f>
        <v/>
      </c>
      <c r="K109" s="141" t="str" cm="1">
        <f t="array" ref="K109">IF(INDEX(F:F,(ROW()-2)*2+1)=0,"",INDEX(F:F,(ROW()-2)*2+1))</f>
        <v/>
      </c>
      <c r="L109" s="141" t="str" cm="1">
        <f t="array" ref="L109">IF(INDEX(E:E,(ROW()-2)*2+1)=0,"",INDEX(E:E,(ROW()-2)*2+1))</f>
        <v/>
      </c>
      <c r="M109" s="141" t="str" cm="1">
        <f t="array" ref="M109">IF(INDEX(B:B,(ROW()-2)*2+1)=0,"",INDEX(B:B,(ROW()-2)*2+1))</f>
        <v/>
      </c>
    </row>
    <row r="110" spans="8:24">
      <c r="H110" s="141" t="str">
        <f t="shared" si="1"/>
        <v/>
      </c>
      <c r="I110" s="141" t="str" cm="1">
        <f t="array" ref="I110">IF(INDEX(C:C,(ROW()-2)*2+1)=0,"",INDEX(C:C,(ROW()-2)*2+1))</f>
        <v/>
      </c>
      <c r="J110" s="141" t="str" cm="1">
        <f t="array" ref="J110">IF(INDEX(D:D,(ROW()-2)*2+1)=0,"",INDEX(D:D,(ROW()-2)*2+1))</f>
        <v/>
      </c>
      <c r="K110" s="141" t="str" cm="1">
        <f t="array" ref="K110">IF(INDEX(F:F,(ROW()-2)*2+1)=0,"",INDEX(F:F,(ROW()-2)*2+1))</f>
        <v/>
      </c>
      <c r="L110" s="141" t="str" cm="1">
        <f t="array" ref="L110">IF(INDEX(E:E,(ROW()-2)*2+1)=0,"",INDEX(E:E,(ROW()-2)*2+1))</f>
        <v/>
      </c>
      <c r="M110" s="141" t="str" cm="1">
        <f t="array" ref="M110">IF(INDEX(B:B,(ROW()-2)*2+1)=0,"",INDEX(B:B,(ROW()-2)*2+1))</f>
        <v/>
      </c>
    </row>
    <row r="111" spans="8:24">
      <c r="H111" s="141" t="str">
        <f t="shared" si="1"/>
        <v/>
      </c>
      <c r="I111" s="141" t="str" cm="1">
        <f t="array" ref="I111">IF(INDEX(C:C,(ROW()-2)*2+1)=0,"",INDEX(C:C,(ROW()-2)*2+1))</f>
        <v/>
      </c>
      <c r="J111" s="141" t="str" cm="1">
        <f t="array" ref="J111">IF(INDEX(D:D,(ROW()-2)*2+1)=0,"",INDEX(D:D,(ROW()-2)*2+1))</f>
        <v/>
      </c>
      <c r="K111" s="141" t="str" cm="1">
        <f t="array" ref="K111">IF(INDEX(F:F,(ROW()-2)*2+1)=0,"",INDEX(F:F,(ROW()-2)*2+1))</f>
        <v/>
      </c>
      <c r="L111" s="141" t="str" cm="1">
        <f t="array" ref="L111">IF(INDEX(E:E,(ROW()-2)*2+1)=0,"",INDEX(E:E,(ROW()-2)*2+1))</f>
        <v/>
      </c>
      <c r="M111" s="141" t="str" cm="1">
        <f t="array" ref="M111">IF(INDEX(B:B,(ROW()-2)*2+1)=0,"",INDEX(B:B,(ROW()-2)*2+1))</f>
        <v/>
      </c>
    </row>
    <row r="112" spans="8:24">
      <c r="H112" s="141" t="str">
        <f t="shared" si="1"/>
        <v/>
      </c>
      <c r="I112" s="141" t="str" cm="1">
        <f t="array" ref="I112">IF(INDEX(C:C,(ROW()-2)*2+1)=0,"",INDEX(C:C,(ROW()-2)*2+1))</f>
        <v/>
      </c>
      <c r="J112" s="141" t="str" cm="1">
        <f t="array" ref="J112">IF(INDEX(D:D,(ROW()-2)*2+1)=0,"",INDEX(D:D,(ROW()-2)*2+1))</f>
        <v/>
      </c>
      <c r="K112" s="141" t="str" cm="1">
        <f t="array" ref="K112">IF(INDEX(F:F,(ROW()-2)*2+1)=0,"",INDEX(F:F,(ROW()-2)*2+1))</f>
        <v/>
      </c>
      <c r="L112" s="141" t="str" cm="1">
        <f t="array" ref="L112">IF(INDEX(E:E,(ROW()-2)*2+1)=0,"",INDEX(E:E,(ROW()-2)*2+1))</f>
        <v/>
      </c>
      <c r="M112" s="141" t="str" cm="1">
        <f t="array" ref="M112">IF(INDEX(B:B,(ROW()-2)*2+1)=0,"",INDEX(B:B,(ROW()-2)*2+1))</f>
        <v/>
      </c>
    </row>
    <row r="113" spans="8:13">
      <c r="H113" s="141" t="str">
        <f t="shared" si="1"/>
        <v/>
      </c>
      <c r="I113" s="141" t="str" cm="1">
        <f t="array" ref="I113">IF(INDEX(C:C,(ROW()-2)*2+1)=0,"",INDEX(C:C,(ROW()-2)*2+1))</f>
        <v/>
      </c>
      <c r="J113" s="141" t="str" cm="1">
        <f t="array" ref="J113">IF(INDEX(D:D,(ROW()-2)*2+1)=0,"",INDEX(D:D,(ROW()-2)*2+1))</f>
        <v/>
      </c>
      <c r="K113" s="141" t="str" cm="1">
        <f t="array" ref="K113">IF(INDEX(F:F,(ROW()-2)*2+1)=0,"",INDEX(F:F,(ROW()-2)*2+1))</f>
        <v/>
      </c>
      <c r="L113" s="141" t="str" cm="1">
        <f t="array" ref="L113">IF(INDEX(E:E,(ROW()-2)*2+1)=0,"",INDEX(E:E,(ROW()-2)*2+1))</f>
        <v/>
      </c>
      <c r="M113" s="141" t="str" cm="1">
        <f t="array" ref="M113">IF(INDEX(B:B,(ROW()-2)*2+1)=0,"",INDEX(B:B,(ROW()-2)*2+1))</f>
        <v/>
      </c>
    </row>
    <row r="114" spans="8:13">
      <c r="H114" s="141" t="str">
        <f t="shared" si="1"/>
        <v/>
      </c>
      <c r="I114" s="141" t="str" cm="1">
        <f t="array" ref="I114">IF(INDEX(C:C,(ROW()-2)*2+1)=0,"",INDEX(C:C,(ROW()-2)*2+1))</f>
        <v/>
      </c>
      <c r="J114" s="141" t="str" cm="1">
        <f t="array" ref="J114">IF(INDEX(D:D,(ROW()-2)*2+1)=0,"",INDEX(D:D,(ROW()-2)*2+1))</f>
        <v/>
      </c>
      <c r="K114" s="141" t="str" cm="1">
        <f t="array" ref="K114">IF(INDEX(F:F,(ROW()-2)*2+1)=0,"",INDEX(F:F,(ROW()-2)*2+1))</f>
        <v/>
      </c>
      <c r="L114" s="141" t="str" cm="1">
        <f t="array" ref="L114">IF(INDEX(E:E,(ROW()-2)*2+1)=0,"",INDEX(E:E,(ROW()-2)*2+1))</f>
        <v/>
      </c>
      <c r="M114" s="141" t="str" cm="1">
        <f t="array" ref="M114">IF(INDEX(B:B,(ROW()-2)*2+1)=0,"",INDEX(B:B,(ROW()-2)*2+1))</f>
        <v/>
      </c>
    </row>
    <row r="115" spans="8:13">
      <c r="H115" s="141" t="str">
        <f t="shared" si="1"/>
        <v/>
      </c>
      <c r="I115" s="141" t="str" cm="1">
        <f t="array" ref="I115">IF(INDEX(C:C,(ROW()-2)*2+1)=0,"",INDEX(C:C,(ROW()-2)*2+1))</f>
        <v/>
      </c>
      <c r="J115" s="141" t="str" cm="1">
        <f t="array" ref="J115">IF(INDEX(D:D,(ROW()-2)*2+1)=0,"",INDEX(D:D,(ROW()-2)*2+1))</f>
        <v/>
      </c>
      <c r="K115" s="141" t="str" cm="1">
        <f t="array" ref="K115">IF(INDEX(F:F,(ROW()-2)*2+1)=0,"",INDEX(F:F,(ROW()-2)*2+1))</f>
        <v/>
      </c>
      <c r="L115" s="141" t="str" cm="1">
        <f t="array" ref="L115">IF(INDEX(E:E,(ROW()-2)*2+1)=0,"",INDEX(E:E,(ROW()-2)*2+1))</f>
        <v/>
      </c>
      <c r="M115" s="141" t="str" cm="1">
        <f t="array" ref="M115">IF(INDEX(B:B,(ROW()-2)*2+1)=0,"",INDEX(B:B,(ROW()-2)*2+1))</f>
        <v/>
      </c>
    </row>
    <row r="116" spans="8:13">
      <c r="H116" s="141" t="str">
        <f t="shared" si="1"/>
        <v/>
      </c>
      <c r="I116" s="141" t="str" cm="1">
        <f t="array" ref="I116">IF(INDEX(C:C,(ROW()-2)*2+1)=0,"",INDEX(C:C,(ROW()-2)*2+1))</f>
        <v/>
      </c>
      <c r="J116" s="141" t="str" cm="1">
        <f t="array" ref="J116">IF(INDEX(D:D,(ROW()-2)*2+1)=0,"",INDEX(D:D,(ROW()-2)*2+1))</f>
        <v/>
      </c>
      <c r="K116" s="141" t="str" cm="1">
        <f t="array" ref="K116">IF(INDEX(F:F,(ROW()-2)*2+1)=0,"",INDEX(F:F,(ROW()-2)*2+1))</f>
        <v/>
      </c>
      <c r="L116" s="141" t="str" cm="1">
        <f t="array" ref="L116">IF(INDEX(E:E,(ROW()-2)*2+1)=0,"",INDEX(E:E,(ROW()-2)*2+1))</f>
        <v/>
      </c>
      <c r="M116" s="141" t="str" cm="1">
        <f t="array" ref="M116">IF(INDEX(B:B,(ROW()-2)*2+1)=0,"",INDEX(B:B,(ROW()-2)*2+1))</f>
        <v/>
      </c>
    </row>
    <row r="117" spans="8:13">
      <c r="H117" s="141" t="str">
        <f t="shared" si="1"/>
        <v/>
      </c>
      <c r="I117" s="141" t="str" cm="1">
        <f t="array" ref="I117">IF(INDEX(C:C,(ROW()-2)*2+1)=0,"",INDEX(C:C,(ROW()-2)*2+1))</f>
        <v/>
      </c>
      <c r="J117" s="141" t="str" cm="1">
        <f t="array" ref="J117">IF(INDEX(D:D,(ROW()-2)*2+1)=0,"",INDEX(D:D,(ROW()-2)*2+1))</f>
        <v/>
      </c>
      <c r="K117" s="141" t="str" cm="1">
        <f t="array" ref="K117">IF(INDEX(F:F,(ROW()-2)*2+1)=0,"",INDEX(F:F,(ROW()-2)*2+1))</f>
        <v/>
      </c>
      <c r="L117" s="141" t="str" cm="1">
        <f t="array" ref="L117">IF(INDEX(E:E,(ROW()-2)*2+1)=0,"",INDEX(E:E,(ROW()-2)*2+1))</f>
        <v/>
      </c>
      <c r="M117" s="141" t="str" cm="1">
        <f t="array" ref="M117">IF(INDEX(B:B,(ROW()-2)*2+1)=0,"",INDEX(B:B,(ROW()-2)*2+1))</f>
        <v/>
      </c>
    </row>
    <row r="118" spans="8:13">
      <c r="H118" s="141" t="str">
        <f t="shared" si="1"/>
        <v/>
      </c>
      <c r="I118" s="141" t="str" cm="1">
        <f t="array" ref="I118">IF(INDEX(C:C,(ROW()-2)*2+1)=0,"",INDEX(C:C,(ROW()-2)*2+1))</f>
        <v/>
      </c>
      <c r="J118" s="141" t="str" cm="1">
        <f t="array" ref="J118">IF(INDEX(D:D,(ROW()-2)*2+1)=0,"",INDEX(D:D,(ROW()-2)*2+1))</f>
        <v/>
      </c>
      <c r="K118" s="141" t="str" cm="1">
        <f t="array" ref="K118">IF(INDEX(F:F,(ROW()-2)*2+1)=0,"",INDEX(F:F,(ROW()-2)*2+1))</f>
        <v/>
      </c>
      <c r="L118" s="141" t="str" cm="1">
        <f t="array" ref="L118">IF(INDEX(E:E,(ROW()-2)*2+1)=0,"",INDEX(E:E,(ROW()-2)*2+1))</f>
        <v/>
      </c>
      <c r="M118" s="141" t="str" cm="1">
        <f t="array" ref="M118">IF(INDEX(B:B,(ROW()-2)*2+1)=0,"",INDEX(B:B,(ROW()-2)*2+1))</f>
        <v/>
      </c>
    </row>
    <row r="119" spans="8:13">
      <c r="H119" s="141" t="str">
        <f t="shared" si="1"/>
        <v/>
      </c>
      <c r="I119" s="141" t="str" cm="1">
        <f t="array" ref="I119">IF(INDEX(C:C,(ROW()-2)*2+1)=0,"",INDEX(C:C,(ROW()-2)*2+1))</f>
        <v/>
      </c>
      <c r="J119" s="141" t="str" cm="1">
        <f t="array" ref="J119">IF(INDEX(D:D,(ROW()-2)*2+1)=0,"",INDEX(D:D,(ROW()-2)*2+1))</f>
        <v/>
      </c>
      <c r="K119" s="141" t="str" cm="1">
        <f t="array" ref="K119">IF(INDEX(F:F,(ROW()-2)*2+1)=0,"",INDEX(F:F,(ROW()-2)*2+1))</f>
        <v/>
      </c>
      <c r="L119" s="141" t="str" cm="1">
        <f t="array" ref="L119">IF(INDEX(E:E,(ROW()-2)*2+1)=0,"",INDEX(E:E,(ROW()-2)*2+1))</f>
        <v/>
      </c>
      <c r="M119" s="141" t="str" cm="1">
        <f t="array" ref="M119">IF(INDEX(B:B,(ROW()-2)*2+1)=0,"",INDEX(B:B,(ROW()-2)*2+1))</f>
        <v/>
      </c>
    </row>
    <row r="120" spans="8:13">
      <c r="H120" s="141" t="str">
        <f t="shared" si="1"/>
        <v/>
      </c>
      <c r="I120" s="141" t="str" cm="1">
        <f t="array" ref="I120">IF(INDEX(C:C,(ROW()-2)*2+1)=0,"",INDEX(C:C,(ROW()-2)*2+1))</f>
        <v/>
      </c>
      <c r="J120" s="141" t="str" cm="1">
        <f t="array" ref="J120">IF(INDEX(D:D,(ROW()-2)*2+1)=0,"",INDEX(D:D,(ROW()-2)*2+1))</f>
        <v/>
      </c>
      <c r="K120" s="141" t="str" cm="1">
        <f t="array" ref="K120">IF(INDEX(F:F,(ROW()-2)*2+1)=0,"",INDEX(F:F,(ROW()-2)*2+1))</f>
        <v/>
      </c>
      <c r="L120" s="141" t="str" cm="1">
        <f t="array" ref="L120">IF(INDEX(E:E,(ROW()-2)*2+1)=0,"",INDEX(E:E,(ROW()-2)*2+1))</f>
        <v/>
      </c>
      <c r="M120" s="141" t="str" cm="1">
        <f t="array" ref="M120">IF(INDEX(B:B,(ROW()-2)*2+1)=0,"",INDEX(B:B,(ROW()-2)*2+1))</f>
        <v/>
      </c>
    </row>
    <row r="121" spans="8:13">
      <c r="H121" s="141" t="str">
        <f t="shared" si="1"/>
        <v/>
      </c>
      <c r="I121" s="141" t="str" cm="1">
        <f t="array" ref="I121">IF(INDEX(C:C,(ROW()-2)*2+1)=0,"",INDEX(C:C,(ROW()-2)*2+1))</f>
        <v/>
      </c>
      <c r="J121" s="141" t="str" cm="1">
        <f t="array" ref="J121">IF(INDEX(D:D,(ROW()-2)*2+1)=0,"",INDEX(D:D,(ROW()-2)*2+1))</f>
        <v/>
      </c>
      <c r="K121" s="141" t="str" cm="1">
        <f t="array" ref="K121">IF(INDEX(F:F,(ROW()-2)*2+1)=0,"",INDEX(F:F,(ROW()-2)*2+1))</f>
        <v/>
      </c>
      <c r="L121" s="141" t="str" cm="1">
        <f t="array" ref="L121">IF(INDEX(E:E,(ROW()-2)*2+1)=0,"",INDEX(E:E,(ROW()-2)*2+1))</f>
        <v/>
      </c>
      <c r="M121" s="141" t="str" cm="1">
        <f t="array" ref="M121">IF(INDEX(B:B,(ROW()-2)*2+1)=0,"",INDEX(B:B,(ROW()-2)*2+1))</f>
        <v/>
      </c>
    </row>
    <row r="122" spans="8:13">
      <c r="H122" s="141" t="str">
        <f t="shared" si="1"/>
        <v/>
      </c>
      <c r="I122" s="141" t="str" cm="1">
        <f t="array" ref="I122">IF(INDEX(C:C,(ROW()-2)*2+1)=0,"",INDEX(C:C,(ROW()-2)*2+1))</f>
        <v/>
      </c>
      <c r="J122" s="141" t="str" cm="1">
        <f t="array" ref="J122">IF(INDEX(D:D,(ROW()-2)*2+1)=0,"",INDEX(D:D,(ROW()-2)*2+1))</f>
        <v/>
      </c>
      <c r="K122" s="141" t="str" cm="1">
        <f t="array" ref="K122">IF(INDEX(F:F,(ROW()-2)*2+1)=0,"",INDEX(F:F,(ROW()-2)*2+1))</f>
        <v/>
      </c>
      <c r="L122" s="141" t="str" cm="1">
        <f t="array" ref="L122">IF(INDEX(E:E,(ROW()-2)*2+1)=0,"",INDEX(E:E,(ROW()-2)*2+1))</f>
        <v/>
      </c>
      <c r="M122" s="141" t="str" cm="1">
        <f t="array" ref="M122">IF(INDEX(B:B,(ROW()-2)*2+1)=0,"",INDEX(B:B,(ROW()-2)*2+1))</f>
        <v/>
      </c>
    </row>
    <row r="123" spans="8:13">
      <c r="H123" s="141" t="str">
        <f t="shared" si="1"/>
        <v/>
      </c>
      <c r="I123" s="141" t="str" cm="1">
        <f t="array" ref="I123">IF(INDEX(C:C,(ROW()-2)*2+1)=0,"",INDEX(C:C,(ROW()-2)*2+1))</f>
        <v/>
      </c>
      <c r="J123" s="141" t="str" cm="1">
        <f t="array" ref="J123">IF(INDEX(D:D,(ROW()-2)*2+1)=0,"",INDEX(D:D,(ROW()-2)*2+1))</f>
        <v/>
      </c>
      <c r="K123" s="141" t="str" cm="1">
        <f t="array" ref="K123">IF(INDEX(F:F,(ROW()-2)*2+1)=0,"",INDEX(F:F,(ROW()-2)*2+1))</f>
        <v/>
      </c>
      <c r="L123" s="141" t="str" cm="1">
        <f t="array" ref="L123">IF(INDEX(E:E,(ROW()-2)*2+1)=0,"",INDEX(E:E,(ROW()-2)*2+1))</f>
        <v/>
      </c>
      <c r="M123" s="141" t="str" cm="1">
        <f t="array" ref="M123">IF(INDEX(B:B,(ROW()-2)*2+1)=0,"",INDEX(B:B,(ROW()-2)*2+1))</f>
        <v/>
      </c>
    </row>
    <row r="124" spans="8:13">
      <c r="H124" s="141" t="str">
        <f t="shared" si="1"/>
        <v/>
      </c>
      <c r="I124" s="141" t="str" cm="1">
        <f t="array" ref="I124">IF(INDEX(C:C,(ROW()-2)*2+1)=0,"",INDEX(C:C,(ROW()-2)*2+1))</f>
        <v/>
      </c>
      <c r="J124" s="141" t="str" cm="1">
        <f t="array" ref="J124">IF(INDEX(D:D,(ROW()-2)*2+1)=0,"",INDEX(D:D,(ROW()-2)*2+1))</f>
        <v/>
      </c>
      <c r="K124" s="141" t="str" cm="1">
        <f t="array" ref="K124">IF(INDEX(F:F,(ROW()-2)*2+1)=0,"",INDEX(F:F,(ROW()-2)*2+1))</f>
        <v/>
      </c>
      <c r="L124" s="141" t="str" cm="1">
        <f t="array" ref="L124">IF(INDEX(E:E,(ROW()-2)*2+1)=0,"",INDEX(E:E,(ROW()-2)*2+1))</f>
        <v/>
      </c>
      <c r="M124" s="141" t="str" cm="1">
        <f t="array" ref="M124">IF(INDEX(B:B,(ROW()-2)*2+1)=0,"",INDEX(B:B,(ROW()-2)*2+1))</f>
        <v/>
      </c>
    </row>
    <row r="125" spans="8:13">
      <c r="H125" s="141" t="str">
        <f t="shared" si="1"/>
        <v/>
      </c>
      <c r="I125" s="141" t="str" cm="1">
        <f t="array" ref="I125">IF(INDEX(C:C,(ROW()-2)*2+1)=0,"",INDEX(C:C,(ROW()-2)*2+1))</f>
        <v/>
      </c>
      <c r="J125" s="141" t="str" cm="1">
        <f t="array" ref="J125">IF(INDEX(D:D,(ROW()-2)*2+1)=0,"",INDEX(D:D,(ROW()-2)*2+1))</f>
        <v/>
      </c>
      <c r="K125" s="141" t="str" cm="1">
        <f t="array" ref="K125">IF(INDEX(F:F,(ROW()-2)*2+1)=0,"",INDEX(F:F,(ROW()-2)*2+1))</f>
        <v/>
      </c>
      <c r="L125" s="141" t="str" cm="1">
        <f t="array" ref="L125">IF(INDEX(E:E,(ROW()-2)*2+1)=0,"",INDEX(E:E,(ROW()-2)*2+1))</f>
        <v/>
      </c>
      <c r="M125" s="141" t="str" cm="1">
        <f t="array" ref="M125">IF(INDEX(B:B,(ROW()-2)*2+1)=0,"",INDEX(B:B,(ROW()-2)*2+1))</f>
        <v/>
      </c>
    </row>
    <row r="126" spans="8:13">
      <c r="H126" s="141" t="str">
        <f t="shared" si="1"/>
        <v/>
      </c>
      <c r="I126" s="141" t="str" cm="1">
        <f t="array" ref="I126">IF(INDEX(C:C,(ROW()-2)*2+1)=0,"",INDEX(C:C,(ROW()-2)*2+1))</f>
        <v/>
      </c>
      <c r="J126" s="141" t="str" cm="1">
        <f t="array" ref="J126">IF(INDEX(D:D,(ROW()-2)*2+1)=0,"",INDEX(D:D,(ROW()-2)*2+1))</f>
        <v/>
      </c>
      <c r="K126" s="141" t="str" cm="1">
        <f t="array" ref="K126">IF(INDEX(F:F,(ROW()-2)*2+1)=0,"",INDEX(F:F,(ROW()-2)*2+1))</f>
        <v/>
      </c>
      <c r="L126" s="141" t="str" cm="1">
        <f t="array" ref="L126">IF(INDEX(E:E,(ROW()-2)*2+1)=0,"",INDEX(E:E,(ROW()-2)*2+1))</f>
        <v/>
      </c>
      <c r="M126" s="141" t="str" cm="1">
        <f t="array" ref="M126">IF(INDEX(B:B,(ROW()-2)*2+1)=0,"",INDEX(B:B,(ROW()-2)*2+1))</f>
        <v/>
      </c>
    </row>
    <row r="127" spans="8:13">
      <c r="H127" s="141" t="str">
        <f t="shared" si="1"/>
        <v/>
      </c>
      <c r="I127" s="141" t="str" cm="1">
        <f t="array" ref="I127">IF(INDEX(C:C,(ROW()-2)*2+1)=0,"",INDEX(C:C,(ROW()-2)*2+1))</f>
        <v/>
      </c>
      <c r="J127" s="141" t="str" cm="1">
        <f t="array" ref="J127">IF(INDEX(D:D,(ROW()-2)*2+1)=0,"",INDEX(D:D,(ROW()-2)*2+1))</f>
        <v/>
      </c>
      <c r="K127" s="141" t="str" cm="1">
        <f t="array" ref="K127">IF(INDEX(F:F,(ROW()-2)*2+1)=0,"",INDEX(F:F,(ROW()-2)*2+1))</f>
        <v/>
      </c>
      <c r="L127" s="141" t="str" cm="1">
        <f t="array" ref="L127">IF(INDEX(E:E,(ROW()-2)*2+1)=0,"",INDEX(E:E,(ROW()-2)*2+1))</f>
        <v/>
      </c>
      <c r="M127" s="141" t="str" cm="1">
        <f t="array" ref="M127">IF(INDEX(B:B,(ROW()-2)*2+1)=0,"",INDEX(B:B,(ROW()-2)*2+1))</f>
        <v/>
      </c>
    </row>
    <row r="128" spans="8:13">
      <c r="H128" s="141" t="str">
        <f t="shared" si="1"/>
        <v/>
      </c>
      <c r="I128" s="141" t="str" cm="1">
        <f t="array" ref="I128">IF(INDEX(C:C,(ROW()-2)*2+1)=0,"",INDEX(C:C,(ROW()-2)*2+1))</f>
        <v/>
      </c>
      <c r="J128" s="141" t="str" cm="1">
        <f t="array" ref="J128">IF(INDEX(D:D,(ROW()-2)*2+1)=0,"",INDEX(D:D,(ROW()-2)*2+1))</f>
        <v/>
      </c>
      <c r="K128" s="141" t="str" cm="1">
        <f t="array" ref="K128">IF(INDEX(F:F,(ROW()-2)*2+1)=0,"",INDEX(F:F,(ROW()-2)*2+1))</f>
        <v/>
      </c>
      <c r="L128" s="141" t="str" cm="1">
        <f t="array" ref="L128">IF(INDEX(E:E,(ROW()-2)*2+1)=0,"",INDEX(E:E,(ROW()-2)*2+1))</f>
        <v/>
      </c>
      <c r="M128" s="141" t="str" cm="1">
        <f t="array" ref="M128">IF(INDEX(B:B,(ROW()-2)*2+1)=0,"",INDEX(B:B,(ROW()-2)*2+1))</f>
        <v/>
      </c>
    </row>
    <row r="129" spans="8:13">
      <c r="H129" s="141" t="str">
        <f t="shared" si="1"/>
        <v/>
      </c>
      <c r="I129" s="141" t="str" cm="1">
        <f t="array" ref="I129">IF(INDEX(C:C,(ROW()-2)*2+1)=0,"",INDEX(C:C,(ROW()-2)*2+1))</f>
        <v/>
      </c>
      <c r="J129" s="141" t="str" cm="1">
        <f t="array" ref="J129">IF(INDEX(D:D,(ROW()-2)*2+1)=0,"",INDEX(D:D,(ROW()-2)*2+1))</f>
        <v/>
      </c>
      <c r="K129" s="141" t="str" cm="1">
        <f t="array" ref="K129">IF(INDEX(F:F,(ROW()-2)*2+1)=0,"",INDEX(F:F,(ROW()-2)*2+1))</f>
        <v/>
      </c>
      <c r="L129" s="141" t="str" cm="1">
        <f t="array" ref="L129">IF(INDEX(E:E,(ROW()-2)*2+1)=0,"",INDEX(E:E,(ROW()-2)*2+1))</f>
        <v/>
      </c>
      <c r="M129" s="141" t="str" cm="1">
        <f t="array" ref="M129">IF(INDEX(B:B,(ROW()-2)*2+1)=0,"",INDEX(B:B,(ROW()-2)*2+1))</f>
        <v/>
      </c>
    </row>
    <row r="130" spans="8:13">
      <c r="H130" s="141" t="str">
        <f t="shared" si="1"/>
        <v/>
      </c>
      <c r="I130" s="141" t="str" cm="1">
        <f t="array" ref="I130">IF(INDEX(C:C,(ROW()-2)*2+1)=0,"",INDEX(C:C,(ROW()-2)*2+1))</f>
        <v/>
      </c>
      <c r="J130" s="141" t="str" cm="1">
        <f t="array" ref="J130">IF(INDEX(D:D,(ROW()-2)*2+1)=0,"",INDEX(D:D,(ROW()-2)*2+1))</f>
        <v/>
      </c>
      <c r="K130" s="141" t="str" cm="1">
        <f t="array" ref="K130">IF(INDEX(F:F,(ROW()-2)*2+1)=0,"",INDEX(F:F,(ROW()-2)*2+1))</f>
        <v/>
      </c>
      <c r="L130" s="141" t="str" cm="1">
        <f t="array" ref="L130">IF(INDEX(E:E,(ROW()-2)*2+1)=0,"",INDEX(E:E,(ROW()-2)*2+1))</f>
        <v/>
      </c>
      <c r="M130" s="141" t="str" cm="1">
        <f t="array" ref="M130">IF(INDEX(B:B,(ROW()-2)*2+1)=0,"",INDEX(B:B,(ROW()-2)*2+1))</f>
        <v/>
      </c>
    </row>
    <row r="131" spans="8:13">
      <c r="H131" s="141" t="str">
        <f t="shared" si="1"/>
        <v/>
      </c>
      <c r="I131" s="141" t="str" cm="1">
        <f t="array" ref="I131">IF(INDEX(C:C,(ROW()-2)*2+1)=0,"",INDEX(C:C,(ROW()-2)*2+1))</f>
        <v/>
      </c>
      <c r="J131" s="141" t="str" cm="1">
        <f t="array" ref="J131">IF(INDEX(D:D,(ROW()-2)*2+1)=0,"",INDEX(D:D,(ROW()-2)*2+1))</f>
        <v/>
      </c>
      <c r="K131" s="141" t="str" cm="1">
        <f t="array" ref="K131">IF(INDEX(F:F,(ROW()-2)*2+1)=0,"",INDEX(F:F,(ROW()-2)*2+1))</f>
        <v/>
      </c>
      <c r="L131" s="141" t="str" cm="1">
        <f t="array" ref="L131">IF(INDEX(E:E,(ROW()-2)*2+1)=0,"",INDEX(E:E,(ROW()-2)*2+1))</f>
        <v/>
      </c>
      <c r="M131" s="141" t="str" cm="1">
        <f t="array" ref="M131">IF(INDEX(B:B,(ROW()-2)*2+1)=0,"",INDEX(B:B,(ROW()-2)*2+1))</f>
        <v/>
      </c>
    </row>
    <row r="132" spans="8:13">
      <c r="H132" s="141" t="str">
        <f t="shared" ref="H132:H195" si="2">IF(INDEX($A$3:$A$1000, (ROW(D132)-ROW($D$3))*5+3) = "", "", INDEX($A$3:$A$1000, (ROW(D132)-ROW($D$3))*5+3))</f>
        <v/>
      </c>
      <c r="I132" s="141" t="str" cm="1">
        <f t="array" ref="I132">IF(INDEX(C:C,(ROW()-2)*2+1)=0,"",INDEX(C:C,(ROW()-2)*2+1))</f>
        <v/>
      </c>
      <c r="J132" s="141" t="str" cm="1">
        <f t="array" ref="J132">IF(INDEX(D:D,(ROW()-2)*2+1)=0,"",INDEX(D:D,(ROW()-2)*2+1))</f>
        <v/>
      </c>
      <c r="K132" s="141" t="str" cm="1">
        <f t="array" ref="K132">IF(INDEX(F:F,(ROW()-2)*2+1)=0,"",INDEX(F:F,(ROW()-2)*2+1))</f>
        <v/>
      </c>
      <c r="L132" s="141" t="str" cm="1">
        <f t="array" ref="L132">IF(INDEX(E:E,(ROW()-2)*2+1)=0,"",INDEX(E:E,(ROW()-2)*2+1))</f>
        <v/>
      </c>
      <c r="M132" s="141" t="str" cm="1">
        <f t="array" ref="M132">IF(INDEX(B:B,(ROW()-2)*2+1)=0,"",INDEX(B:B,(ROW()-2)*2+1))</f>
        <v/>
      </c>
    </row>
    <row r="133" spans="8:13">
      <c r="H133" s="141" t="str">
        <f t="shared" si="2"/>
        <v/>
      </c>
      <c r="I133" s="141" t="str" cm="1">
        <f t="array" ref="I133">IF(INDEX(C:C,(ROW()-2)*2+1)=0,"",INDEX(C:C,(ROW()-2)*2+1))</f>
        <v/>
      </c>
      <c r="J133" s="141" t="str" cm="1">
        <f t="array" ref="J133">IF(INDEX(D:D,(ROW()-2)*2+1)=0,"",INDEX(D:D,(ROW()-2)*2+1))</f>
        <v/>
      </c>
      <c r="K133" s="141" t="str" cm="1">
        <f t="array" ref="K133">IF(INDEX(F:F,(ROW()-2)*2+1)=0,"",INDEX(F:F,(ROW()-2)*2+1))</f>
        <v/>
      </c>
      <c r="L133" s="141" t="str" cm="1">
        <f t="array" ref="L133">IF(INDEX(E:E,(ROW()-2)*2+1)=0,"",INDEX(E:E,(ROW()-2)*2+1))</f>
        <v/>
      </c>
      <c r="M133" s="141" t="str" cm="1">
        <f t="array" ref="M133">IF(INDEX(B:B,(ROW()-2)*2+1)=0,"",INDEX(B:B,(ROW()-2)*2+1))</f>
        <v/>
      </c>
    </row>
    <row r="134" spans="8:13">
      <c r="H134" s="141" t="str">
        <f t="shared" si="2"/>
        <v/>
      </c>
      <c r="I134" s="141" t="str" cm="1">
        <f t="array" ref="I134">IF(INDEX(C:C,(ROW()-2)*2+1)=0,"",INDEX(C:C,(ROW()-2)*2+1))</f>
        <v/>
      </c>
      <c r="J134" s="141" t="str" cm="1">
        <f t="array" ref="J134">IF(INDEX(D:D,(ROW()-2)*2+1)=0,"",INDEX(D:D,(ROW()-2)*2+1))</f>
        <v/>
      </c>
      <c r="K134" s="141" t="str" cm="1">
        <f t="array" ref="K134">IF(INDEX(F:F,(ROW()-2)*2+1)=0,"",INDEX(F:F,(ROW()-2)*2+1))</f>
        <v/>
      </c>
      <c r="L134" s="141" t="str" cm="1">
        <f t="array" ref="L134">IF(INDEX(E:E,(ROW()-2)*2+1)=0,"",INDEX(E:E,(ROW()-2)*2+1))</f>
        <v/>
      </c>
      <c r="M134" s="141" t="str" cm="1">
        <f t="array" ref="M134">IF(INDEX(B:B,(ROW()-2)*2+1)=0,"",INDEX(B:B,(ROW()-2)*2+1))</f>
        <v/>
      </c>
    </row>
    <row r="135" spans="8:13">
      <c r="H135" s="141" t="str">
        <f t="shared" si="2"/>
        <v/>
      </c>
      <c r="I135" s="141" t="str" cm="1">
        <f t="array" ref="I135">IF(INDEX(C:C,(ROW()-2)*2+1)=0,"",INDEX(C:C,(ROW()-2)*2+1))</f>
        <v/>
      </c>
      <c r="J135" s="141" t="str" cm="1">
        <f t="array" ref="J135">IF(INDEX(D:D,(ROW()-2)*2+1)=0,"",INDEX(D:D,(ROW()-2)*2+1))</f>
        <v/>
      </c>
      <c r="K135" s="141" t="str" cm="1">
        <f t="array" ref="K135">IF(INDEX(F:F,(ROW()-2)*2+1)=0,"",INDEX(F:F,(ROW()-2)*2+1))</f>
        <v/>
      </c>
      <c r="L135" s="141" t="str" cm="1">
        <f t="array" ref="L135">IF(INDEX(E:E,(ROW()-2)*2+1)=0,"",INDEX(E:E,(ROW()-2)*2+1))</f>
        <v/>
      </c>
      <c r="M135" s="141" t="str" cm="1">
        <f t="array" ref="M135">IF(INDEX(B:B,(ROW()-2)*2+1)=0,"",INDEX(B:B,(ROW()-2)*2+1))</f>
        <v/>
      </c>
    </row>
    <row r="136" spans="8:13">
      <c r="H136" s="141" t="str">
        <f t="shared" si="2"/>
        <v/>
      </c>
      <c r="I136" s="141" t="str" cm="1">
        <f t="array" ref="I136">IF(INDEX(C:C,(ROW()-2)*2+1)=0,"",INDEX(C:C,(ROW()-2)*2+1))</f>
        <v/>
      </c>
      <c r="J136" s="141" t="str" cm="1">
        <f t="array" ref="J136">IF(INDEX(D:D,(ROW()-2)*2+1)=0,"",INDEX(D:D,(ROW()-2)*2+1))</f>
        <v/>
      </c>
      <c r="K136" s="141" t="str" cm="1">
        <f t="array" ref="K136">IF(INDEX(F:F,(ROW()-2)*2+1)=0,"",INDEX(F:F,(ROW()-2)*2+1))</f>
        <v/>
      </c>
      <c r="L136" s="141" t="str" cm="1">
        <f t="array" ref="L136">IF(INDEX(E:E,(ROW()-2)*2+1)=0,"",INDEX(E:E,(ROW()-2)*2+1))</f>
        <v/>
      </c>
      <c r="M136" s="141" t="str" cm="1">
        <f t="array" ref="M136">IF(INDEX(B:B,(ROW()-2)*2+1)=0,"",INDEX(B:B,(ROW()-2)*2+1))</f>
        <v/>
      </c>
    </row>
    <row r="137" spans="8:13">
      <c r="H137" s="141" t="str">
        <f t="shared" si="2"/>
        <v/>
      </c>
      <c r="I137" s="141" t="str" cm="1">
        <f t="array" ref="I137">IF(INDEX(C:C,(ROW()-2)*2+1)=0,"",INDEX(C:C,(ROW()-2)*2+1))</f>
        <v/>
      </c>
      <c r="J137" s="141" t="str" cm="1">
        <f t="array" ref="J137">IF(INDEX(D:D,(ROW()-2)*2+1)=0,"",INDEX(D:D,(ROW()-2)*2+1))</f>
        <v/>
      </c>
      <c r="K137" s="141" t="str" cm="1">
        <f t="array" ref="K137">IF(INDEX(F:F,(ROW()-2)*2+1)=0,"",INDEX(F:F,(ROW()-2)*2+1))</f>
        <v/>
      </c>
      <c r="L137" s="141" t="str" cm="1">
        <f t="array" ref="L137">IF(INDEX(E:E,(ROW()-2)*2+1)=0,"",INDEX(E:E,(ROW()-2)*2+1))</f>
        <v/>
      </c>
      <c r="M137" s="141" t="str" cm="1">
        <f t="array" ref="M137">IF(INDEX(B:B,(ROW()-2)*2+1)=0,"",INDEX(B:B,(ROW()-2)*2+1))</f>
        <v/>
      </c>
    </row>
    <row r="138" spans="8:13">
      <c r="H138" s="141" t="str">
        <f t="shared" si="2"/>
        <v/>
      </c>
      <c r="I138" s="141" t="str" cm="1">
        <f t="array" ref="I138">IF(INDEX(C:C,(ROW()-2)*2+1)=0,"",INDEX(C:C,(ROW()-2)*2+1))</f>
        <v/>
      </c>
      <c r="J138" s="141" t="str" cm="1">
        <f t="array" ref="J138">IF(INDEX(D:D,(ROW()-2)*2+1)=0,"",INDEX(D:D,(ROW()-2)*2+1))</f>
        <v/>
      </c>
      <c r="K138" s="141" t="str" cm="1">
        <f t="array" ref="K138">IF(INDEX(F:F,(ROW()-2)*2+1)=0,"",INDEX(F:F,(ROW()-2)*2+1))</f>
        <v/>
      </c>
      <c r="L138" s="141" t="str" cm="1">
        <f t="array" ref="L138">IF(INDEX(E:E,(ROW()-2)*2+1)=0,"",INDEX(E:E,(ROW()-2)*2+1))</f>
        <v/>
      </c>
      <c r="M138" s="141" t="str" cm="1">
        <f t="array" ref="M138">IF(INDEX(B:B,(ROW()-2)*2+1)=0,"",INDEX(B:B,(ROW()-2)*2+1))</f>
        <v/>
      </c>
    </row>
    <row r="139" spans="8:13">
      <c r="H139" s="141" t="str">
        <f t="shared" si="2"/>
        <v/>
      </c>
      <c r="I139" s="141" t="str" cm="1">
        <f t="array" ref="I139">IF(INDEX(C:C,(ROW()-2)*2+1)=0,"",INDEX(C:C,(ROW()-2)*2+1))</f>
        <v/>
      </c>
      <c r="J139" s="141" t="str" cm="1">
        <f t="array" ref="J139">IF(INDEX(D:D,(ROW()-2)*2+1)=0,"",INDEX(D:D,(ROW()-2)*2+1))</f>
        <v/>
      </c>
      <c r="K139" s="141" t="str" cm="1">
        <f t="array" ref="K139">IF(INDEX(F:F,(ROW()-2)*2+1)=0,"",INDEX(F:F,(ROW()-2)*2+1))</f>
        <v/>
      </c>
      <c r="L139" s="141" t="str" cm="1">
        <f t="array" ref="L139">IF(INDEX(E:E,(ROW()-2)*2+1)=0,"",INDEX(E:E,(ROW()-2)*2+1))</f>
        <v/>
      </c>
      <c r="M139" s="141" t="str" cm="1">
        <f t="array" ref="M139">IF(INDEX(B:B,(ROW()-2)*2+1)=0,"",INDEX(B:B,(ROW()-2)*2+1))</f>
        <v/>
      </c>
    </row>
    <row r="140" spans="8:13">
      <c r="H140" s="141" t="str">
        <f t="shared" si="2"/>
        <v/>
      </c>
      <c r="I140" s="141" t="str" cm="1">
        <f t="array" ref="I140">IF(INDEX(C:C,(ROW()-2)*2+1)=0,"",INDEX(C:C,(ROW()-2)*2+1))</f>
        <v/>
      </c>
      <c r="J140" s="141" t="str" cm="1">
        <f t="array" ref="J140">IF(INDEX(D:D,(ROW()-2)*2+1)=0,"",INDEX(D:D,(ROW()-2)*2+1))</f>
        <v/>
      </c>
      <c r="K140" s="141" t="str" cm="1">
        <f t="array" ref="K140">IF(INDEX(F:F,(ROW()-2)*2+1)=0,"",INDEX(F:F,(ROW()-2)*2+1))</f>
        <v/>
      </c>
      <c r="L140" s="141" t="str" cm="1">
        <f t="array" ref="L140">IF(INDEX(E:E,(ROW()-2)*2+1)=0,"",INDEX(E:E,(ROW()-2)*2+1))</f>
        <v/>
      </c>
      <c r="M140" s="141" t="str" cm="1">
        <f t="array" ref="M140">IF(INDEX(B:B,(ROW()-2)*2+1)=0,"",INDEX(B:B,(ROW()-2)*2+1))</f>
        <v/>
      </c>
    </row>
    <row r="141" spans="8:13">
      <c r="H141" s="141" t="str">
        <f t="shared" si="2"/>
        <v/>
      </c>
      <c r="I141" s="141" t="str" cm="1">
        <f t="array" ref="I141">IF(INDEX(C:C,(ROW()-2)*2+1)=0,"",INDEX(C:C,(ROW()-2)*2+1))</f>
        <v/>
      </c>
      <c r="J141" s="141" t="str" cm="1">
        <f t="array" ref="J141">IF(INDEX(D:D,(ROW()-2)*2+1)=0,"",INDEX(D:D,(ROW()-2)*2+1))</f>
        <v/>
      </c>
      <c r="K141" s="141" t="str" cm="1">
        <f t="array" ref="K141">IF(INDEX(F:F,(ROW()-2)*2+1)=0,"",INDEX(F:F,(ROW()-2)*2+1))</f>
        <v/>
      </c>
      <c r="L141" s="141" t="str" cm="1">
        <f t="array" ref="L141">IF(INDEX(E:E,(ROW()-2)*2+1)=0,"",INDEX(E:E,(ROW()-2)*2+1))</f>
        <v/>
      </c>
      <c r="M141" s="141" t="str" cm="1">
        <f t="array" ref="M141">IF(INDEX(B:B,(ROW()-2)*2+1)=0,"",INDEX(B:B,(ROW()-2)*2+1))</f>
        <v/>
      </c>
    </row>
    <row r="142" spans="8:13">
      <c r="H142" s="141" t="str">
        <f t="shared" si="2"/>
        <v/>
      </c>
      <c r="I142" s="141" t="str" cm="1">
        <f t="array" ref="I142">IF(INDEX(C:C,(ROW()-2)*2+1)=0,"",INDEX(C:C,(ROW()-2)*2+1))</f>
        <v/>
      </c>
      <c r="J142" s="141" t="str" cm="1">
        <f t="array" ref="J142">IF(INDEX(D:D,(ROW()-2)*2+1)=0,"",INDEX(D:D,(ROW()-2)*2+1))</f>
        <v/>
      </c>
      <c r="K142" s="141" t="str" cm="1">
        <f t="array" ref="K142">IF(INDEX(F:F,(ROW()-2)*2+1)=0,"",INDEX(F:F,(ROW()-2)*2+1))</f>
        <v/>
      </c>
      <c r="L142" s="141" t="str" cm="1">
        <f t="array" ref="L142">IF(INDEX(E:E,(ROW()-2)*2+1)=0,"",INDEX(E:E,(ROW()-2)*2+1))</f>
        <v/>
      </c>
      <c r="M142" s="141" t="str" cm="1">
        <f t="array" ref="M142">IF(INDEX(B:B,(ROW()-2)*2+1)=0,"",INDEX(B:B,(ROW()-2)*2+1))</f>
        <v/>
      </c>
    </row>
    <row r="143" spans="8:13">
      <c r="H143" s="141" t="str">
        <f t="shared" si="2"/>
        <v/>
      </c>
      <c r="I143" s="141" t="str" cm="1">
        <f t="array" ref="I143">IF(INDEX(C:C,(ROW()-2)*2+1)=0,"",INDEX(C:C,(ROW()-2)*2+1))</f>
        <v/>
      </c>
      <c r="J143" s="141" t="str" cm="1">
        <f t="array" ref="J143">IF(INDEX(D:D,(ROW()-2)*2+1)=0,"",INDEX(D:D,(ROW()-2)*2+1))</f>
        <v/>
      </c>
      <c r="K143" s="141" t="str" cm="1">
        <f t="array" ref="K143">IF(INDEX(F:F,(ROW()-2)*2+1)=0,"",INDEX(F:F,(ROW()-2)*2+1))</f>
        <v/>
      </c>
      <c r="L143" s="141" t="str" cm="1">
        <f t="array" ref="L143">IF(INDEX(E:E,(ROW()-2)*2+1)=0,"",INDEX(E:E,(ROW()-2)*2+1))</f>
        <v/>
      </c>
      <c r="M143" s="141" t="str" cm="1">
        <f t="array" ref="M143">IF(INDEX(B:B,(ROW()-2)*2+1)=0,"",INDEX(B:B,(ROW()-2)*2+1))</f>
        <v/>
      </c>
    </row>
    <row r="144" spans="8:13">
      <c r="H144" s="141" t="str">
        <f t="shared" si="2"/>
        <v/>
      </c>
      <c r="I144" s="141" t="str" cm="1">
        <f t="array" ref="I144">IF(INDEX(C:C,(ROW()-2)*2+1)=0,"",INDEX(C:C,(ROW()-2)*2+1))</f>
        <v/>
      </c>
      <c r="J144" s="141" t="str" cm="1">
        <f t="array" ref="J144">IF(INDEX(D:D,(ROW()-2)*2+1)=0,"",INDEX(D:D,(ROW()-2)*2+1))</f>
        <v/>
      </c>
      <c r="K144" s="141" t="str" cm="1">
        <f t="array" ref="K144">IF(INDEX(F:F,(ROW()-2)*2+1)=0,"",INDEX(F:F,(ROW()-2)*2+1))</f>
        <v/>
      </c>
      <c r="L144" s="141" t="str" cm="1">
        <f t="array" ref="L144">IF(INDEX(E:E,(ROW()-2)*2+1)=0,"",INDEX(E:E,(ROW()-2)*2+1))</f>
        <v/>
      </c>
      <c r="M144" s="141" t="str" cm="1">
        <f t="array" ref="M144">IF(INDEX(B:B,(ROW()-2)*2+1)=0,"",INDEX(B:B,(ROW()-2)*2+1))</f>
        <v/>
      </c>
    </row>
    <row r="145" spans="8:13">
      <c r="H145" s="141" t="str">
        <f t="shared" si="2"/>
        <v/>
      </c>
      <c r="I145" s="141" t="str" cm="1">
        <f t="array" ref="I145">IF(INDEX(C:C,(ROW()-2)*2+1)=0,"",INDEX(C:C,(ROW()-2)*2+1))</f>
        <v/>
      </c>
      <c r="J145" s="141" t="str" cm="1">
        <f t="array" ref="J145">IF(INDEX(D:D,(ROW()-2)*2+1)=0,"",INDEX(D:D,(ROW()-2)*2+1))</f>
        <v/>
      </c>
      <c r="K145" s="141" t="str" cm="1">
        <f t="array" ref="K145">IF(INDEX(F:F,(ROW()-2)*2+1)=0,"",INDEX(F:F,(ROW()-2)*2+1))</f>
        <v/>
      </c>
      <c r="L145" s="141" t="str" cm="1">
        <f t="array" ref="L145">IF(INDEX(E:E,(ROW()-2)*2+1)=0,"",INDEX(E:E,(ROW()-2)*2+1))</f>
        <v/>
      </c>
      <c r="M145" s="141" t="str" cm="1">
        <f t="array" ref="M145">IF(INDEX(B:B,(ROW()-2)*2+1)=0,"",INDEX(B:B,(ROW()-2)*2+1))</f>
        <v/>
      </c>
    </row>
    <row r="146" spans="8:13">
      <c r="H146" s="141" t="str">
        <f t="shared" si="2"/>
        <v/>
      </c>
      <c r="I146" s="141" t="str" cm="1">
        <f t="array" ref="I146">IF(INDEX(C:C,(ROW()-2)*2+1)=0,"",INDEX(C:C,(ROW()-2)*2+1))</f>
        <v/>
      </c>
      <c r="J146" s="141" t="str" cm="1">
        <f t="array" ref="J146">IF(INDEX(D:D,(ROW()-2)*2+1)=0,"",INDEX(D:D,(ROW()-2)*2+1))</f>
        <v/>
      </c>
      <c r="K146" s="141" t="str" cm="1">
        <f t="array" ref="K146">IF(INDEX(F:F,(ROW()-2)*2+1)=0,"",INDEX(F:F,(ROW()-2)*2+1))</f>
        <v/>
      </c>
      <c r="L146" s="141" t="str" cm="1">
        <f t="array" ref="L146">IF(INDEX(E:E,(ROW()-2)*2+1)=0,"",INDEX(E:E,(ROW()-2)*2+1))</f>
        <v/>
      </c>
      <c r="M146" s="141" t="str" cm="1">
        <f t="array" ref="M146">IF(INDEX(B:B,(ROW()-2)*2+1)=0,"",INDEX(B:B,(ROW()-2)*2+1))</f>
        <v/>
      </c>
    </row>
    <row r="147" spans="8:13">
      <c r="H147" s="141" t="str">
        <f t="shared" si="2"/>
        <v/>
      </c>
      <c r="I147" s="141" t="str" cm="1">
        <f t="array" ref="I147">IF(INDEX(C:C,(ROW()-2)*2+1)=0,"",INDEX(C:C,(ROW()-2)*2+1))</f>
        <v/>
      </c>
      <c r="J147" s="141" t="str" cm="1">
        <f t="array" ref="J147">IF(INDEX(D:D,(ROW()-2)*2+1)=0,"",INDEX(D:D,(ROW()-2)*2+1))</f>
        <v/>
      </c>
      <c r="K147" s="141" t="str" cm="1">
        <f t="array" ref="K147">IF(INDEX(F:F,(ROW()-2)*2+1)=0,"",INDEX(F:F,(ROW()-2)*2+1))</f>
        <v/>
      </c>
      <c r="L147" s="141" t="str" cm="1">
        <f t="array" ref="L147">IF(INDEX(E:E,(ROW()-2)*2+1)=0,"",INDEX(E:E,(ROW()-2)*2+1))</f>
        <v/>
      </c>
      <c r="M147" s="141" t="str" cm="1">
        <f t="array" ref="M147">IF(INDEX(B:B,(ROW()-2)*2+1)=0,"",INDEX(B:B,(ROW()-2)*2+1))</f>
        <v/>
      </c>
    </row>
    <row r="148" spans="8:13">
      <c r="H148" s="141" t="str">
        <f t="shared" si="2"/>
        <v/>
      </c>
      <c r="I148" s="141" t="str" cm="1">
        <f t="array" ref="I148">IF(INDEX(C:C,(ROW()-2)*2+1)=0,"",INDEX(C:C,(ROW()-2)*2+1))</f>
        <v/>
      </c>
      <c r="J148" s="141" t="str" cm="1">
        <f t="array" ref="J148">IF(INDEX(D:D,(ROW()-2)*2+1)=0,"",INDEX(D:D,(ROW()-2)*2+1))</f>
        <v/>
      </c>
      <c r="K148" s="141" t="str" cm="1">
        <f t="array" ref="K148">IF(INDEX(F:F,(ROW()-2)*2+1)=0,"",INDEX(F:F,(ROW()-2)*2+1))</f>
        <v/>
      </c>
      <c r="L148" s="141" t="str" cm="1">
        <f t="array" ref="L148">IF(INDEX(E:E,(ROW()-2)*2+1)=0,"",INDEX(E:E,(ROW()-2)*2+1))</f>
        <v/>
      </c>
      <c r="M148" s="141" t="str" cm="1">
        <f t="array" ref="M148">IF(INDEX(B:B,(ROW()-2)*2+1)=0,"",INDEX(B:B,(ROW()-2)*2+1))</f>
        <v/>
      </c>
    </row>
    <row r="149" spans="8:13">
      <c r="H149" s="141" t="str">
        <f t="shared" si="2"/>
        <v/>
      </c>
      <c r="I149" s="141" t="str" cm="1">
        <f t="array" ref="I149">IF(INDEX(C:C,(ROW()-2)*2+1)=0,"",INDEX(C:C,(ROW()-2)*2+1))</f>
        <v/>
      </c>
      <c r="J149" s="141" t="str" cm="1">
        <f t="array" ref="J149">IF(INDEX(D:D,(ROW()-2)*2+1)=0,"",INDEX(D:D,(ROW()-2)*2+1))</f>
        <v/>
      </c>
      <c r="K149" s="141" t="str" cm="1">
        <f t="array" ref="K149">IF(INDEX(F:F,(ROW()-2)*2+1)=0,"",INDEX(F:F,(ROW()-2)*2+1))</f>
        <v/>
      </c>
      <c r="L149" s="141" t="str" cm="1">
        <f t="array" ref="L149">IF(INDEX(E:E,(ROW()-2)*2+1)=0,"",INDEX(E:E,(ROW()-2)*2+1))</f>
        <v/>
      </c>
      <c r="M149" s="141" t="str" cm="1">
        <f t="array" ref="M149">IF(INDEX(B:B,(ROW()-2)*2+1)=0,"",INDEX(B:B,(ROW()-2)*2+1))</f>
        <v/>
      </c>
    </row>
    <row r="150" spans="8:13">
      <c r="H150" s="141" t="str">
        <f t="shared" si="2"/>
        <v/>
      </c>
      <c r="I150" s="141" t="str" cm="1">
        <f t="array" ref="I150">IF(INDEX(C:C,(ROW()-2)*2+1)=0,"",INDEX(C:C,(ROW()-2)*2+1))</f>
        <v/>
      </c>
      <c r="J150" s="141" t="str" cm="1">
        <f t="array" ref="J150">IF(INDEX(D:D,(ROW()-2)*2+1)=0,"",INDEX(D:D,(ROW()-2)*2+1))</f>
        <v/>
      </c>
      <c r="K150" s="141" t="str" cm="1">
        <f t="array" ref="K150">IF(INDEX(F:F,(ROW()-2)*2+1)=0,"",INDEX(F:F,(ROW()-2)*2+1))</f>
        <v/>
      </c>
      <c r="L150" s="141" t="str" cm="1">
        <f t="array" ref="L150">IF(INDEX(E:E,(ROW()-2)*2+1)=0,"",INDEX(E:E,(ROW()-2)*2+1))</f>
        <v/>
      </c>
      <c r="M150" s="141" t="str" cm="1">
        <f t="array" ref="M150">IF(INDEX(B:B,(ROW()-2)*2+1)=0,"",INDEX(B:B,(ROW()-2)*2+1))</f>
        <v/>
      </c>
    </row>
    <row r="151" spans="8:13">
      <c r="H151" s="141" t="str">
        <f t="shared" si="2"/>
        <v/>
      </c>
      <c r="I151" s="141" t="str" cm="1">
        <f t="array" ref="I151">IF(INDEX(C:C,(ROW()-2)*2+1)=0,"",INDEX(C:C,(ROW()-2)*2+1))</f>
        <v/>
      </c>
      <c r="J151" s="141" t="str" cm="1">
        <f t="array" ref="J151">IF(INDEX(D:D,(ROW()-2)*2+1)=0,"",INDEX(D:D,(ROW()-2)*2+1))</f>
        <v/>
      </c>
      <c r="K151" s="141" t="str" cm="1">
        <f t="array" ref="K151">IF(INDEX(F:F,(ROW()-2)*2+1)=0,"",INDEX(F:F,(ROW()-2)*2+1))</f>
        <v/>
      </c>
      <c r="L151" s="141" t="str" cm="1">
        <f t="array" ref="L151">IF(INDEX(E:E,(ROW()-2)*2+1)=0,"",INDEX(E:E,(ROW()-2)*2+1))</f>
        <v/>
      </c>
      <c r="M151" s="141" t="str" cm="1">
        <f t="array" ref="M151">IF(INDEX(B:B,(ROW()-2)*2+1)=0,"",INDEX(B:B,(ROW()-2)*2+1))</f>
        <v/>
      </c>
    </row>
    <row r="152" spans="8:13">
      <c r="H152" s="141" t="str">
        <f t="shared" si="2"/>
        <v/>
      </c>
      <c r="I152" s="141" t="str" cm="1">
        <f t="array" ref="I152">IF(INDEX(C:C,(ROW()-2)*2+1)=0,"",INDEX(C:C,(ROW()-2)*2+1))</f>
        <v/>
      </c>
      <c r="J152" s="141" t="str" cm="1">
        <f t="array" ref="J152">IF(INDEX(D:D,(ROW()-2)*2+1)=0,"",INDEX(D:D,(ROW()-2)*2+1))</f>
        <v/>
      </c>
      <c r="K152" s="141" t="str" cm="1">
        <f t="array" ref="K152">IF(INDEX(F:F,(ROW()-2)*2+1)=0,"",INDEX(F:F,(ROW()-2)*2+1))</f>
        <v/>
      </c>
      <c r="L152" s="141" t="str" cm="1">
        <f t="array" ref="L152">IF(INDEX(E:E,(ROW()-2)*2+1)=0,"",INDEX(E:E,(ROW()-2)*2+1))</f>
        <v/>
      </c>
      <c r="M152" s="141" t="str" cm="1">
        <f t="array" ref="M152">IF(INDEX(B:B,(ROW()-2)*2+1)=0,"",INDEX(B:B,(ROW()-2)*2+1))</f>
        <v/>
      </c>
    </row>
    <row r="153" spans="8:13">
      <c r="H153" s="141" t="str">
        <f t="shared" si="2"/>
        <v/>
      </c>
      <c r="I153" s="141" t="str" cm="1">
        <f t="array" ref="I153">IF(INDEX(C:C,(ROW()-2)*2+1)=0,"",INDEX(C:C,(ROW()-2)*2+1))</f>
        <v/>
      </c>
      <c r="J153" s="141" t="str" cm="1">
        <f t="array" ref="J153">IF(INDEX(D:D,(ROW()-2)*2+1)=0,"",INDEX(D:D,(ROW()-2)*2+1))</f>
        <v/>
      </c>
      <c r="K153" s="141" t="str" cm="1">
        <f t="array" ref="K153">IF(INDEX(F:F,(ROW()-2)*2+1)=0,"",INDEX(F:F,(ROW()-2)*2+1))</f>
        <v/>
      </c>
      <c r="L153" s="141" t="str" cm="1">
        <f t="array" ref="L153">IF(INDEX(E:E,(ROW()-2)*2+1)=0,"",INDEX(E:E,(ROW()-2)*2+1))</f>
        <v/>
      </c>
      <c r="M153" s="141" t="str" cm="1">
        <f t="array" ref="M153">IF(INDEX(B:B,(ROW()-2)*2+1)=0,"",INDEX(B:B,(ROW()-2)*2+1))</f>
        <v/>
      </c>
    </row>
    <row r="154" spans="8:13">
      <c r="H154" s="141" t="str">
        <f t="shared" si="2"/>
        <v/>
      </c>
      <c r="I154" s="141" t="str" cm="1">
        <f t="array" ref="I154">IF(INDEX(C:C,(ROW()-2)*2+1)=0,"",INDEX(C:C,(ROW()-2)*2+1))</f>
        <v/>
      </c>
      <c r="J154" s="141" t="str" cm="1">
        <f t="array" ref="J154">IF(INDEX(D:D,(ROW()-2)*2+1)=0,"",INDEX(D:D,(ROW()-2)*2+1))</f>
        <v/>
      </c>
      <c r="K154" s="141" t="str" cm="1">
        <f t="array" ref="K154">IF(INDEX(F:F,(ROW()-2)*2+1)=0,"",INDEX(F:F,(ROW()-2)*2+1))</f>
        <v/>
      </c>
      <c r="L154" s="141" t="str" cm="1">
        <f t="array" ref="L154">IF(INDEX(E:E,(ROW()-2)*2+1)=0,"",INDEX(E:E,(ROW()-2)*2+1))</f>
        <v/>
      </c>
      <c r="M154" s="141" t="str" cm="1">
        <f t="array" ref="M154">IF(INDEX(B:B,(ROW()-2)*2+1)=0,"",INDEX(B:B,(ROW()-2)*2+1))</f>
        <v/>
      </c>
    </row>
    <row r="155" spans="8:13">
      <c r="H155" s="141" t="str">
        <f t="shared" si="2"/>
        <v/>
      </c>
      <c r="I155" s="141" t="str" cm="1">
        <f t="array" ref="I155">IF(INDEX(C:C,(ROW()-2)*2+1)=0,"",INDEX(C:C,(ROW()-2)*2+1))</f>
        <v/>
      </c>
      <c r="J155" s="141" t="str" cm="1">
        <f t="array" ref="J155">IF(INDEX(D:D,(ROW()-2)*2+1)=0,"",INDEX(D:D,(ROW()-2)*2+1))</f>
        <v/>
      </c>
      <c r="K155" s="141" t="str" cm="1">
        <f t="array" ref="K155">IF(INDEX(F:F,(ROW()-2)*2+1)=0,"",INDEX(F:F,(ROW()-2)*2+1))</f>
        <v/>
      </c>
      <c r="L155" s="141" t="str" cm="1">
        <f t="array" ref="L155">IF(INDEX(E:E,(ROW()-2)*2+1)=0,"",INDEX(E:E,(ROW()-2)*2+1))</f>
        <v/>
      </c>
      <c r="M155" s="141" t="str" cm="1">
        <f t="array" ref="M155">IF(INDEX(B:B,(ROW()-2)*2+1)=0,"",INDEX(B:B,(ROW()-2)*2+1))</f>
        <v/>
      </c>
    </row>
    <row r="156" spans="8:13">
      <c r="H156" s="141" t="str">
        <f t="shared" si="2"/>
        <v/>
      </c>
      <c r="I156" s="141" t="str" cm="1">
        <f t="array" ref="I156">IF(INDEX(C:C,(ROW()-2)*2+1)=0,"",INDEX(C:C,(ROW()-2)*2+1))</f>
        <v/>
      </c>
      <c r="J156" s="141" t="str" cm="1">
        <f t="array" ref="J156">IF(INDEX(D:D,(ROW()-2)*2+1)=0,"",INDEX(D:D,(ROW()-2)*2+1))</f>
        <v/>
      </c>
      <c r="K156" s="141" t="str" cm="1">
        <f t="array" ref="K156">IF(INDEX(F:F,(ROW()-2)*2+1)=0,"",INDEX(F:F,(ROW()-2)*2+1))</f>
        <v/>
      </c>
      <c r="L156" s="141" t="str" cm="1">
        <f t="array" ref="L156">IF(INDEX(E:E,(ROW()-2)*2+1)=0,"",INDEX(E:E,(ROW()-2)*2+1))</f>
        <v/>
      </c>
      <c r="M156" s="141" t="str" cm="1">
        <f t="array" ref="M156">IF(INDEX(B:B,(ROW()-2)*2+1)=0,"",INDEX(B:B,(ROW()-2)*2+1))</f>
        <v/>
      </c>
    </row>
    <row r="157" spans="8:13">
      <c r="H157" s="141" t="str">
        <f t="shared" si="2"/>
        <v/>
      </c>
      <c r="I157" s="141" t="str" cm="1">
        <f t="array" ref="I157">IF(INDEX(C:C,(ROW()-2)*2+1)=0,"",INDEX(C:C,(ROW()-2)*2+1))</f>
        <v/>
      </c>
      <c r="J157" s="141" t="str" cm="1">
        <f t="array" ref="J157">IF(INDEX(D:D,(ROW()-2)*2+1)=0,"",INDEX(D:D,(ROW()-2)*2+1))</f>
        <v/>
      </c>
      <c r="K157" s="141" t="str" cm="1">
        <f t="array" ref="K157">IF(INDEX(F:F,(ROW()-2)*2+1)=0,"",INDEX(F:F,(ROW()-2)*2+1))</f>
        <v/>
      </c>
      <c r="L157" s="141" t="str" cm="1">
        <f t="array" ref="L157">IF(INDEX(E:E,(ROW()-2)*2+1)=0,"",INDEX(E:E,(ROW()-2)*2+1))</f>
        <v/>
      </c>
      <c r="M157" s="141" t="str" cm="1">
        <f t="array" ref="M157">IF(INDEX(B:B,(ROW()-2)*2+1)=0,"",INDEX(B:B,(ROW()-2)*2+1))</f>
        <v/>
      </c>
    </row>
    <row r="158" spans="8:13">
      <c r="H158" s="141" t="str">
        <f t="shared" si="2"/>
        <v/>
      </c>
      <c r="I158" s="141" t="str" cm="1">
        <f t="array" ref="I158">IF(INDEX(C:C,(ROW()-2)*2+1)=0,"",INDEX(C:C,(ROW()-2)*2+1))</f>
        <v/>
      </c>
      <c r="J158" s="141" t="str" cm="1">
        <f t="array" ref="J158">IF(INDEX(D:D,(ROW()-2)*2+1)=0,"",INDEX(D:D,(ROW()-2)*2+1))</f>
        <v/>
      </c>
      <c r="K158" s="141" t="str" cm="1">
        <f t="array" ref="K158">IF(INDEX(F:F,(ROW()-2)*2+1)=0,"",INDEX(F:F,(ROW()-2)*2+1))</f>
        <v/>
      </c>
      <c r="L158" s="141" t="str" cm="1">
        <f t="array" ref="L158">IF(INDEX(E:E,(ROW()-2)*2+1)=0,"",INDEX(E:E,(ROW()-2)*2+1))</f>
        <v/>
      </c>
      <c r="M158" s="141" t="str" cm="1">
        <f t="array" ref="M158">IF(INDEX(B:B,(ROW()-2)*2+1)=0,"",INDEX(B:B,(ROW()-2)*2+1))</f>
        <v/>
      </c>
    </row>
    <row r="159" spans="8:13">
      <c r="H159" s="141" t="str">
        <f t="shared" si="2"/>
        <v/>
      </c>
      <c r="I159" s="141" t="str" cm="1">
        <f t="array" ref="I159">IF(INDEX(C:C,(ROW()-2)*2+1)=0,"",INDEX(C:C,(ROW()-2)*2+1))</f>
        <v/>
      </c>
      <c r="J159" s="141" t="str" cm="1">
        <f t="array" ref="J159">IF(INDEX(D:D,(ROW()-2)*2+1)=0,"",INDEX(D:D,(ROW()-2)*2+1))</f>
        <v/>
      </c>
      <c r="K159" s="141" t="str" cm="1">
        <f t="array" ref="K159">IF(INDEX(F:F,(ROW()-2)*2+1)=0,"",INDEX(F:F,(ROW()-2)*2+1))</f>
        <v/>
      </c>
      <c r="L159" s="141" t="str" cm="1">
        <f t="array" ref="L159">IF(INDEX(E:E,(ROW()-2)*2+1)=0,"",INDEX(E:E,(ROW()-2)*2+1))</f>
        <v/>
      </c>
      <c r="M159" s="141" t="str" cm="1">
        <f t="array" ref="M159">IF(INDEX(B:B,(ROW()-2)*2+1)=0,"",INDEX(B:B,(ROW()-2)*2+1))</f>
        <v/>
      </c>
    </row>
    <row r="160" spans="8:13">
      <c r="H160" s="141" t="str">
        <f t="shared" si="2"/>
        <v/>
      </c>
      <c r="I160" s="141" t="str" cm="1">
        <f t="array" ref="I160">IF(INDEX(C:C,(ROW()-2)*2+1)=0,"",INDEX(C:C,(ROW()-2)*2+1))</f>
        <v/>
      </c>
      <c r="J160" s="141" t="str" cm="1">
        <f t="array" ref="J160">IF(INDEX(D:D,(ROW()-2)*2+1)=0,"",INDEX(D:D,(ROW()-2)*2+1))</f>
        <v/>
      </c>
      <c r="K160" s="141" t="str" cm="1">
        <f t="array" ref="K160">IF(INDEX(F:F,(ROW()-2)*2+1)=0,"",INDEX(F:F,(ROW()-2)*2+1))</f>
        <v/>
      </c>
      <c r="L160" s="141" t="str" cm="1">
        <f t="array" ref="L160">IF(INDEX(E:E,(ROW()-2)*2+1)=0,"",INDEX(E:E,(ROW()-2)*2+1))</f>
        <v/>
      </c>
      <c r="M160" s="141" t="str" cm="1">
        <f t="array" ref="M160">IF(INDEX(B:B,(ROW()-2)*2+1)=0,"",INDEX(B:B,(ROW()-2)*2+1))</f>
        <v/>
      </c>
    </row>
    <row r="161" spans="8:13">
      <c r="H161" s="141" t="str">
        <f t="shared" si="2"/>
        <v/>
      </c>
      <c r="I161" s="141" t="str" cm="1">
        <f t="array" ref="I161">IF(INDEX(C:C,(ROW()-2)*2+1)=0,"",INDEX(C:C,(ROW()-2)*2+1))</f>
        <v/>
      </c>
      <c r="J161" s="141" t="str" cm="1">
        <f t="array" ref="J161">IF(INDEX(D:D,(ROW()-2)*2+1)=0,"",INDEX(D:D,(ROW()-2)*2+1))</f>
        <v/>
      </c>
      <c r="K161" s="141" t="str" cm="1">
        <f t="array" ref="K161">IF(INDEX(F:F,(ROW()-2)*2+1)=0,"",INDEX(F:F,(ROW()-2)*2+1))</f>
        <v/>
      </c>
      <c r="L161" s="141" t="str" cm="1">
        <f t="array" ref="L161">IF(INDEX(E:E,(ROW()-2)*2+1)=0,"",INDEX(E:E,(ROW()-2)*2+1))</f>
        <v/>
      </c>
      <c r="M161" s="141" t="str" cm="1">
        <f t="array" ref="M161">IF(INDEX(B:B,(ROW()-2)*2+1)=0,"",INDEX(B:B,(ROW()-2)*2+1))</f>
        <v/>
      </c>
    </row>
    <row r="162" spans="8:13">
      <c r="H162" s="141" t="str">
        <f t="shared" si="2"/>
        <v/>
      </c>
      <c r="I162" s="141" t="str" cm="1">
        <f t="array" ref="I162">IF(INDEX(C:C,(ROW()-2)*2+1)=0,"",INDEX(C:C,(ROW()-2)*2+1))</f>
        <v/>
      </c>
      <c r="J162" s="141" t="str" cm="1">
        <f t="array" ref="J162">IF(INDEX(D:D,(ROW()-2)*2+1)=0,"",INDEX(D:D,(ROW()-2)*2+1))</f>
        <v/>
      </c>
      <c r="K162" s="141" t="str" cm="1">
        <f t="array" ref="K162">IF(INDEX(F:F,(ROW()-2)*2+1)=0,"",INDEX(F:F,(ROW()-2)*2+1))</f>
        <v/>
      </c>
      <c r="L162" s="141" t="str" cm="1">
        <f t="array" ref="L162">IF(INDEX(E:E,(ROW()-2)*2+1)=0,"",INDEX(E:E,(ROW()-2)*2+1))</f>
        <v/>
      </c>
      <c r="M162" s="141" t="str" cm="1">
        <f t="array" ref="M162">IF(INDEX(B:B,(ROW()-2)*2+1)=0,"",INDEX(B:B,(ROW()-2)*2+1))</f>
        <v/>
      </c>
    </row>
    <row r="163" spans="8:13">
      <c r="H163" s="141" t="str">
        <f t="shared" si="2"/>
        <v/>
      </c>
      <c r="I163" s="141" t="str" cm="1">
        <f t="array" ref="I163">IF(INDEX(C:C,(ROW()-2)*2+1)=0,"",INDEX(C:C,(ROW()-2)*2+1))</f>
        <v/>
      </c>
      <c r="J163" s="141" t="str" cm="1">
        <f t="array" ref="J163">IF(INDEX(D:D,(ROW()-2)*2+1)=0,"",INDEX(D:D,(ROW()-2)*2+1))</f>
        <v/>
      </c>
      <c r="K163" s="141" t="str" cm="1">
        <f t="array" ref="K163">IF(INDEX(F:F,(ROW()-2)*2+1)=0,"",INDEX(F:F,(ROW()-2)*2+1))</f>
        <v/>
      </c>
      <c r="L163" s="141" t="str" cm="1">
        <f t="array" ref="L163">IF(INDEX(E:E,(ROW()-2)*2+1)=0,"",INDEX(E:E,(ROW()-2)*2+1))</f>
        <v/>
      </c>
      <c r="M163" s="141" t="str" cm="1">
        <f t="array" ref="M163">IF(INDEX(B:B,(ROW()-2)*2+1)=0,"",INDEX(B:B,(ROW()-2)*2+1))</f>
        <v/>
      </c>
    </row>
    <row r="164" spans="8:13">
      <c r="H164" s="141" t="str">
        <f t="shared" si="2"/>
        <v/>
      </c>
      <c r="I164" s="141" t="str" cm="1">
        <f t="array" ref="I164">IF(INDEX(C:C,(ROW()-2)*2+1)=0,"",INDEX(C:C,(ROW()-2)*2+1))</f>
        <v/>
      </c>
      <c r="J164" s="141" t="str" cm="1">
        <f t="array" ref="J164">IF(INDEX(D:D,(ROW()-2)*2+1)=0,"",INDEX(D:D,(ROW()-2)*2+1))</f>
        <v/>
      </c>
      <c r="K164" s="141" t="str" cm="1">
        <f t="array" ref="K164">IF(INDEX(F:F,(ROW()-2)*2+1)=0,"",INDEX(F:F,(ROW()-2)*2+1))</f>
        <v/>
      </c>
      <c r="L164" s="141" t="str" cm="1">
        <f t="array" ref="L164">IF(INDEX(E:E,(ROW()-2)*2+1)=0,"",INDEX(E:E,(ROW()-2)*2+1))</f>
        <v/>
      </c>
      <c r="M164" s="141" t="str" cm="1">
        <f t="array" ref="M164">IF(INDEX(B:B,(ROW()-2)*2+1)=0,"",INDEX(B:B,(ROW()-2)*2+1))</f>
        <v/>
      </c>
    </row>
    <row r="165" spans="8:13">
      <c r="H165" s="141" t="str">
        <f t="shared" si="2"/>
        <v/>
      </c>
      <c r="I165" s="141" t="str" cm="1">
        <f t="array" ref="I165">IF(INDEX(C:C,(ROW()-2)*2+1)=0,"",INDEX(C:C,(ROW()-2)*2+1))</f>
        <v/>
      </c>
      <c r="J165" s="141" t="str" cm="1">
        <f t="array" ref="J165">IF(INDEX(D:D,(ROW()-2)*2+1)=0,"",INDEX(D:D,(ROW()-2)*2+1))</f>
        <v/>
      </c>
      <c r="K165" s="141" t="str" cm="1">
        <f t="array" ref="K165">IF(INDEX(F:F,(ROW()-2)*2+1)=0,"",INDEX(F:F,(ROW()-2)*2+1))</f>
        <v/>
      </c>
      <c r="L165" s="141" t="str" cm="1">
        <f t="array" ref="L165">IF(INDEX(E:E,(ROW()-2)*2+1)=0,"",INDEX(E:E,(ROW()-2)*2+1))</f>
        <v/>
      </c>
      <c r="M165" s="141" t="str" cm="1">
        <f t="array" ref="M165">IF(INDEX(B:B,(ROW()-2)*2+1)=0,"",INDEX(B:B,(ROW()-2)*2+1))</f>
        <v/>
      </c>
    </row>
    <row r="166" spans="8:13">
      <c r="H166" s="141" t="str">
        <f t="shared" si="2"/>
        <v/>
      </c>
      <c r="I166" s="141" t="str" cm="1">
        <f t="array" ref="I166">IF(INDEX(C:C,(ROW()-2)*2+1)=0,"",INDEX(C:C,(ROW()-2)*2+1))</f>
        <v/>
      </c>
      <c r="J166" s="141" t="str" cm="1">
        <f t="array" ref="J166">IF(INDEX(D:D,(ROW()-2)*2+1)=0,"",INDEX(D:D,(ROW()-2)*2+1))</f>
        <v/>
      </c>
      <c r="K166" s="141" t="str" cm="1">
        <f t="array" ref="K166">IF(INDEX(F:F,(ROW()-2)*2+1)=0,"",INDEX(F:F,(ROW()-2)*2+1))</f>
        <v/>
      </c>
      <c r="L166" s="141" t="str" cm="1">
        <f t="array" ref="L166">IF(INDEX(E:E,(ROW()-2)*2+1)=0,"",INDEX(E:E,(ROW()-2)*2+1))</f>
        <v/>
      </c>
      <c r="M166" s="141" t="str" cm="1">
        <f t="array" ref="M166">IF(INDEX(B:B,(ROW()-2)*2+1)=0,"",INDEX(B:B,(ROW()-2)*2+1))</f>
        <v/>
      </c>
    </row>
    <row r="167" spans="8:13">
      <c r="H167" s="141" t="str">
        <f t="shared" si="2"/>
        <v/>
      </c>
      <c r="I167" s="141" t="str" cm="1">
        <f t="array" ref="I167">IF(INDEX(C:C,(ROW()-2)*2+1)=0,"",INDEX(C:C,(ROW()-2)*2+1))</f>
        <v/>
      </c>
      <c r="J167" s="141" t="str" cm="1">
        <f t="array" ref="J167">IF(INDEX(D:D,(ROW()-2)*2+1)=0,"",INDEX(D:D,(ROW()-2)*2+1))</f>
        <v/>
      </c>
      <c r="K167" s="141" t="str" cm="1">
        <f t="array" ref="K167">IF(INDEX(F:F,(ROW()-2)*2+1)=0,"",INDEX(F:F,(ROW()-2)*2+1))</f>
        <v/>
      </c>
      <c r="L167" s="141" t="str" cm="1">
        <f t="array" ref="L167">IF(INDEX(E:E,(ROW()-2)*2+1)=0,"",INDEX(E:E,(ROW()-2)*2+1))</f>
        <v/>
      </c>
      <c r="M167" s="141" t="str" cm="1">
        <f t="array" ref="M167">IF(INDEX(B:B,(ROW()-2)*2+1)=0,"",INDEX(B:B,(ROW()-2)*2+1))</f>
        <v/>
      </c>
    </row>
    <row r="168" spans="8:13">
      <c r="H168" s="141" t="str">
        <f t="shared" si="2"/>
        <v/>
      </c>
      <c r="I168" s="141" t="str" cm="1">
        <f t="array" ref="I168">IF(INDEX(C:C,(ROW()-2)*2+1)=0,"",INDEX(C:C,(ROW()-2)*2+1))</f>
        <v/>
      </c>
      <c r="J168" s="141" t="str" cm="1">
        <f t="array" ref="J168">IF(INDEX(D:D,(ROW()-2)*2+1)=0,"",INDEX(D:D,(ROW()-2)*2+1))</f>
        <v/>
      </c>
      <c r="K168" s="141" t="str" cm="1">
        <f t="array" ref="K168">IF(INDEX(F:F,(ROW()-2)*2+1)=0,"",INDEX(F:F,(ROW()-2)*2+1))</f>
        <v/>
      </c>
      <c r="L168" s="141" t="str" cm="1">
        <f t="array" ref="L168">IF(INDEX(E:E,(ROW()-2)*2+1)=0,"",INDEX(E:E,(ROW()-2)*2+1))</f>
        <v/>
      </c>
      <c r="M168" s="141" t="str" cm="1">
        <f t="array" ref="M168">IF(INDEX(B:B,(ROW()-2)*2+1)=0,"",INDEX(B:B,(ROW()-2)*2+1))</f>
        <v/>
      </c>
    </row>
    <row r="169" spans="8:13">
      <c r="H169" s="141" t="str">
        <f t="shared" si="2"/>
        <v/>
      </c>
      <c r="I169" s="141" t="str" cm="1">
        <f t="array" ref="I169">IF(INDEX(C:C,(ROW()-2)*2+1)=0,"",INDEX(C:C,(ROW()-2)*2+1))</f>
        <v/>
      </c>
      <c r="J169" s="141" t="str" cm="1">
        <f t="array" ref="J169">IF(INDEX(D:D,(ROW()-2)*2+1)=0,"",INDEX(D:D,(ROW()-2)*2+1))</f>
        <v/>
      </c>
      <c r="K169" s="141" t="str" cm="1">
        <f t="array" ref="K169">IF(INDEX(F:F,(ROW()-2)*2+1)=0,"",INDEX(F:F,(ROW()-2)*2+1))</f>
        <v/>
      </c>
      <c r="L169" s="141" t="str" cm="1">
        <f t="array" ref="L169">IF(INDEX(E:E,(ROW()-2)*2+1)=0,"",INDEX(E:E,(ROW()-2)*2+1))</f>
        <v/>
      </c>
      <c r="M169" s="141" t="str" cm="1">
        <f t="array" ref="M169">IF(INDEX(B:B,(ROW()-2)*2+1)=0,"",INDEX(B:B,(ROW()-2)*2+1))</f>
        <v/>
      </c>
    </row>
    <row r="170" spans="8:13">
      <c r="H170" s="141" t="str">
        <f t="shared" si="2"/>
        <v/>
      </c>
      <c r="I170" s="141" t="str" cm="1">
        <f t="array" ref="I170">IF(INDEX(C:C,(ROW()-2)*2+1)=0,"",INDEX(C:C,(ROW()-2)*2+1))</f>
        <v/>
      </c>
      <c r="J170" s="141" t="str" cm="1">
        <f t="array" ref="J170">IF(INDEX(D:D,(ROW()-2)*2+1)=0,"",INDEX(D:D,(ROW()-2)*2+1))</f>
        <v/>
      </c>
      <c r="K170" s="141" t="str" cm="1">
        <f t="array" ref="K170">IF(INDEX(F:F,(ROW()-2)*2+1)=0,"",INDEX(F:F,(ROW()-2)*2+1))</f>
        <v/>
      </c>
      <c r="L170" s="141" t="str" cm="1">
        <f t="array" ref="L170">IF(INDEX(E:E,(ROW()-2)*2+1)=0,"",INDEX(E:E,(ROW()-2)*2+1))</f>
        <v/>
      </c>
      <c r="M170" s="141" t="str" cm="1">
        <f t="array" ref="M170">IF(INDEX(B:B,(ROW()-2)*2+1)=0,"",INDEX(B:B,(ROW()-2)*2+1))</f>
        <v/>
      </c>
    </row>
    <row r="171" spans="8:13">
      <c r="H171" s="141" t="str">
        <f t="shared" si="2"/>
        <v/>
      </c>
      <c r="I171" s="141" t="str" cm="1">
        <f t="array" ref="I171">IF(INDEX(C:C,(ROW()-2)*2+1)=0,"",INDEX(C:C,(ROW()-2)*2+1))</f>
        <v/>
      </c>
      <c r="J171" s="141" t="str" cm="1">
        <f t="array" ref="J171">IF(INDEX(D:D,(ROW()-2)*2+1)=0,"",INDEX(D:D,(ROW()-2)*2+1))</f>
        <v/>
      </c>
      <c r="K171" s="141" t="str" cm="1">
        <f t="array" ref="K171">IF(INDEX(F:F,(ROW()-2)*2+1)=0,"",INDEX(F:F,(ROW()-2)*2+1))</f>
        <v/>
      </c>
      <c r="L171" s="141" t="str" cm="1">
        <f t="array" ref="L171">IF(INDEX(E:E,(ROW()-2)*2+1)=0,"",INDEX(E:E,(ROW()-2)*2+1))</f>
        <v/>
      </c>
      <c r="M171" s="141" t="str" cm="1">
        <f t="array" ref="M171">IF(INDEX(B:B,(ROW()-2)*2+1)=0,"",INDEX(B:B,(ROW()-2)*2+1))</f>
        <v/>
      </c>
    </row>
    <row r="172" spans="8:13">
      <c r="H172" s="141" t="str">
        <f t="shared" si="2"/>
        <v/>
      </c>
      <c r="I172" s="141" t="str" cm="1">
        <f t="array" ref="I172">IF(INDEX(C:C,(ROW()-2)*2+1)=0,"",INDEX(C:C,(ROW()-2)*2+1))</f>
        <v/>
      </c>
      <c r="J172" s="141" t="str" cm="1">
        <f t="array" ref="J172">IF(INDEX(D:D,(ROW()-2)*2+1)=0,"",INDEX(D:D,(ROW()-2)*2+1))</f>
        <v/>
      </c>
      <c r="K172" s="141" t="str" cm="1">
        <f t="array" ref="K172">IF(INDEX(F:F,(ROW()-2)*2+1)=0,"",INDEX(F:F,(ROW()-2)*2+1))</f>
        <v/>
      </c>
      <c r="L172" s="141" t="str" cm="1">
        <f t="array" ref="L172">IF(INDEX(E:E,(ROW()-2)*2+1)=0,"",INDEX(E:E,(ROW()-2)*2+1))</f>
        <v/>
      </c>
      <c r="M172" s="141" t="str" cm="1">
        <f t="array" ref="M172">IF(INDEX(B:B,(ROW()-2)*2+1)=0,"",INDEX(B:B,(ROW()-2)*2+1))</f>
        <v/>
      </c>
    </row>
    <row r="173" spans="8:13">
      <c r="H173" s="141" t="str">
        <f t="shared" si="2"/>
        <v/>
      </c>
      <c r="I173" s="141" t="str" cm="1">
        <f t="array" ref="I173">IF(INDEX(C:C,(ROW()-2)*2+1)=0,"",INDEX(C:C,(ROW()-2)*2+1))</f>
        <v/>
      </c>
      <c r="J173" s="141" t="str" cm="1">
        <f t="array" ref="J173">IF(INDEX(D:D,(ROW()-2)*2+1)=0,"",INDEX(D:D,(ROW()-2)*2+1))</f>
        <v/>
      </c>
      <c r="K173" s="141" t="str" cm="1">
        <f t="array" ref="K173">IF(INDEX(F:F,(ROW()-2)*2+1)=0,"",INDEX(F:F,(ROW()-2)*2+1))</f>
        <v/>
      </c>
      <c r="L173" s="141" t="str" cm="1">
        <f t="array" ref="L173">IF(INDEX(E:E,(ROW()-2)*2+1)=0,"",INDEX(E:E,(ROW()-2)*2+1))</f>
        <v/>
      </c>
      <c r="M173" s="141" t="str" cm="1">
        <f t="array" ref="M173">IF(INDEX(B:B,(ROW()-2)*2+1)=0,"",INDEX(B:B,(ROW()-2)*2+1))</f>
        <v/>
      </c>
    </row>
    <row r="174" spans="8:13">
      <c r="H174" s="141" t="str">
        <f t="shared" si="2"/>
        <v/>
      </c>
      <c r="I174" s="141" t="str" cm="1">
        <f t="array" ref="I174">IF(INDEX(C:C,(ROW()-2)*2+1)=0,"",INDEX(C:C,(ROW()-2)*2+1))</f>
        <v/>
      </c>
      <c r="J174" s="141" t="str" cm="1">
        <f t="array" ref="J174">IF(INDEX(D:D,(ROW()-2)*2+1)=0,"",INDEX(D:D,(ROW()-2)*2+1))</f>
        <v/>
      </c>
      <c r="K174" s="141" t="str" cm="1">
        <f t="array" ref="K174">IF(INDEX(F:F,(ROW()-2)*2+1)=0,"",INDEX(F:F,(ROW()-2)*2+1))</f>
        <v/>
      </c>
      <c r="L174" s="141" t="str" cm="1">
        <f t="array" ref="L174">IF(INDEX(E:E,(ROW()-2)*2+1)=0,"",INDEX(E:E,(ROW()-2)*2+1))</f>
        <v/>
      </c>
      <c r="M174" s="141" t="str" cm="1">
        <f t="array" ref="M174">IF(INDEX(B:B,(ROW()-2)*2+1)=0,"",INDEX(B:B,(ROW()-2)*2+1))</f>
        <v/>
      </c>
    </row>
    <row r="175" spans="8:13">
      <c r="H175" s="141" t="str">
        <f t="shared" si="2"/>
        <v/>
      </c>
      <c r="I175" s="141" t="str" cm="1">
        <f t="array" ref="I175">IF(INDEX(C:C,(ROW()-2)*2+1)=0,"",INDEX(C:C,(ROW()-2)*2+1))</f>
        <v/>
      </c>
      <c r="J175" s="141" t="str" cm="1">
        <f t="array" ref="J175">IF(INDEX(D:D,(ROW()-2)*2+1)=0,"",INDEX(D:D,(ROW()-2)*2+1))</f>
        <v/>
      </c>
      <c r="K175" s="141" t="str" cm="1">
        <f t="array" ref="K175">IF(INDEX(F:F,(ROW()-2)*2+1)=0,"",INDEX(F:F,(ROW()-2)*2+1))</f>
        <v/>
      </c>
      <c r="L175" s="141" t="str" cm="1">
        <f t="array" ref="L175">IF(INDEX(E:E,(ROW()-2)*2+1)=0,"",INDEX(E:E,(ROW()-2)*2+1))</f>
        <v/>
      </c>
      <c r="M175" s="141" t="str" cm="1">
        <f t="array" ref="M175">IF(INDEX(B:B,(ROW()-2)*2+1)=0,"",INDEX(B:B,(ROW()-2)*2+1))</f>
        <v/>
      </c>
    </row>
    <row r="176" spans="8:13">
      <c r="H176" s="141" t="str">
        <f t="shared" si="2"/>
        <v/>
      </c>
      <c r="I176" s="141" t="str" cm="1">
        <f t="array" ref="I176">IF(INDEX(C:C,(ROW()-2)*2+1)=0,"",INDEX(C:C,(ROW()-2)*2+1))</f>
        <v/>
      </c>
      <c r="J176" s="141" t="str" cm="1">
        <f t="array" ref="J176">IF(INDEX(D:D,(ROW()-2)*2+1)=0,"",INDEX(D:D,(ROW()-2)*2+1))</f>
        <v/>
      </c>
      <c r="K176" s="141" t="str" cm="1">
        <f t="array" ref="K176">IF(INDEX(F:F,(ROW()-2)*2+1)=0,"",INDEX(F:F,(ROW()-2)*2+1))</f>
        <v/>
      </c>
      <c r="L176" s="141" t="str" cm="1">
        <f t="array" ref="L176">IF(INDEX(E:E,(ROW()-2)*2+1)=0,"",INDEX(E:E,(ROW()-2)*2+1))</f>
        <v/>
      </c>
      <c r="M176" s="141" t="str" cm="1">
        <f t="array" ref="M176">IF(INDEX(B:B,(ROW()-2)*2+1)=0,"",INDEX(B:B,(ROW()-2)*2+1))</f>
        <v/>
      </c>
    </row>
    <row r="177" spans="8:13">
      <c r="H177" s="141" t="str">
        <f t="shared" si="2"/>
        <v/>
      </c>
      <c r="I177" s="141" t="str" cm="1">
        <f t="array" ref="I177">IF(INDEX(C:C,(ROW()-2)*2+1)=0,"",INDEX(C:C,(ROW()-2)*2+1))</f>
        <v/>
      </c>
      <c r="J177" s="141" t="str" cm="1">
        <f t="array" ref="J177">IF(INDEX(D:D,(ROW()-2)*2+1)=0,"",INDEX(D:D,(ROW()-2)*2+1))</f>
        <v/>
      </c>
      <c r="K177" s="141" t="str" cm="1">
        <f t="array" ref="K177">IF(INDEX(F:F,(ROW()-2)*2+1)=0,"",INDEX(F:F,(ROW()-2)*2+1))</f>
        <v/>
      </c>
      <c r="L177" s="141" t="str" cm="1">
        <f t="array" ref="L177">IF(INDEX(E:E,(ROW()-2)*2+1)=0,"",INDEX(E:E,(ROW()-2)*2+1))</f>
        <v/>
      </c>
      <c r="M177" s="141" t="str" cm="1">
        <f t="array" ref="M177">IF(INDEX(B:B,(ROW()-2)*2+1)=0,"",INDEX(B:B,(ROW()-2)*2+1))</f>
        <v/>
      </c>
    </row>
    <row r="178" spans="8:13">
      <c r="H178" s="141" t="str">
        <f t="shared" si="2"/>
        <v/>
      </c>
      <c r="I178" s="141" t="str" cm="1">
        <f t="array" ref="I178">IF(INDEX(C:C,(ROW()-2)*2+1)=0,"",INDEX(C:C,(ROW()-2)*2+1))</f>
        <v/>
      </c>
      <c r="J178" s="141" t="str" cm="1">
        <f t="array" ref="J178">IF(INDEX(D:D,(ROW()-2)*2+1)=0,"",INDEX(D:D,(ROW()-2)*2+1))</f>
        <v/>
      </c>
      <c r="K178" s="141" t="str" cm="1">
        <f t="array" ref="K178">IF(INDEX(F:F,(ROW()-2)*2+1)=0,"",INDEX(F:F,(ROW()-2)*2+1))</f>
        <v/>
      </c>
      <c r="L178" s="141" t="str" cm="1">
        <f t="array" ref="L178">IF(INDEX(E:E,(ROW()-2)*2+1)=0,"",INDEX(E:E,(ROW()-2)*2+1))</f>
        <v/>
      </c>
      <c r="M178" s="141" t="str" cm="1">
        <f t="array" ref="M178">IF(INDEX(B:B,(ROW()-2)*2+1)=0,"",INDEX(B:B,(ROW()-2)*2+1))</f>
        <v/>
      </c>
    </row>
    <row r="179" spans="8:13">
      <c r="H179" s="141" t="str">
        <f t="shared" si="2"/>
        <v/>
      </c>
      <c r="I179" s="141" t="str" cm="1">
        <f t="array" ref="I179">IF(INDEX(C:C,(ROW()-2)*2+1)=0,"",INDEX(C:C,(ROW()-2)*2+1))</f>
        <v/>
      </c>
      <c r="J179" s="141" t="str" cm="1">
        <f t="array" ref="J179">IF(INDEX(D:D,(ROW()-2)*2+1)=0,"",INDEX(D:D,(ROW()-2)*2+1))</f>
        <v/>
      </c>
      <c r="K179" s="141" t="str" cm="1">
        <f t="array" ref="K179">IF(INDEX(F:F,(ROW()-2)*2+1)=0,"",INDEX(F:F,(ROW()-2)*2+1))</f>
        <v/>
      </c>
      <c r="L179" s="141" t="str" cm="1">
        <f t="array" ref="L179">IF(INDEX(E:E,(ROW()-2)*2+1)=0,"",INDEX(E:E,(ROW()-2)*2+1))</f>
        <v/>
      </c>
      <c r="M179" s="141" t="str" cm="1">
        <f t="array" ref="M179">IF(INDEX(B:B,(ROW()-2)*2+1)=0,"",INDEX(B:B,(ROW()-2)*2+1))</f>
        <v/>
      </c>
    </row>
    <row r="180" spans="8:13">
      <c r="H180" s="141" t="str">
        <f t="shared" si="2"/>
        <v/>
      </c>
      <c r="I180" s="141" t="str" cm="1">
        <f t="array" ref="I180">IF(INDEX(C:C,(ROW()-2)*2+1)=0,"",INDEX(C:C,(ROW()-2)*2+1))</f>
        <v/>
      </c>
      <c r="J180" s="141" t="str" cm="1">
        <f t="array" ref="J180">IF(INDEX(D:D,(ROW()-2)*2+1)=0,"",INDEX(D:D,(ROW()-2)*2+1))</f>
        <v/>
      </c>
      <c r="K180" s="141" t="str" cm="1">
        <f t="array" ref="K180">IF(INDEX(F:F,(ROW()-2)*2+1)=0,"",INDEX(F:F,(ROW()-2)*2+1))</f>
        <v/>
      </c>
      <c r="L180" s="141" t="str" cm="1">
        <f t="array" ref="L180">IF(INDEX(E:E,(ROW()-2)*2+1)=0,"",INDEX(E:E,(ROW()-2)*2+1))</f>
        <v/>
      </c>
      <c r="M180" s="141" t="str" cm="1">
        <f t="array" ref="M180">IF(INDEX(B:B,(ROW()-2)*2+1)=0,"",INDEX(B:B,(ROW()-2)*2+1))</f>
        <v/>
      </c>
    </row>
    <row r="181" spans="8:13">
      <c r="H181" s="141" t="str">
        <f t="shared" si="2"/>
        <v/>
      </c>
      <c r="I181" s="141" t="str" cm="1">
        <f t="array" ref="I181">IF(INDEX(C:C,(ROW()-2)*2+1)=0,"",INDEX(C:C,(ROW()-2)*2+1))</f>
        <v/>
      </c>
      <c r="J181" s="141" t="str" cm="1">
        <f t="array" ref="J181">IF(INDEX(D:D,(ROW()-2)*2+1)=0,"",INDEX(D:D,(ROW()-2)*2+1))</f>
        <v/>
      </c>
      <c r="K181" s="141" t="str" cm="1">
        <f t="array" ref="K181">IF(INDEX(F:F,(ROW()-2)*2+1)=0,"",INDEX(F:F,(ROW()-2)*2+1))</f>
        <v/>
      </c>
      <c r="L181" s="141" t="str" cm="1">
        <f t="array" ref="L181">IF(INDEX(E:E,(ROW()-2)*2+1)=0,"",INDEX(E:E,(ROW()-2)*2+1))</f>
        <v/>
      </c>
      <c r="M181" s="141" t="str" cm="1">
        <f t="array" ref="M181">IF(INDEX(B:B,(ROW()-2)*2+1)=0,"",INDEX(B:B,(ROW()-2)*2+1))</f>
        <v/>
      </c>
    </row>
    <row r="182" spans="8:13">
      <c r="H182" s="141" t="str">
        <f t="shared" si="2"/>
        <v/>
      </c>
      <c r="I182" s="141" t="str" cm="1">
        <f t="array" ref="I182">IF(INDEX(C:C,(ROW()-2)*2+1)=0,"",INDEX(C:C,(ROW()-2)*2+1))</f>
        <v/>
      </c>
      <c r="J182" s="141" t="str" cm="1">
        <f t="array" ref="J182">IF(INDEX(D:D,(ROW()-2)*2+1)=0,"",INDEX(D:D,(ROW()-2)*2+1))</f>
        <v/>
      </c>
      <c r="K182" s="141" t="str" cm="1">
        <f t="array" ref="K182">IF(INDEX(F:F,(ROW()-2)*2+1)=0,"",INDEX(F:F,(ROW()-2)*2+1))</f>
        <v/>
      </c>
      <c r="L182" s="141" t="str" cm="1">
        <f t="array" ref="L182">IF(INDEX(E:E,(ROW()-2)*2+1)=0,"",INDEX(E:E,(ROW()-2)*2+1))</f>
        <v/>
      </c>
      <c r="M182" s="141" t="str" cm="1">
        <f t="array" ref="M182">IF(INDEX(B:B,(ROW()-2)*2+1)=0,"",INDEX(B:B,(ROW()-2)*2+1))</f>
        <v/>
      </c>
    </row>
    <row r="183" spans="8:13">
      <c r="H183" s="141" t="str">
        <f t="shared" si="2"/>
        <v/>
      </c>
      <c r="I183" s="141" t="str" cm="1">
        <f t="array" ref="I183">IF(INDEX(C:C,(ROW()-2)*2+1)=0,"",INDEX(C:C,(ROW()-2)*2+1))</f>
        <v/>
      </c>
      <c r="J183" s="141" t="str" cm="1">
        <f t="array" ref="J183">IF(INDEX(D:D,(ROW()-2)*2+1)=0,"",INDEX(D:D,(ROW()-2)*2+1))</f>
        <v/>
      </c>
      <c r="K183" s="141" t="str" cm="1">
        <f t="array" ref="K183">IF(INDEX(F:F,(ROW()-2)*2+1)=0,"",INDEX(F:F,(ROW()-2)*2+1))</f>
        <v/>
      </c>
      <c r="L183" s="141" t="str" cm="1">
        <f t="array" ref="L183">IF(INDEX(E:E,(ROW()-2)*2+1)=0,"",INDEX(E:E,(ROW()-2)*2+1))</f>
        <v/>
      </c>
      <c r="M183" s="141" t="str" cm="1">
        <f t="array" ref="M183">IF(INDEX(B:B,(ROW()-2)*2+1)=0,"",INDEX(B:B,(ROW()-2)*2+1))</f>
        <v/>
      </c>
    </row>
    <row r="184" spans="8:13">
      <c r="H184" s="141" t="str">
        <f t="shared" si="2"/>
        <v/>
      </c>
      <c r="I184" s="141" t="str" cm="1">
        <f t="array" ref="I184">IF(INDEX(C:C,(ROW()-2)*2+1)=0,"",INDEX(C:C,(ROW()-2)*2+1))</f>
        <v/>
      </c>
      <c r="J184" s="141" t="str" cm="1">
        <f t="array" ref="J184">IF(INDEX(D:D,(ROW()-2)*2+1)=0,"",INDEX(D:D,(ROW()-2)*2+1))</f>
        <v/>
      </c>
      <c r="K184" s="141" t="str" cm="1">
        <f t="array" ref="K184">IF(INDEX(F:F,(ROW()-2)*2+1)=0,"",INDEX(F:F,(ROW()-2)*2+1))</f>
        <v/>
      </c>
      <c r="L184" s="141" t="str" cm="1">
        <f t="array" ref="L184">IF(INDEX(E:E,(ROW()-2)*2+1)=0,"",INDEX(E:E,(ROW()-2)*2+1))</f>
        <v/>
      </c>
      <c r="M184" s="141" t="str" cm="1">
        <f t="array" ref="M184">IF(INDEX(B:B,(ROW()-2)*2+1)=0,"",INDEX(B:B,(ROW()-2)*2+1))</f>
        <v/>
      </c>
    </row>
    <row r="185" spans="8:13">
      <c r="H185" s="141" t="str">
        <f t="shared" si="2"/>
        <v/>
      </c>
      <c r="I185" s="141" t="str" cm="1">
        <f t="array" ref="I185">IF(INDEX(C:C,(ROW()-2)*2+1)=0,"",INDEX(C:C,(ROW()-2)*2+1))</f>
        <v/>
      </c>
      <c r="J185" s="141" t="str" cm="1">
        <f t="array" ref="J185">IF(INDEX(D:D,(ROW()-2)*2+1)=0,"",INDEX(D:D,(ROW()-2)*2+1))</f>
        <v/>
      </c>
      <c r="K185" s="141" t="str" cm="1">
        <f t="array" ref="K185">IF(INDEX(F:F,(ROW()-2)*2+1)=0,"",INDEX(F:F,(ROW()-2)*2+1))</f>
        <v/>
      </c>
      <c r="L185" s="141" t="str" cm="1">
        <f t="array" ref="L185">IF(INDEX(E:E,(ROW()-2)*2+1)=0,"",INDEX(E:E,(ROW()-2)*2+1))</f>
        <v/>
      </c>
      <c r="M185" s="141" t="str" cm="1">
        <f t="array" ref="M185">IF(INDEX(B:B,(ROW()-2)*2+1)=0,"",INDEX(B:B,(ROW()-2)*2+1))</f>
        <v/>
      </c>
    </row>
    <row r="186" spans="8:13">
      <c r="H186" s="141" t="str">
        <f t="shared" si="2"/>
        <v/>
      </c>
      <c r="I186" s="141" t="str" cm="1">
        <f t="array" ref="I186">IF(INDEX(C:C,(ROW()-2)*2+1)=0,"",INDEX(C:C,(ROW()-2)*2+1))</f>
        <v/>
      </c>
      <c r="J186" s="141" t="str" cm="1">
        <f t="array" ref="J186">IF(INDEX(D:D,(ROW()-2)*2+1)=0,"",INDEX(D:D,(ROW()-2)*2+1))</f>
        <v/>
      </c>
      <c r="K186" s="141" t="str" cm="1">
        <f t="array" ref="K186">IF(INDEX(F:F,(ROW()-2)*2+1)=0,"",INDEX(F:F,(ROW()-2)*2+1))</f>
        <v/>
      </c>
      <c r="L186" s="141" t="str" cm="1">
        <f t="array" ref="L186">IF(INDEX(E:E,(ROW()-2)*2+1)=0,"",INDEX(E:E,(ROW()-2)*2+1))</f>
        <v/>
      </c>
      <c r="M186" s="141" t="str" cm="1">
        <f t="array" ref="M186">IF(INDEX(B:B,(ROW()-2)*2+1)=0,"",INDEX(B:B,(ROW()-2)*2+1))</f>
        <v/>
      </c>
    </row>
    <row r="187" spans="8:13">
      <c r="H187" s="141" t="str">
        <f t="shared" si="2"/>
        <v/>
      </c>
      <c r="I187" s="141" t="str" cm="1">
        <f t="array" ref="I187">IF(INDEX(C:C,(ROW()-2)*2+1)=0,"",INDEX(C:C,(ROW()-2)*2+1))</f>
        <v/>
      </c>
      <c r="J187" s="141" t="str" cm="1">
        <f t="array" ref="J187">IF(INDEX(D:D,(ROW()-2)*2+1)=0,"",INDEX(D:D,(ROW()-2)*2+1))</f>
        <v/>
      </c>
      <c r="K187" s="141" t="str" cm="1">
        <f t="array" ref="K187">IF(INDEX(F:F,(ROW()-2)*2+1)=0,"",INDEX(F:F,(ROW()-2)*2+1))</f>
        <v/>
      </c>
      <c r="L187" s="141" t="str" cm="1">
        <f t="array" ref="L187">IF(INDEX(E:E,(ROW()-2)*2+1)=0,"",INDEX(E:E,(ROW()-2)*2+1))</f>
        <v/>
      </c>
      <c r="M187" s="141" t="str" cm="1">
        <f t="array" ref="M187">IF(INDEX(B:B,(ROW()-2)*2+1)=0,"",INDEX(B:B,(ROW()-2)*2+1))</f>
        <v/>
      </c>
    </row>
    <row r="188" spans="8:13">
      <c r="H188" s="141" t="str">
        <f t="shared" si="2"/>
        <v/>
      </c>
      <c r="I188" s="141" t="str" cm="1">
        <f t="array" ref="I188">IF(INDEX(C:C,(ROW()-2)*2+1)=0,"",INDEX(C:C,(ROW()-2)*2+1))</f>
        <v/>
      </c>
      <c r="J188" s="141" t="str" cm="1">
        <f t="array" ref="J188">IF(INDEX(D:D,(ROW()-2)*2+1)=0,"",INDEX(D:D,(ROW()-2)*2+1))</f>
        <v/>
      </c>
      <c r="K188" s="141" t="str" cm="1">
        <f t="array" ref="K188">IF(INDEX(F:F,(ROW()-2)*2+1)=0,"",INDEX(F:F,(ROW()-2)*2+1))</f>
        <v/>
      </c>
      <c r="L188" s="141" t="str" cm="1">
        <f t="array" ref="L188">IF(INDEX(E:E,(ROW()-2)*2+1)=0,"",INDEX(E:E,(ROW()-2)*2+1))</f>
        <v/>
      </c>
      <c r="M188" s="141" t="str" cm="1">
        <f t="array" ref="M188">IF(INDEX(B:B,(ROW()-2)*2+1)=0,"",INDEX(B:B,(ROW()-2)*2+1))</f>
        <v/>
      </c>
    </row>
    <row r="189" spans="8:13">
      <c r="H189" s="141" t="str">
        <f t="shared" si="2"/>
        <v/>
      </c>
      <c r="I189" s="141" t="str" cm="1">
        <f t="array" ref="I189">IF(INDEX(C:C,(ROW()-2)*2+1)=0,"",INDEX(C:C,(ROW()-2)*2+1))</f>
        <v/>
      </c>
      <c r="J189" s="141" t="str" cm="1">
        <f t="array" ref="J189">IF(INDEX(D:D,(ROW()-2)*2+1)=0,"",INDEX(D:D,(ROW()-2)*2+1))</f>
        <v/>
      </c>
      <c r="K189" s="141" t="str" cm="1">
        <f t="array" ref="K189">IF(INDEX(F:F,(ROW()-2)*2+1)=0,"",INDEX(F:F,(ROW()-2)*2+1))</f>
        <v/>
      </c>
      <c r="L189" s="141" t="str" cm="1">
        <f t="array" ref="L189">IF(INDEX(E:E,(ROW()-2)*2+1)=0,"",INDEX(E:E,(ROW()-2)*2+1))</f>
        <v/>
      </c>
      <c r="M189" s="141" t="str" cm="1">
        <f t="array" ref="M189">IF(INDEX(B:B,(ROW()-2)*2+1)=0,"",INDEX(B:B,(ROW()-2)*2+1))</f>
        <v/>
      </c>
    </row>
    <row r="190" spans="8:13">
      <c r="H190" s="141" t="str">
        <f t="shared" si="2"/>
        <v/>
      </c>
      <c r="I190" s="141" t="str" cm="1">
        <f t="array" ref="I190">IF(INDEX(C:C,(ROW()-2)*2+1)=0,"",INDEX(C:C,(ROW()-2)*2+1))</f>
        <v/>
      </c>
      <c r="J190" s="141" t="str" cm="1">
        <f t="array" ref="J190">IF(INDEX(D:D,(ROW()-2)*2+1)=0,"",INDEX(D:D,(ROW()-2)*2+1))</f>
        <v/>
      </c>
      <c r="K190" s="141" t="str" cm="1">
        <f t="array" ref="K190">IF(INDEX(F:F,(ROW()-2)*2+1)=0,"",INDEX(F:F,(ROW()-2)*2+1))</f>
        <v/>
      </c>
      <c r="L190" s="141" t="str" cm="1">
        <f t="array" ref="L190">IF(INDEX(E:E,(ROW()-2)*2+1)=0,"",INDEX(E:E,(ROW()-2)*2+1))</f>
        <v/>
      </c>
      <c r="M190" s="141" t="str" cm="1">
        <f t="array" ref="M190">IF(INDEX(B:B,(ROW()-2)*2+1)=0,"",INDEX(B:B,(ROW()-2)*2+1))</f>
        <v/>
      </c>
    </row>
    <row r="191" spans="8:13">
      <c r="H191" s="141" t="str">
        <f t="shared" si="2"/>
        <v/>
      </c>
      <c r="I191" s="141" t="str" cm="1">
        <f t="array" ref="I191">IF(INDEX(C:C,(ROW()-2)*2+1)=0,"",INDEX(C:C,(ROW()-2)*2+1))</f>
        <v/>
      </c>
      <c r="J191" s="141" t="str" cm="1">
        <f t="array" ref="J191">IF(INDEX(D:D,(ROW()-2)*2+1)=0,"",INDEX(D:D,(ROW()-2)*2+1))</f>
        <v/>
      </c>
      <c r="K191" s="141" t="str" cm="1">
        <f t="array" ref="K191">IF(INDEX(F:F,(ROW()-2)*2+1)=0,"",INDEX(F:F,(ROW()-2)*2+1))</f>
        <v/>
      </c>
      <c r="L191" s="141" t="str" cm="1">
        <f t="array" ref="L191">IF(INDEX(E:E,(ROW()-2)*2+1)=0,"",INDEX(E:E,(ROW()-2)*2+1))</f>
        <v/>
      </c>
      <c r="M191" s="141" t="str" cm="1">
        <f t="array" ref="M191">IF(INDEX(B:B,(ROW()-2)*2+1)=0,"",INDEX(B:B,(ROW()-2)*2+1))</f>
        <v/>
      </c>
    </row>
    <row r="192" spans="8:13">
      <c r="H192" s="141" t="str">
        <f t="shared" si="2"/>
        <v/>
      </c>
      <c r="I192" s="141" t="str" cm="1">
        <f t="array" ref="I192">IF(INDEX(C:C,(ROW()-2)*2+1)=0,"",INDEX(C:C,(ROW()-2)*2+1))</f>
        <v/>
      </c>
      <c r="J192" s="141" t="str" cm="1">
        <f t="array" ref="J192">IF(INDEX(D:D,(ROW()-2)*2+1)=0,"",INDEX(D:D,(ROW()-2)*2+1))</f>
        <v/>
      </c>
      <c r="K192" s="141" t="str" cm="1">
        <f t="array" ref="K192">IF(INDEX(F:F,(ROW()-2)*2+1)=0,"",INDEX(F:F,(ROW()-2)*2+1))</f>
        <v/>
      </c>
      <c r="L192" s="141" t="str" cm="1">
        <f t="array" ref="L192">IF(INDEX(E:E,(ROW()-2)*2+1)=0,"",INDEX(E:E,(ROW()-2)*2+1))</f>
        <v/>
      </c>
      <c r="M192" s="141" t="str" cm="1">
        <f t="array" ref="M192">IF(INDEX(B:B,(ROW()-2)*2+1)=0,"",INDEX(B:B,(ROW()-2)*2+1))</f>
        <v/>
      </c>
    </row>
    <row r="193" spans="8:13">
      <c r="H193" s="141" t="str">
        <f t="shared" si="2"/>
        <v/>
      </c>
      <c r="I193" s="141" t="str" cm="1">
        <f t="array" ref="I193">IF(INDEX(C:C,(ROW()-2)*2+1)=0,"",INDEX(C:C,(ROW()-2)*2+1))</f>
        <v/>
      </c>
      <c r="J193" s="141" t="str" cm="1">
        <f t="array" ref="J193">IF(INDEX(D:D,(ROW()-2)*2+1)=0,"",INDEX(D:D,(ROW()-2)*2+1))</f>
        <v/>
      </c>
      <c r="K193" s="141" t="str" cm="1">
        <f t="array" ref="K193">IF(INDEX(F:F,(ROW()-2)*2+1)=0,"",INDEX(F:F,(ROW()-2)*2+1))</f>
        <v/>
      </c>
      <c r="L193" s="141" t="str" cm="1">
        <f t="array" ref="L193">IF(INDEX(E:E,(ROW()-2)*2+1)=0,"",INDEX(E:E,(ROW()-2)*2+1))</f>
        <v/>
      </c>
      <c r="M193" s="141" t="str" cm="1">
        <f t="array" ref="M193">IF(INDEX(B:B,(ROW()-2)*2+1)=0,"",INDEX(B:B,(ROW()-2)*2+1))</f>
        <v/>
      </c>
    </row>
    <row r="194" spans="8:13">
      <c r="H194" s="141" t="str">
        <f t="shared" si="2"/>
        <v/>
      </c>
      <c r="I194" s="141" t="str" cm="1">
        <f t="array" ref="I194">IF(INDEX(C:C,(ROW()-2)*2+1)=0,"",INDEX(C:C,(ROW()-2)*2+1))</f>
        <v/>
      </c>
      <c r="J194" s="141" t="str" cm="1">
        <f t="array" ref="J194">IF(INDEX(D:D,(ROW()-2)*2+1)=0,"",INDEX(D:D,(ROW()-2)*2+1))</f>
        <v/>
      </c>
      <c r="K194" s="141" t="str" cm="1">
        <f t="array" ref="K194">IF(INDEX(F:F,(ROW()-2)*2+1)=0,"",INDEX(F:F,(ROW()-2)*2+1))</f>
        <v/>
      </c>
      <c r="L194" s="141" t="str" cm="1">
        <f t="array" ref="L194">IF(INDEX(E:E,(ROW()-2)*2+1)=0,"",INDEX(E:E,(ROW()-2)*2+1))</f>
        <v/>
      </c>
      <c r="M194" s="141" t="str" cm="1">
        <f t="array" ref="M194">IF(INDEX(B:B,(ROW()-2)*2+1)=0,"",INDEX(B:B,(ROW()-2)*2+1))</f>
        <v/>
      </c>
    </row>
    <row r="195" spans="8:13">
      <c r="H195" s="141" t="str">
        <f t="shared" si="2"/>
        <v/>
      </c>
      <c r="I195" s="141" t="str" cm="1">
        <f t="array" ref="I195">IF(INDEX(C:C,(ROW()-2)*2+1)=0,"",INDEX(C:C,(ROW()-2)*2+1))</f>
        <v/>
      </c>
      <c r="J195" s="141" t="str" cm="1">
        <f t="array" ref="J195">IF(INDEX(D:D,(ROW()-2)*2+1)=0,"",INDEX(D:D,(ROW()-2)*2+1))</f>
        <v/>
      </c>
      <c r="K195" s="141" t="str" cm="1">
        <f t="array" ref="K195">IF(INDEX(F:F,(ROW()-2)*2+1)=0,"",INDEX(F:F,(ROW()-2)*2+1))</f>
        <v/>
      </c>
      <c r="L195" s="141" t="str" cm="1">
        <f t="array" ref="L195">IF(INDEX(E:E,(ROW()-2)*2+1)=0,"",INDEX(E:E,(ROW()-2)*2+1))</f>
        <v/>
      </c>
      <c r="M195" s="141" t="str" cm="1">
        <f t="array" ref="M195">IF(INDEX(B:B,(ROW()-2)*2+1)=0,"",INDEX(B:B,(ROW()-2)*2+1))</f>
        <v/>
      </c>
    </row>
    <row r="196" spans="8:13">
      <c r="H196" s="141" t="str">
        <f t="shared" ref="H196:H201" si="3">IF(INDEX($A$3:$A$1000, (ROW(D196)-ROW($D$3))*5+3) = "", "", INDEX($A$3:$A$1000, (ROW(D196)-ROW($D$3))*5+3))</f>
        <v/>
      </c>
      <c r="I196" s="141" t="str" cm="1">
        <f t="array" ref="I196">IF(INDEX(C:C,(ROW()-2)*2+1)=0,"",INDEX(C:C,(ROW()-2)*2+1))</f>
        <v/>
      </c>
      <c r="J196" s="141" t="str" cm="1">
        <f t="array" ref="J196">IF(INDEX(D:D,(ROW()-2)*2+1)=0,"",INDEX(D:D,(ROW()-2)*2+1))</f>
        <v/>
      </c>
      <c r="K196" s="141" t="str" cm="1">
        <f t="array" ref="K196">IF(INDEX(F:F,(ROW()-2)*2+1)=0,"",INDEX(F:F,(ROW()-2)*2+1))</f>
        <v/>
      </c>
      <c r="L196" s="141" t="str" cm="1">
        <f t="array" ref="L196">IF(INDEX(E:E,(ROW()-2)*2+1)=0,"",INDEX(E:E,(ROW()-2)*2+1))</f>
        <v/>
      </c>
      <c r="M196" s="141" t="str" cm="1">
        <f t="array" ref="M196">IF(INDEX(B:B,(ROW()-2)*2+1)=0,"",INDEX(B:B,(ROW()-2)*2+1))</f>
        <v/>
      </c>
    </row>
    <row r="197" spans="8:13">
      <c r="H197" s="141" t="str">
        <f t="shared" si="3"/>
        <v/>
      </c>
      <c r="I197" s="141" t="str" cm="1">
        <f t="array" ref="I197">IF(INDEX(C:C,(ROW()-2)*2+1)=0,"",INDEX(C:C,(ROW()-2)*2+1))</f>
        <v/>
      </c>
      <c r="J197" s="141" t="str" cm="1">
        <f t="array" ref="J197">IF(INDEX(D:D,(ROW()-2)*2+1)=0,"",INDEX(D:D,(ROW()-2)*2+1))</f>
        <v/>
      </c>
      <c r="K197" s="141" t="str" cm="1">
        <f t="array" ref="K197">IF(INDEX(F:F,(ROW()-2)*2+1)=0,"",INDEX(F:F,(ROW()-2)*2+1))</f>
        <v/>
      </c>
      <c r="L197" s="141" t="str" cm="1">
        <f t="array" ref="L197">IF(INDEX(E:E,(ROW()-2)*2+1)=0,"",INDEX(E:E,(ROW()-2)*2+1))</f>
        <v/>
      </c>
      <c r="M197" s="141" t="str" cm="1">
        <f t="array" ref="M197">IF(INDEX(B:B,(ROW()-2)*2+1)=0,"",INDEX(B:B,(ROW()-2)*2+1))</f>
        <v/>
      </c>
    </row>
    <row r="198" spans="8:13">
      <c r="H198" s="141" t="str">
        <f t="shared" si="3"/>
        <v/>
      </c>
      <c r="I198" s="141" t="str" cm="1">
        <f t="array" ref="I198">IF(INDEX(C:C,(ROW()-2)*2+1)=0,"",INDEX(C:C,(ROW()-2)*2+1))</f>
        <v/>
      </c>
      <c r="J198" s="141" t="str" cm="1">
        <f t="array" ref="J198">IF(INDEX(D:D,(ROW()-2)*2+1)=0,"",INDEX(D:D,(ROW()-2)*2+1))</f>
        <v/>
      </c>
      <c r="K198" s="141" t="str" cm="1">
        <f t="array" ref="K198">IF(INDEX(F:F,(ROW()-2)*2+1)=0,"",INDEX(F:F,(ROW()-2)*2+1))</f>
        <v/>
      </c>
      <c r="L198" s="141" t="str" cm="1">
        <f t="array" ref="L198">IF(INDEX(E:E,(ROW()-2)*2+1)=0,"",INDEX(E:E,(ROW()-2)*2+1))</f>
        <v/>
      </c>
      <c r="M198" s="141" t="str" cm="1">
        <f t="array" ref="M198">IF(INDEX(B:B,(ROW()-2)*2+1)=0,"",INDEX(B:B,(ROW()-2)*2+1))</f>
        <v/>
      </c>
    </row>
    <row r="199" spans="8:13">
      <c r="H199" s="141" t="str">
        <f t="shared" si="3"/>
        <v/>
      </c>
      <c r="I199" s="141" t="str" cm="1">
        <f t="array" ref="I199">IF(INDEX(C:C,(ROW()-2)*2+1)=0,"",INDEX(C:C,(ROW()-2)*2+1))</f>
        <v/>
      </c>
      <c r="J199" s="141" t="str" cm="1">
        <f t="array" ref="J199">IF(INDEX(D:D,(ROW()-2)*2+1)=0,"",INDEX(D:D,(ROW()-2)*2+1))</f>
        <v/>
      </c>
      <c r="K199" s="141" t="str" cm="1">
        <f t="array" ref="K199">IF(INDEX(F:F,(ROW()-2)*2+1)=0,"",INDEX(F:F,(ROW()-2)*2+1))</f>
        <v/>
      </c>
      <c r="L199" s="141" t="str" cm="1">
        <f t="array" ref="L199">IF(INDEX(E:E,(ROW()-2)*2+1)=0,"",INDEX(E:E,(ROW()-2)*2+1))</f>
        <v/>
      </c>
      <c r="M199" s="141" t="str" cm="1">
        <f t="array" ref="M199">IF(INDEX(B:B,(ROW()-2)*2+1)=0,"",INDEX(B:B,(ROW()-2)*2+1))</f>
        <v/>
      </c>
    </row>
    <row r="200" spans="8:13">
      <c r="H200" s="141" t="str">
        <f t="shared" si="3"/>
        <v/>
      </c>
      <c r="I200" s="141" t="str" cm="1">
        <f t="array" ref="I200">IF(INDEX(C:C,(ROW()-2)*2+1)=0,"",INDEX(C:C,(ROW()-2)*2+1))</f>
        <v/>
      </c>
      <c r="J200" s="141" t="str" cm="1">
        <f t="array" ref="J200">IF(INDEX(D:D,(ROW()-2)*2+1)=0,"",INDEX(D:D,(ROW()-2)*2+1))</f>
        <v/>
      </c>
      <c r="K200" s="141" t="str" cm="1">
        <f t="array" ref="K200">IF(INDEX(F:F,(ROW()-2)*2+1)=0,"",INDEX(F:F,(ROW()-2)*2+1))</f>
        <v/>
      </c>
      <c r="L200" s="141" t="str" cm="1">
        <f t="array" ref="L200">IF(INDEX(E:E,(ROW()-2)*2+1)=0,"",INDEX(E:E,(ROW()-2)*2+1))</f>
        <v/>
      </c>
      <c r="M200" s="141" t="str" cm="1">
        <f t="array" ref="M200">IF(INDEX(B:B,(ROW()-2)*2+1)=0,"",INDEX(B:B,(ROW()-2)*2+1))</f>
        <v/>
      </c>
    </row>
    <row r="201" spans="8:13">
      <c r="H201" s="141" t="str">
        <f t="shared" si="3"/>
        <v/>
      </c>
      <c r="I201" s="141" t="str" cm="1">
        <f t="array" ref="I201">IF(INDEX(C:C,(ROW()-2)*2+1)=0,"",INDEX(C:C,(ROW()-2)*2+1))</f>
        <v/>
      </c>
      <c r="J201" s="141" t="str" cm="1">
        <f t="array" ref="J201">IF(INDEX(D:D,(ROW()-2)*2+1)=0,"",INDEX(D:D,(ROW()-2)*2+1))</f>
        <v/>
      </c>
      <c r="K201" s="141" t="str" cm="1">
        <f t="array" ref="K201">IF(INDEX(F:F,(ROW()-2)*2+1)=0,"",INDEX(F:F,(ROW()-2)*2+1))</f>
        <v/>
      </c>
      <c r="L201" s="141" t="str" cm="1">
        <f t="array" ref="L201">IF(INDEX(E:E,(ROW()-2)*2+1)=0,"",INDEX(E:E,(ROW()-2)*2+1))</f>
        <v/>
      </c>
      <c r="M201" s="141" t="str" cm="1">
        <f t="array" ref="M201">IF(INDEX(B:B,(ROW()-2)*2+1)=0,"",INDEX(B:B,(ROW()-2)*2+1))</f>
        <v/>
      </c>
    </row>
    <row r="202" spans="8:13">
      <c r="H202" s="141"/>
      <c r="I202" s="141"/>
      <c r="J202" s="141"/>
      <c r="K202" s="141"/>
      <c r="L202" s="141"/>
      <c r="M202" s="141"/>
    </row>
  </sheetData>
  <protectedRanges>
    <protectedRange sqref="N2" name="INPUT LIABILITIES_1_3_1"/>
  </protectedRanges>
  <conditionalFormatting sqref="N2">
    <cfRule type="cellIs" dxfId="77" priority="3" operator="equal">
      <formula>"YES"</formula>
    </cfRule>
  </conditionalFormatting>
  <conditionalFormatting sqref="N3">
    <cfRule type="cellIs" dxfId="76" priority="2" operator="equal">
      <formula>"YES"</formula>
    </cfRule>
  </conditionalFormatting>
  <conditionalFormatting sqref="N4:N60">
    <cfRule type="cellIs" dxfId="75" priority="1" operator="equal">
      <formula>"YES"</formula>
    </cfRule>
  </conditionalFormatting>
  <dataValidations count="1">
    <dataValidation type="list" allowBlank="1" showInputMessage="1" showErrorMessage="1" sqref="N3:N60" xr:uid="{4374BC01-F6EE-43C8-BE3F-429489688705}">
      <formula1>"YES,NO"</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PasteRCPre">
                <anchor moveWithCells="1" sizeWithCells="1">
                  <from>
                    <xdr:col>8</xdr:col>
                    <xdr:colOff>38100</xdr:colOff>
                    <xdr:row>0</xdr:row>
                    <xdr:rowOff>38100</xdr:rowOff>
                  </from>
                  <to>
                    <xdr:col>13</xdr:col>
                    <xdr:colOff>731520</xdr:colOff>
                    <xdr:row>0</xdr:row>
                    <xdr:rowOff>594360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tabColor rgb="FFFFC000"/>
  </sheetPr>
  <dimension ref="A1:N272"/>
  <sheetViews>
    <sheetView showGridLines="0" zoomScaleNormal="100" workbookViewId="0">
      <selection activeCell="C256" sqref="C256:E256"/>
    </sheetView>
  </sheetViews>
  <sheetFormatPr defaultRowHeight="14.4"/>
  <cols>
    <col min="1" max="1" width="8" customWidth="1"/>
    <col min="2" max="2" width="1.88671875" customWidth="1"/>
    <col min="3" max="4" width="8" customWidth="1"/>
    <col min="5" max="5" width="17.88671875" customWidth="1"/>
    <col min="6" max="6" width="6.88671875" customWidth="1"/>
    <col min="7" max="7" width="9" customWidth="1"/>
    <col min="8" max="8" width="15.33203125" customWidth="1"/>
    <col min="9" max="9" width="1.5546875" customWidth="1"/>
  </cols>
  <sheetData>
    <row r="1" spans="1:14" ht="69" customHeight="1"/>
    <row r="2" spans="1:14">
      <c r="A2" s="107"/>
      <c r="B2" s="107"/>
      <c r="C2" s="107"/>
      <c r="D2" s="107"/>
      <c r="E2" s="107"/>
      <c r="F2" s="107"/>
      <c r="G2" s="107"/>
      <c r="H2" s="107"/>
      <c r="I2" s="107"/>
      <c r="J2" s="107"/>
      <c r="K2" s="107"/>
      <c r="L2" s="107"/>
      <c r="M2" s="107"/>
      <c r="N2" s="107"/>
    </row>
    <row r="3" spans="1:14" ht="12" customHeight="1">
      <c r="A3" s="107"/>
      <c r="B3" s="107"/>
      <c r="C3" s="107"/>
      <c r="D3" s="107"/>
      <c r="E3" s="107"/>
      <c r="F3" s="107"/>
      <c r="G3" s="107"/>
      <c r="H3" s="107"/>
      <c r="I3" s="107"/>
      <c r="J3" s="107"/>
      <c r="K3" s="107"/>
      <c r="L3" s="107"/>
      <c r="M3" s="107"/>
      <c r="N3" s="107"/>
    </row>
    <row r="4" spans="1:14" ht="12" customHeight="1">
      <c r="A4" s="107"/>
      <c r="B4" s="107"/>
      <c r="C4" s="107"/>
      <c r="D4" s="107"/>
      <c r="E4" s="107"/>
      <c r="F4" s="107"/>
      <c r="G4" s="107"/>
      <c r="H4" s="107"/>
      <c r="I4" s="107"/>
      <c r="J4" s="107"/>
      <c r="K4" s="107"/>
      <c r="L4" s="107"/>
      <c r="M4" s="107"/>
      <c r="N4" s="107"/>
    </row>
    <row r="5" spans="1:14" ht="12" customHeight="1" thickBot="1">
      <c r="A5" s="107"/>
      <c r="B5" s="107"/>
      <c r="C5" s="107"/>
      <c r="D5" s="107"/>
      <c r="E5" s="107"/>
      <c r="F5" s="107"/>
      <c r="G5" s="107"/>
      <c r="H5" s="107"/>
      <c r="I5" s="107"/>
      <c r="J5" s="107"/>
      <c r="K5" s="107"/>
      <c r="L5" s="107"/>
      <c r="M5" s="107"/>
      <c r="N5" s="107"/>
    </row>
    <row r="6" spans="1:14" ht="6.75" customHeight="1">
      <c r="A6" s="107"/>
      <c r="B6" s="192"/>
      <c r="C6" s="193"/>
      <c r="D6" s="193"/>
      <c r="E6" s="193"/>
      <c r="F6" s="193"/>
      <c r="G6" s="193"/>
      <c r="H6" s="193"/>
      <c r="I6" s="194"/>
      <c r="J6" s="107"/>
      <c r="K6" s="107"/>
      <c r="L6" s="107"/>
      <c r="M6" s="107"/>
      <c r="N6" s="107"/>
    </row>
    <row r="7" spans="1:14" ht="15" customHeight="1">
      <c r="A7" s="107"/>
      <c r="B7" s="195"/>
      <c r="C7" s="107"/>
      <c r="D7" s="107"/>
      <c r="E7" s="107"/>
      <c r="F7" s="107"/>
      <c r="G7" s="107"/>
      <c r="H7" s="107"/>
      <c r="I7" s="196"/>
      <c r="J7" s="107"/>
      <c r="K7" s="107"/>
      <c r="L7" s="107"/>
      <c r="M7" s="107"/>
      <c r="N7" s="107"/>
    </row>
    <row r="8" spans="1:14" ht="15" customHeight="1">
      <c r="A8" s="107"/>
      <c r="B8" s="195"/>
      <c r="C8" s="107"/>
      <c r="D8" s="107"/>
      <c r="E8" s="107"/>
      <c r="F8" s="107"/>
      <c r="G8" s="107"/>
      <c r="H8" s="107"/>
      <c r="I8" s="196"/>
      <c r="J8" s="107"/>
      <c r="K8" s="107"/>
      <c r="L8" s="107"/>
      <c r="M8" s="107"/>
      <c r="N8" s="107"/>
    </row>
    <row r="9" spans="1:14" ht="3.75" customHeight="1">
      <c r="A9" s="107"/>
      <c r="B9" s="195"/>
      <c r="C9" s="107"/>
      <c r="D9" s="107"/>
      <c r="E9" s="107"/>
      <c r="F9" s="107"/>
      <c r="G9" s="107"/>
      <c r="H9" s="107"/>
      <c r="I9" s="196"/>
      <c r="J9" s="107"/>
      <c r="K9" s="107"/>
      <c r="L9" s="107"/>
      <c r="M9" s="107"/>
      <c r="N9" s="107"/>
    </row>
    <row r="10" spans="1:14" ht="19.5" customHeight="1">
      <c r="A10" s="107"/>
      <c r="B10" s="195"/>
      <c r="C10" s="308"/>
      <c r="D10" s="308"/>
      <c r="E10" s="308"/>
      <c r="F10" s="308"/>
      <c r="G10" s="309">
        <f>H258</f>
        <v>6097.29</v>
      </c>
      <c r="H10" s="309"/>
      <c r="I10" s="202"/>
      <c r="J10" s="31"/>
      <c r="K10" s="31"/>
      <c r="L10" s="31"/>
      <c r="M10" s="31"/>
      <c r="N10" s="107"/>
    </row>
    <row r="11" spans="1:14" ht="19.5" customHeight="1">
      <c r="A11" s="107"/>
      <c r="B11" s="195"/>
      <c r="C11" s="308"/>
      <c r="D11" s="308"/>
      <c r="E11" s="308"/>
      <c r="F11" s="308"/>
      <c r="G11" s="309"/>
      <c r="H11" s="309"/>
      <c r="I11" s="202"/>
      <c r="J11" s="31"/>
      <c r="K11" s="31"/>
      <c r="L11" s="31"/>
      <c r="M11" s="31"/>
      <c r="N11" s="107"/>
    </row>
    <row r="12" spans="1:14" ht="19.5" customHeight="1">
      <c r="A12" s="107"/>
      <c r="B12" s="195"/>
      <c r="C12" s="308"/>
      <c r="D12" s="308"/>
      <c r="E12" s="308"/>
      <c r="F12" s="308"/>
      <c r="G12" s="107"/>
      <c r="H12" s="107"/>
      <c r="I12" s="196"/>
      <c r="J12" s="31"/>
      <c r="K12" s="31"/>
      <c r="L12" s="31"/>
      <c r="M12" s="31"/>
      <c r="N12" s="107"/>
    </row>
    <row r="13" spans="1:14" ht="19.5" customHeight="1">
      <c r="A13" s="107"/>
      <c r="B13" s="195"/>
      <c r="C13" s="308"/>
      <c r="D13" s="308"/>
      <c r="E13" s="308"/>
      <c r="F13" s="308"/>
      <c r="G13" s="107"/>
      <c r="H13" s="107"/>
      <c r="I13" s="196"/>
      <c r="J13" s="31"/>
      <c r="K13" s="31"/>
      <c r="L13" s="31"/>
      <c r="M13" s="31"/>
      <c r="N13" s="107"/>
    </row>
    <row r="14" spans="1:14" ht="3" customHeight="1">
      <c r="A14" s="107"/>
      <c r="B14" s="195"/>
      <c r="C14" s="107"/>
      <c r="D14" s="107"/>
      <c r="E14" s="107"/>
      <c r="F14" s="107"/>
      <c r="G14" s="107"/>
      <c r="H14" s="107"/>
      <c r="I14" s="196"/>
      <c r="J14" s="31"/>
      <c r="K14" s="31"/>
      <c r="L14" s="31"/>
      <c r="M14" s="31"/>
      <c r="N14" s="107"/>
    </row>
    <row r="15" spans="1:14" ht="19.5" customHeight="1">
      <c r="A15" s="107"/>
      <c r="B15" s="195"/>
      <c r="C15" s="107"/>
      <c r="D15" s="107"/>
      <c r="E15" s="107"/>
      <c r="F15" s="107"/>
      <c r="G15" s="107"/>
      <c r="H15" s="107"/>
      <c r="I15" s="196"/>
      <c r="J15" s="31"/>
      <c r="K15" s="31"/>
      <c r="L15" s="31"/>
      <c r="M15" s="31"/>
      <c r="N15" s="107"/>
    </row>
    <row r="16" spans="1:14" ht="19.5" customHeight="1" thickBot="1">
      <c r="A16" s="107"/>
      <c r="B16" s="197"/>
      <c r="C16" s="198"/>
      <c r="D16" s="198"/>
      <c r="E16" s="198"/>
      <c r="F16" s="198"/>
      <c r="G16" s="198"/>
      <c r="H16" s="198"/>
      <c r="I16" s="199"/>
      <c r="J16" s="31"/>
      <c r="K16" s="31"/>
      <c r="L16" s="31"/>
      <c r="M16" s="31"/>
      <c r="N16" s="107"/>
    </row>
    <row r="17" spans="1:14" ht="19.5" hidden="1" customHeight="1">
      <c r="A17" s="107"/>
      <c r="B17" s="195"/>
      <c r="C17" s="310" t="str">
        <f>IF(ISBLANK('Lending Pad 2021 Credit'!R4)," ",'Lending Pad 2021 Credit'!R4)</f>
        <v xml:space="preserve"> </v>
      </c>
      <c r="D17" s="310"/>
      <c r="E17" s="310"/>
      <c r="F17" s="311" t="str">
        <f>IF(ISBLANK('Lending Pad 2021 Credit'!U4)," ",'Lending Pad 2021 Credit'!U4)</f>
        <v xml:space="preserve"> </v>
      </c>
      <c r="G17" s="312"/>
      <c r="H17" s="191" t="str">
        <f>IF(ISBLANK('Lending Pad 2021 Credit'!V4)," ",'Lending Pad 2021 Credit'!V4)</f>
        <v xml:space="preserve"> </v>
      </c>
      <c r="I17" s="196"/>
      <c r="J17" s="31"/>
      <c r="K17" s="31"/>
      <c r="L17" s="31"/>
      <c r="M17" s="31"/>
      <c r="N17" s="107"/>
    </row>
    <row r="18" spans="1:14" ht="14.25" hidden="1" customHeight="1">
      <c r="A18" s="107"/>
      <c r="B18" s="195"/>
      <c r="C18" s="301" t="str">
        <f>IF(ISBLANK('Lending Pad 2021 Credit'!R5)," ",'Lending Pad 2021 Credit'!R5)</f>
        <v xml:space="preserve"> </v>
      </c>
      <c r="D18" s="301"/>
      <c r="E18" s="301"/>
      <c r="F18" s="299" t="str">
        <f>IF(ISBLANK('Lending Pad 2021 Credit'!U5)," ",'Lending Pad 2021 Credit'!U5)</f>
        <v xml:space="preserve"> </v>
      </c>
      <c r="G18" s="300"/>
      <c r="H18" s="108" t="str">
        <f>IF(ISBLANK('Lending Pad 2021 Credit'!V5)," ",'Lending Pad 2021 Credit'!V5)</f>
        <v xml:space="preserve"> </v>
      </c>
      <c r="I18" s="196"/>
      <c r="J18" s="107"/>
      <c r="K18" s="107"/>
      <c r="L18" s="107"/>
      <c r="M18" s="107"/>
      <c r="N18" s="107"/>
    </row>
    <row r="19" spans="1:14" ht="15" hidden="1" customHeight="1">
      <c r="A19" s="107"/>
      <c r="B19" s="195"/>
      <c r="C19" s="301" t="str">
        <f>IF(ISBLANK('Lending Pad 2021 Credit'!R6)," ",'Lending Pad 2021 Credit'!R6)</f>
        <v xml:space="preserve"> </v>
      </c>
      <c r="D19" s="301"/>
      <c r="E19" s="301"/>
      <c r="F19" s="299" t="str">
        <f>IF(ISBLANK('Lending Pad 2021 Credit'!U6)," ",'Lending Pad 2021 Credit'!U6)</f>
        <v xml:space="preserve"> </v>
      </c>
      <c r="G19" s="300"/>
      <c r="H19" s="108" t="str">
        <f>IF(ISBLANK('Lending Pad 2021 Credit'!V6)," ",'Lending Pad 2021 Credit'!V6)</f>
        <v xml:space="preserve"> </v>
      </c>
      <c r="I19" s="196"/>
      <c r="J19" s="107"/>
      <c r="K19" s="107"/>
      <c r="L19" s="107"/>
      <c r="M19" s="107"/>
      <c r="N19" s="107"/>
    </row>
    <row r="20" spans="1:14" ht="15" hidden="1" customHeight="1">
      <c r="A20" s="107"/>
      <c r="B20" s="195"/>
      <c r="C20" s="301" t="str">
        <f>IF(ISBLANK('Lending Pad 2021 Credit'!R7)," ",'Lending Pad 2021 Credit'!R7)</f>
        <v xml:space="preserve"> </v>
      </c>
      <c r="D20" s="301"/>
      <c r="E20" s="301"/>
      <c r="F20" s="299" t="str">
        <f>IF(ISBLANK('Lending Pad 2021 Credit'!U7)," ",'Lending Pad 2021 Credit'!U7)</f>
        <v xml:space="preserve"> </v>
      </c>
      <c r="G20" s="300"/>
      <c r="H20" s="108" t="str">
        <f>IF(ISBLANK('Lending Pad 2021 Credit'!V7)," ",'Lending Pad 2021 Credit'!V7)</f>
        <v xml:space="preserve"> </v>
      </c>
      <c r="I20" s="196"/>
      <c r="J20" s="107"/>
      <c r="K20" s="107"/>
      <c r="L20" s="107"/>
      <c r="M20" s="107"/>
      <c r="N20" s="107"/>
    </row>
    <row r="21" spans="1:14" ht="14.4" hidden="1" customHeight="1">
      <c r="A21" s="107"/>
      <c r="B21" s="195"/>
      <c r="C21" s="301" t="str">
        <f>IF(ISBLANK('Lending Pad 2021 Credit'!R8)," ",'Lending Pad 2021 Credit'!R8)</f>
        <v xml:space="preserve"> </v>
      </c>
      <c r="D21" s="301"/>
      <c r="E21" s="301"/>
      <c r="F21" s="299" t="str">
        <f>IF(ISBLANK('Lending Pad 2021 Credit'!U8)," ",'Lending Pad 2021 Credit'!U8)</f>
        <v xml:space="preserve"> </v>
      </c>
      <c r="G21" s="300"/>
      <c r="H21" s="108" t="str">
        <f>IF(ISBLANK('Lending Pad 2021 Credit'!V8)," ",'Lending Pad 2021 Credit'!V8)</f>
        <v xml:space="preserve"> </v>
      </c>
      <c r="I21" s="196"/>
      <c r="J21" s="107"/>
      <c r="K21" s="107"/>
      <c r="L21" s="107"/>
      <c r="M21" s="107"/>
      <c r="N21" s="107"/>
    </row>
    <row r="22" spans="1:14" hidden="1">
      <c r="A22" s="107"/>
      <c r="B22" s="195"/>
      <c r="C22" s="301" t="str">
        <f>IF(ISBLANK('Lending Pad 2021 Credit'!R9)," ",'Lending Pad 2021 Credit'!R9)</f>
        <v xml:space="preserve"> </v>
      </c>
      <c r="D22" s="301"/>
      <c r="E22" s="301"/>
      <c r="F22" s="299" t="str">
        <f>IF(ISBLANK('Lending Pad 2021 Credit'!U9)," ",'Lending Pad 2021 Credit'!U9)</f>
        <v xml:space="preserve"> </v>
      </c>
      <c r="G22" s="300"/>
      <c r="H22" s="108" t="str">
        <f>IF(ISBLANK('Lending Pad 2021 Credit'!V9)," ",'Lending Pad 2021 Credit'!V9)</f>
        <v xml:space="preserve"> </v>
      </c>
      <c r="I22" s="196"/>
      <c r="J22" s="107"/>
      <c r="K22" s="107"/>
      <c r="L22" s="107"/>
      <c r="M22" s="107"/>
      <c r="N22" s="107"/>
    </row>
    <row r="23" spans="1:14" ht="15" hidden="1" customHeight="1">
      <c r="A23" s="107"/>
      <c r="B23" s="195"/>
      <c r="C23" s="301" t="str">
        <f>IF(ISBLANK('Lending Pad 2021 Credit'!R10)," ",'Lending Pad 2021 Credit'!R10)</f>
        <v xml:space="preserve"> </v>
      </c>
      <c r="D23" s="301"/>
      <c r="E23" s="301"/>
      <c r="F23" s="299" t="str">
        <f>IF(ISBLANK('Lending Pad 2021 Credit'!U10)," ",'Lending Pad 2021 Credit'!U10)</f>
        <v xml:space="preserve"> </v>
      </c>
      <c r="G23" s="300"/>
      <c r="H23" s="108" t="str">
        <f>IF(ISBLANK('Lending Pad 2021 Credit'!V10)," ",'Lending Pad 2021 Credit'!V10)</f>
        <v xml:space="preserve"> </v>
      </c>
      <c r="I23" s="196"/>
      <c r="J23" s="107"/>
      <c r="K23" s="107"/>
      <c r="L23" s="107"/>
      <c r="M23" s="107"/>
      <c r="N23" s="107"/>
    </row>
    <row r="24" spans="1:14" ht="15" hidden="1" customHeight="1">
      <c r="A24" s="107"/>
      <c r="B24" s="195"/>
      <c r="C24" s="301" t="str">
        <f>IF(ISBLANK('Lending Pad 2021 Credit'!R11)," ",'Lending Pad 2021 Credit'!R11)</f>
        <v xml:space="preserve"> </v>
      </c>
      <c r="D24" s="301"/>
      <c r="E24" s="301"/>
      <c r="F24" s="299" t="str">
        <f>IF(ISBLANK('Lending Pad 2021 Credit'!U11)," ",'Lending Pad 2021 Credit'!U11)</f>
        <v xml:space="preserve"> </v>
      </c>
      <c r="G24" s="300"/>
      <c r="H24" s="108" t="str">
        <f>IF(ISBLANK('Lending Pad 2021 Credit'!V11)," ",'Lending Pad 2021 Credit'!V11)</f>
        <v xml:space="preserve"> </v>
      </c>
      <c r="I24" s="196"/>
      <c r="J24" s="107"/>
      <c r="K24" s="107"/>
      <c r="L24" s="107"/>
      <c r="M24" s="107"/>
      <c r="N24" s="107"/>
    </row>
    <row r="25" spans="1:14" hidden="1">
      <c r="A25" s="107"/>
      <c r="B25" s="195"/>
      <c r="C25" s="301" t="str">
        <f>IF(ISBLANK('Lending Pad 2021 Credit'!R12)," ",'Lending Pad 2021 Credit'!R12)</f>
        <v xml:space="preserve"> </v>
      </c>
      <c r="D25" s="301"/>
      <c r="E25" s="301"/>
      <c r="F25" s="299" t="str">
        <f>IF(ISBLANK('Lending Pad 2021 Credit'!U12)," ",'Lending Pad 2021 Credit'!U12)</f>
        <v xml:space="preserve"> </v>
      </c>
      <c r="G25" s="300"/>
      <c r="H25" s="108" t="str">
        <f>IF(ISBLANK('Lending Pad 2021 Credit'!V12)," ",'Lending Pad 2021 Credit'!V12)</f>
        <v xml:space="preserve"> </v>
      </c>
      <c r="I25" s="196"/>
      <c r="J25" s="107"/>
      <c r="K25" s="107"/>
      <c r="L25" s="107"/>
      <c r="M25" s="107"/>
      <c r="N25" s="107"/>
    </row>
    <row r="26" spans="1:14" ht="15" hidden="1" customHeight="1">
      <c r="A26" s="107"/>
      <c r="B26" s="195"/>
      <c r="C26" s="301" t="str">
        <f>IF(ISBLANK('Lending Pad 2021 Credit'!R13)," ",'Lending Pad 2021 Credit'!R13)</f>
        <v xml:space="preserve"> </v>
      </c>
      <c r="D26" s="301"/>
      <c r="E26" s="301"/>
      <c r="F26" s="299" t="str">
        <f>IF(ISBLANK('Lending Pad 2021 Credit'!U13)," ",'Lending Pad 2021 Credit'!U13)</f>
        <v xml:space="preserve"> </v>
      </c>
      <c r="G26" s="300"/>
      <c r="H26" s="108" t="str">
        <f>IF(ISBLANK('Lending Pad 2021 Credit'!V13)," ",'Lending Pad 2021 Credit'!V13)</f>
        <v xml:space="preserve"> </v>
      </c>
      <c r="I26" s="196"/>
      <c r="J26" s="107"/>
      <c r="K26" s="107"/>
      <c r="L26" s="107"/>
      <c r="M26" s="107"/>
      <c r="N26" s="107"/>
    </row>
    <row r="27" spans="1:14" ht="15" hidden="1" customHeight="1">
      <c r="A27" s="107"/>
      <c r="B27" s="195"/>
      <c r="C27" s="301" t="str">
        <f>IF(ISBLANK('Lending Pad 2021 Credit'!R14)," ",'Lending Pad 2021 Credit'!R14)</f>
        <v xml:space="preserve"> </v>
      </c>
      <c r="D27" s="301"/>
      <c r="E27" s="301"/>
      <c r="F27" s="299" t="str">
        <f>IF(ISBLANK('Lending Pad 2021 Credit'!U14)," ",'Lending Pad 2021 Credit'!U14)</f>
        <v xml:space="preserve"> </v>
      </c>
      <c r="G27" s="300"/>
      <c r="H27" s="108" t="str">
        <f>IF(ISBLANK('Lending Pad 2021 Credit'!V14)," ",'Lending Pad 2021 Credit'!V14)</f>
        <v xml:space="preserve"> </v>
      </c>
      <c r="I27" s="196"/>
      <c r="J27" s="107"/>
      <c r="K27" s="107"/>
      <c r="L27" s="107"/>
      <c r="M27" s="107"/>
      <c r="N27" s="107"/>
    </row>
    <row r="28" spans="1:14" ht="15" hidden="1" customHeight="1">
      <c r="A28" s="107"/>
      <c r="B28" s="195"/>
      <c r="C28" s="301" t="str">
        <f>IF(ISBLANK('Lending Pad 2021 Credit'!R15)," ",'Lending Pad 2021 Credit'!R15)</f>
        <v xml:space="preserve"> </v>
      </c>
      <c r="D28" s="301"/>
      <c r="E28" s="301"/>
      <c r="F28" s="299" t="str">
        <f>IF(ISBLANK('Lending Pad 2021 Credit'!U15)," ",'Lending Pad 2021 Credit'!U15)</f>
        <v xml:space="preserve"> </v>
      </c>
      <c r="G28" s="300"/>
      <c r="H28" s="108" t="str">
        <f>IF(ISBLANK('Lending Pad 2021 Credit'!V15)," ",'Lending Pad 2021 Credit'!V15)</f>
        <v xml:space="preserve"> </v>
      </c>
      <c r="I28" s="196"/>
      <c r="J28" s="107"/>
      <c r="K28" s="107"/>
      <c r="L28" s="107"/>
      <c r="M28" s="107"/>
      <c r="N28" s="107"/>
    </row>
    <row r="29" spans="1:14" ht="14.4" hidden="1" customHeight="1">
      <c r="A29" s="107"/>
      <c r="B29" s="195"/>
      <c r="C29" s="301" t="str">
        <f>IF(ISBLANK('Lending Pad 2021 Credit'!R16)," ",'Lending Pad 2021 Credit'!R16)</f>
        <v xml:space="preserve"> </v>
      </c>
      <c r="D29" s="301"/>
      <c r="E29" s="301"/>
      <c r="F29" s="299" t="str">
        <f>IF(ISBLANK('Lending Pad 2021 Credit'!U16)," ",'Lending Pad 2021 Credit'!U16)</f>
        <v xml:space="preserve"> </v>
      </c>
      <c r="G29" s="300"/>
      <c r="H29" s="108" t="str">
        <f>IF(ISBLANK('Lending Pad 2021 Credit'!V16)," ",'Lending Pad 2021 Credit'!V16)</f>
        <v xml:space="preserve"> </v>
      </c>
      <c r="I29" s="196"/>
      <c r="J29" s="107"/>
      <c r="K29" s="107"/>
      <c r="L29" s="107"/>
      <c r="M29" s="107"/>
      <c r="N29" s="107"/>
    </row>
    <row r="30" spans="1:14" ht="15" hidden="1" customHeight="1">
      <c r="A30" s="107"/>
      <c r="B30" s="195"/>
      <c r="C30" s="301" t="str">
        <f>IF(ISBLANK('Lending Pad 2021 Credit'!R17)," ",'Lending Pad 2021 Credit'!R17)</f>
        <v xml:space="preserve"> </v>
      </c>
      <c r="D30" s="301"/>
      <c r="E30" s="301"/>
      <c r="F30" s="299" t="str">
        <f>IF(ISBLANK('Lending Pad 2021 Credit'!U17)," ",'Lending Pad 2021 Credit'!U17)</f>
        <v xml:space="preserve"> </v>
      </c>
      <c r="G30" s="300"/>
      <c r="H30" s="108" t="str">
        <f>IF(ISBLANK('Lending Pad 2021 Credit'!V17)," ",'Lending Pad 2021 Credit'!V17)</f>
        <v xml:space="preserve"> </v>
      </c>
      <c r="I30" s="196"/>
      <c r="J30" s="107"/>
      <c r="K30" s="107"/>
      <c r="L30" s="107"/>
      <c r="M30" s="107"/>
      <c r="N30" s="107"/>
    </row>
    <row r="31" spans="1:14" ht="15" hidden="1" customHeight="1">
      <c r="A31" s="107"/>
      <c r="B31" s="195"/>
      <c r="C31" s="301" t="str">
        <f>IF(ISBLANK('Lending Pad 2021 Credit'!R18)," ",'Lending Pad 2021 Credit'!R18)</f>
        <v xml:space="preserve"> </v>
      </c>
      <c r="D31" s="301"/>
      <c r="E31" s="301"/>
      <c r="F31" s="299" t="str">
        <f>IF(ISBLANK('Lending Pad 2021 Credit'!U18)," ",'Lending Pad 2021 Credit'!U18)</f>
        <v xml:space="preserve"> </v>
      </c>
      <c r="G31" s="300"/>
      <c r="H31" s="108" t="str">
        <f>IF(ISBLANK('Lending Pad 2021 Credit'!V18)," ",'Lending Pad 2021 Credit'!V18)</f>
        <v xml:space="preserve"> </v>
      </c>
      <c r="I31" s="196"/>
      <c r="J31" s="107"/>
      <c r="K31" s="107"/>
      <c r="L31" s="107"/>
      <c r="M31" s="107"/>
      <c r="N31" s="107"/>
    </row>
    <row r="32" spans="1:14" hidden="1">
      <c r="A32" s="107"/>
      <c r="B32" s="195"/>
      <c r="C32" s="301" t="str">
        <f>IF(ISBLANK('Lending Pad 2021 Credit'!R19)," ",'Lending Pad 2021 Credit'!R19)</f>
        <v xml:space="preserve"> </v>
      </c>
      <c r="D32" s="301"/>
      <c r="E32" s="301"/>
      <c r="F32" s="299" t="str">
        <f>IF(ISBLANK('Lending Pad 2021 Credit'!U19)," ",'Lending Pad 2021 Credit'!U19)</f>
        <v xml:space="preserve"> </v>
      </c>
      <c r="G32" s="300"/>
      <c r="H32" s="108" t="str">
        <f>IF(ISBLANK('Lending Pad 2021 Credit'!V19)," ",'Lending Pad 2021 Credit'!V19)</f>
        <v xml:space="preserve"> </v>
      </c>
      <c r="I32" s="196"/>
      <c r="J32" s="107"/>
      <c r="K32" s="107"/>
      <c r="L32" s="107"/>
      <c r="M32" s="107"/>
      <c r="N32" s="107"/>
    </row>
    <row r="33" spans="1:14" ht="19.5" hidden="1" customHeight="1">
      <c r="A33" s="107"/>
      <c r="B33" s="195"/>
      <c r="C33" s="301" t="str">
        <f>IF(ISBLANK('Lending Pad 2021 Credit'!R20)," ",'Lending Pad 2021 Credit'!R20)</f>
        <v xml:space="preserve"> </v>
      </c>
      <c r="D33" s="301"/>
      <c r="E33" s="301"/>
      <c r="F33" s="299" t="str">
        <f>IF(ISBLANK('Lending Pad 2021 Credit'!U20)," ",'Lending Pad 2021 Credit'!U20)</f>
        <v xml:space="preserve"> </v>
      </c>
      <c r="G33" s="300"/>
      <c r="H33" s="108" t="str">
        <f>IF(ISBLANK('Lending Pad 2021 Credit'!V20)," ",'Lending Pad 2021 Credit'!V20)</f>
        <v xml:space="preserve"> </v>
      </c>
      <c r="I33" s="196"/>
      <c r="J33" s="31"/>
      <c r="K33" s="31"/>
      <c r="L33" s="31"/>
      <c r="M33" s="31"/>
      <c r="N33" s="107"/>
    </row>
    <row r="34" spans="1:14" hidden="1">
      <c r="A34" s="107"/>
      <c r="B34" s="195"/>
      <c r="C34" s="301" t="str">
        <f>IF(ISBLANK('Lending Pad 2021 Credit'!R21)," ",'Lending Pad 2021 Credit'!R21)</f>
        <v xml:space="preserve"> </v>
      </c>
      <c r="D34" s="301"/>
      <c r="E34" s="301"/>
      <c r="F34" s="299" t="str">
        <f>IF(ISBLANK('Lending Pad 2021 Credit'!U21)," ",'Lending Pad 2021 Credit'!U21)</f>
        <v xml:space="preserve"> </v>
      </c>
      <c r="G34" s="300"/>
      <c r="H34" s="108" t="str">
        <f>IF(ISBLANK('Lending Pad 2021 Credit'!V21)," ",'Lending Pad 2021 Credit'!V21)</f>
        <v xml:space="preserve"> </v>
      </c>
      <c r="I34" s="196"/>
      <c r="J34" s="107"/>
      <c r="K34" s="107"/>
      <c r="L34" s="107"/>
      <c r="M34" s="107"/>
      <c r="N34" s="107"/>
    </row>
    <row r="35" spans="1:14" hidden="1">
      <c r="A35" s="107"/>
      <c r="B35" s="195"/>
      <c r="C35" s="301" t="str">
        <f>IF(ISBLANK('Lending Pad 2021 Credit'!R22)," ",'Lending Pad 2021 Credit'!R22)</f>
        <v xml:space="preserve"> </v>
      </c>
      <c r="D35" s="301"/>
      <c r="E35" s="301"/>
      <c r="F35" s="299" t="str">
        <f>IF(ISBLANK('Lending Pad 2021 Credit'!U22)," ",'Lending Pad 2021 Credit'!U22)</f>
        <v xml:space="preserve"> </v>
      </c>
      <c r="G35" s="300"/>
      <c r="H35" s="108" t="str">
        <f>IF(ISBLANK('Lending Pad 2021 Credit'!V22)," ",'Lending Pad 2021 Credit'!V22)</f>
        <v xml:space="preserve"> </v>
      </c>
      <c r="I35" s="196"/>
      <c r="J35" s="107"/>
      <c r="K35" s="107"/>
      <c r="L35" s="107"/>
      <c r="M35" s="107"/>
      <c r="N35" s="107"/>
    </row>
    <row r="36" spans="1:14" hidden="1">
      <c r="A36" s="107"/>
      <c r="B36" s="195"/>
      <c r="C36" s="301" t="str">
        <f>IF(ISBLANK('Lending Pad 2021 Credit'!R23)," ",'Lending Pad 2021 Credit'!R23)</f>
        <v xml:space="preserve"> </v>
      </c>
      <c r="D36" s="301"/>
      <c r="E36" s="301"/>
      <c r="F36" s="299" t="str">
        <f>IF(ISBLANK('Lending Pad 2021 Credit'!U23)," ",'Lending Pad 2021 Credit'!U23)</f>
        <v xml:space="preserve"> </v>
      </c>
      <c r="G36" s="300"/>
      <c r="H36" s="108" t="str">
        <f>IF(ISBLANK('Lending Pad 2021 Credit'!V23)," ",'Lending Pad 2021 Credit'!V23)</f>
        <v xml:space="preserve"> </v>
      </c>
      <c r="I36" s="196"/>
      <c r="J36" s="107"/>
      <c r="K36" s="107"/>
      <c r="L36" s="107"/>
      <c r="M36" s="107"/>
      <c r="N36" s="107"/>
    </row>
    <row r="37" spans="1:14" hidden="1">
      <c r="A37" s="107"/>
      <c r="B37" s="195"/>
      <c r="C37" s="301" t="str">
        <f>IF(ISBLANK('Lending Pad 2021 Credit'!R24)," ",'Lending Pad 2021 Credit'!R24)</f>
        <v xml:space="preserve"> </v>
      </c>
      <c r="D37" s="301"/>
      <c r="E37" s="301"/>
      <c r="F37" s="299" t="str">
        <f>IF(ISBLANK('Lending Pad 2021 Credit'!U24)," ",'Lending Pad 2021 Credit'!U24)</f>
        <v xml:space="preserve"> </v>
      </c>
      <c r="G37" s="300"/>
      <c r="H37" s="108" t="str">
        <f>IF(ISBLANK('Lending Pad 2021 Credit'!V24)," ",'Lending Pad 2021 Credit'!V24)</f>
        <v xml:space="preserve"> </v>
      </c>
      <c r="I37" s="196"/>
      <c r="J37" s="107"/>
      <c r="K37" s="107"/>
      <c r="L37" s="107"/>
      <c r="M37" s="107"/>
      <c r="N37" s="107"/>
    </row>
    <row r="38" spans="1:14" hidden="1">
      <c r="A38" s="107"/>
      <c r="B38" s="195"/>
      <c r="C38" s="301" t="str">
        <f>IF(ISBLANK('Lending Pad 2021 Credit'!R25)," ",'Lending Pad 2021 Credit'!R25)</f>
        <v xml:space="preserve"> </v>
      </c>
      <c r="D38" s="301"/>
      <c r="E38" s="301"/>
      <c r="F38" s="299" t="str">
        <f>IF(ISBLANK('Lending Pad 2021 Credit'!U25)," ",'Lending Pad 2021 Credit'!U25)</f>
        <v xml:space="preserve"> </v>
      </c>
      <c r="G38" s="300"/>
      <c r="H38" s="108" t="str">
        <f>IF(ISBLANK('Lending Pad 2021 Credit'!V25)," ",'Lending Pad 2021 Credit'!V25)</f>
        <v xml:space="preserve"> </v>
      </c>
      <c r="I38" s="196"/>
      <c r="J38" s="107"/>
      <c r="K38" s="107"/>
      <c r="L38" s="107"/>
      <c r="M38" s="107"/>
      <c r="N38" s="107"/>
    </row>
    <row r="39" spans="1:14" hidden="1">
      <c r="A39" s="107"/>
      <c r="B39" s="195"/>
      <c r="C39" s="301" t="str">
        <f>IF(ISBLANK('Lending Pad 2021 Credit'!R26)," ",'Lending Pad 2021 Credit'!R26)</f>
        <v xml:space="preserve"> </v>
      </c>
      <c r="D39" s="301"/>
      <c r="E39" s="301"/>
      <c r="F39" s="299" t="str">
        <f>IF(ISBLANK('Lending Pad 2021 Credit'!U26)," ",'Lending Pad 2021 Credit'!U26)</f>
        <v xml:space="preserve"> </v>
      </c>
      <c r="G39" s="300"/>
      <c r="H39" s="108" t="str">
        <f>IF(ISBLANK('Lending Pad 2021 Credit'!V26)," ",'Lending Pad 2021 Credit'!V26)</f>
        <v xml:space="preserve"> </v>
      </c>
      <c r="I39" s="196"/>
      <c r="J39" s="107"/>
      <c r="K39" s="107"/>
      <c r="L39" s="107"/>
      <c r="M39" s="107"/>
      <c r="N39" s="107"/>
    </row>
    <row r="40" spans="1:14" hidden="1">
      <c r="A40" s="107"/>
      <c r="B40" s="195"/>
      <c r="C40" s="301" t="str">
        <f>IF(ISBLANK('Lending Pad 2021 Credit'!R27)," ",'Lending Pad 2021 Credit'!R27)</f>
        <v xml:space="preserve"> </v>
      </c>
      <c r="D40" s="301"/>
      <c r="E40" s="301"/>
      <c r="F40" s="299" t="str">
        <f>IF(ISBLANK('Lending Pad 2021 Credit'!U27)," ",'Lending Pad 2021 Credit'!U27)</f>
        <v xml:space="preserve"> </v>
      </c>
      <c r="G40" s="300"/>
      <c r="H40" s="108" t="str">
        <f>IF(ISBLANK('Lending Pad 2021 Credit'!V27)," ",'Lending Pad 2021 Credit'!V27)</f>
        <v xml:space="preserve"> </v>
      </c>
      <c r="I40" s="196"/>
      <c r="J40" s="107"/>
      <c r="K40" s="107"/>
      <c r="L40" s="107"/>
      <c r="M40" s="107"/>
      <c r="N40" s="107"/>
    </row>
    <row r="41" spans="1:14" hidden="1">
      <c r="A41" s="107"/>
      <c r="B41" s="195"/>
      <c r="C41" s="301" t="str">
        <f>IF(ISBLANK('Lending Pad 2021 Credit'!R28)," ",'Lending Pad 2021 Credit'!R28)</f>
        <v xml:space="preserve"> </v>
      </c>
      <c r="D41" s="301"/>
      <c r="E41" s="301"/>
      <c r="F41" s="299" t="str">
        <f>IF(ISBLANK('Lending Pad 2021 Credit'!U28)," ",'Lending Pad 2021 Credit'!U28)</f>
        <v xml:space="preserve"> </v>
      </c>
      <c r="G41" s="300"/>
      <c r="H41" s="108" t="str">
        <f>IF(ISBLANK('Lending Pad 2021 Credit'!V28)," ",'Lending Pad 2021 Credit'!V28)</f>
        <v xml:space="preserve"> </v>
      </c>
      <c r="I41" s="196"/>
      <c r="J41" s="107"/>
      <c r="K41" s="107"/>
      <c r="L41" s="107"/>
      <c r="M41" s="107"/>
      <c r="N41" s="107"/>
    </row>
    <row r="42" spans="1:14" hidden="1">
      <c r="A42" s="107"/>
      <c r="B42" s="195"/>
      <c r="C42" s="301" t="str">
        <f>IF(ISBLANK('Lending Pad 2021 Credit'!R29)," ",'Lending Pad 2021 Credit'!R29)</f>
        <v xml:space="preserve"> </v>
      </c>
      <c r="D42" s="301"/>
      <c r="E42" s="301"/>
      <c r="F42" s="299" t="str">
        <f>IF(ISBLANK('Lending Pad 2021 Credit'!U29)," ",'Lending Pad 2021 Credit'!U29)</f>
        <v xml:space="preserve"> </v>
      </c>
      <c r="G42" s="300"/>
      <c r="H42" s="108" t="str">
        <f>IF(ISBLANK('Lending Pad 2021 Credit'!V29)," ",'Lending Pad 2021 Credit'!V29)</f>
        <v xml:space="preserve"> </v>
      </c>
      <c r="I42" s="196"/>
      <c r="J42" s="107"/>
      <c r="K42" s="107"/>
      <c r="L42" s="107"/>
      <c r="M42" s="107"/>
      <c r="N42" s="107"/>
    </row>
    <row r="43" spans="1:14" hidden="1">
      <c r="A43" s="107"/>
      <c r="B43" s="195"/>
      <c r="C43" s="301" t="str">
        <f>IF(ISBLANK('Lending Pad 2021 Credit'!R30)," ",'Lending Pad 2021 Credit'!R30)</f>
        <v xml:space="preserve"> </v>
      </c>
      <c r="D43" s="301"/>
      <c r="E43" s="301"/>
      <c r="F43" s="299" t="str">
        <f>IF(ISBLANK('Lending Pad 2021 Credit'!U30)," ",'Lending Pad 2021 Credit'!U30)</f>
        <v xml:space="preserve"> </v>
      </c>
      <c r="G43" s="300"/>
      <c r="H43" s="108" t="str">
        <f>IF(ISBLANK('Lending Pad 2021 Credit'!V30)," ",'Lending Pad 2021 Credit'!V30)</f>
        <v xml:space="preserve"> </v>
      </c>
      <c r="I43" s="196"/>
      <c r="J43" s="107"/>
      <c r="K43" s="107"/>
      <c r="L43" s="107"/>
      <c r="M43" s="107"/>
      <c r="N43" s="107"/>
    </row>
    <row r="44" spans="1:14" hidden="1">
      <c r="A44" s="107"/>
      <c r="B44" s="195"/>
      <c r="C44" s="301" t="str">
        <f>IF(ISBLANK('Lending Pad 2021 Credit'!R31)," ",'Lending Pad 2021 Credit'!R31)</f>
        <v xml:space="preserve"> </v>
      </c>
      <c r="D44" s="301"/>
      <c r="E44" s="301"/>
      <c r="F44" s="299" t="str">
        <f>IF(ISBLANK('Lending Pad 2021 Credit'!U31)," ",'Lending Pad 2021 Credit'!U31)</f>
        <v xml:space="preserve"> </v>
      </c>
      <c r="G44" s="300"/>
      <c r="H44" s="108" t="str">
        <f>IF(ISBLANK('Lending Pad 2021 Credit'!V31)," ",'Lending Pad 2021 Credit'!V31)</f>
        <v xml:space="preserve"> </v>
      </c>
      <c r="I44" s="196"/>
      <c r="J44" s="107"/>
      <c r="K44" s="107"/>
      <c r="L44" s="107"/>
      <c r="M44" s="107"/>
      <c r="N44" s="107"/>
    </row>
    <row r="45" spans="1:14" hidden="1">
      <c r="A45" s="107"/>
      <c r="B45" s="195"/>
      <c r="C45" s="301" t="str">
        <f>IF(ISBLANK('Lending Pad 2021 Credit'!R32)," ",'Lending Pad 2021 Credit'!R32)</f>
        <v xml:space="preserve"> </v>
      </c>
      <c r="D45" s="301"/>
      <c r="E45" s="301"/>
      <c r="F45" s="299" t="str">
        <f>IF(ISBLANK('Lending Pad 2021 Credit'!U32)," ",'Lending Pad 2021 Credit'!U32)</f>
        <v xml:space="preserve"> </v>
      </c>
      <c r="G45" s="300"/>
      <c r="H45" s="108" t="str">
        <f>IF(ISBLANK('Lending Pad 2021 Credit'!V32)," ",'Lending Pad 2021 Credit'!V32)</f>
        <v xml:space="preserve"> </v>
      </c>
      <c r="I45" s="196"/>
      <c r="J45" s="107"/>
      <c r="K45" s="107"/>
      <c r="L45" s="107"/>
      <c r="M45" s="107"/>
      <c r="N45" s="107"/>
    </row>
    <row r="46" spans="1:14" hidden="1">
      <c r="A46" s="107"/>
      <c r="B46" s="195"/>
      <c r="C46" s="301" t="str">
        <f>IF(ISBLANK('Lending Pad 2021 Credit'!R33)," ",'Lending Pad 2021 Credit'!R33)</f>
        <v xml:space="preserve"> </v>
      </c>
      <c r="D46" s="301"/>
      <c r="E46" s="301"/>
      <c r="F46" s="299" t="str">
        <f>IF(ISBLANK('Lending Pad 2021 Credit'!U33)," ",'Lending Pad 2021 Credit'!U33)</f>
        <v xml:space="preserve"> </v>
      </c>
      <c r="G46" s="300"/>
      <c r="H46" s="108" t="str">
        <f>IF(ISBLANK('Lending Pad 2021 Credit'!V33)," ",'Lending Pad 2021 Credit'!V33)</f>
        <v xml:space="preserve"> </v>
      </c>
      <c r="I46" s="196"/>
      <c r="J46" s="107"/>
      <c r="K46" s="107"/>
      <c r="L46" s="107"/>
      <c r="M46" s="107"/>
      <c r="N46" s="107"/>
    </row>
    <row r="47" spans="1:14" hidden="1">
      <c r="A47" s="107"/>
      <c r="B47" s="195"/>
      <c r="C47" s="301" t="str">
        <f>IF(ISBLANK('Lending Pad 2021 Credit'!R34)," ",'Lending Pad 2021 Credit'!R34)</f>
        <v xml:space="preserve"> </v>
      </c>
      <c r="D47" s="301"/>
      <c r="E47" s="301"/>
      <c r="F47" s="299" t="str">
        <f>IF(ISBLANK('Lending Pad 2021 Credit'!U34)," ",'Lending Pad 2021 Credit'!U34)</f>
        <v xml:space="preserve"> </v>
      </c>
      <c r="G47" s="300"/>
      <c r="H47" s="108" t="str">
        <f>IF(ISBLANK('Lending Pad 2021 Credit'!V34)," ",'Lending Pad 2021 Credit'!V34)</f>
        <v xml:space="preserve"> </v>
      </c>
      <c r="I47" s="196"/>
      <c r="J47" s="107"/>
      <c r="K47" s="107"/>
      <c r="L47" s="107"/>
      <c r="M47" s="107"/>
      <c r="N47" s="107"/>
    </row>
    <row r="48" spans="1:14" hidden="1">
      <c r="A48" s="107"/>
      <c r="B48" s="195"/>
      <c r="C48" s="301" t="str">
        <f>IF(ISBLANK('Lending Pad 2021 Credit'!R35)," ",'Lending Pad 2021 Credit'!R35)</f>
        <v xml:space="preserve"> </v>
      </c>
      <c r="D48" s="301"/>
      <c r="E48" s="301"/>
      <c r="F48" s="299" t="str">
        <f>IF(ISBLANK('Lending Pad 2021 Credit'!U35)," ",'Lending Pad 2021 Credit'!U35)</f>
        <v xml:space="preserve"> </v>
      </c>
      <c r="G48" s="300"/>
      <c r="H48" s="108" t="str">
        <f>IF(ISBLANK('Lending Pad 2021 Credit'!V35)," ",'Lending Pad 2021 Credit'!V35)</f>
        <v xml:space="preserve"> </v>
      </c>
      <c r="I48" s="196"/>
      <c r="J48" s="107"/>
      <c r="K48" s="107"/>
      <c r="L48" s="107"/>
      <c r="M48" s="107"/>
      <c r="N48" s="107"/>
    </row>
    <row r="49" spans="1:14" hidden="1">
      <c r="A49" s="107"/>
      <c r="B49" s="195"/>
      <c r="C49" s="301" t="str">
        <f>IF(ISBLANK('Lending Pad 2021 Credit'!R36)," ",'Lending Pad 2021 Credit'!R36)</f>
        <v xml:space="preserve"> </v>
      </c>
      <c r="D49" s="301"/>
      <c r="E49" s="301"/>
      <c r="F49" s="299" t="str">
        <f>IF(ISBLANK('Lending Pad 2021 Credit'!U36)," ",'Lending Pad 2021 Credit'!U36)</f>
        <v xml:space="preserve"> </v>
      </c>
      <c r="G49" s="300"/>
      <c r="H49" s="108" t="str">
        <f>IF(ISBLANK('Lending Pad 2021 Credit'!V36)," ",'Lending Pad 2021 Credit'!V36)</f>
        <v xml:space="preserve"> </v>
      </c>
      <c r="I49" s="196"/>
      <c r="J49" s="107"/>
      <c r="K49" s="107"/>
      <c r="L49" s="107"/>
      <c r="M49" s="107"/>
      <c r="N49" s="107"/>
    </row>
    <row r="50" spans="1:14" hidden="1">
      <c r="A50" s="107"/>
      <c r="B50" s="195"/>
      <c r="C50" s="301" t="str">
        <f>IF(ISBLANK('Lending Pad 2021 Credit'!R37)," ",'Lending Pad 2021 Credit'!R37)</f>
        <v xml:space="preserve"> </v>
      </c>
      <c r="D50" s="301"/>
      <c r="E50" s="301"/>
      <c r="F50" s="299" t="str">
        <f>IF(ISBLANK('Lending Pad 2021 Credit'!U37)," ",'Lending Pad 2021 Credit'!U37)</f>
        <v xml:space="preserve"> </v>
      </c>
      <c r="G50" s="300"/>
      <c r="H50" s="108" t="str">
        <f>IF(ISBLANK('Lending Pad 2021 Credit'!V37)," ",'Lending Pad 2021 Credit'!V37)</f>
        <v xml:space="preserve"> </v>
      </c>
      <c r="I50" s="196"/>
      <c r="J50" s="107"/>
      <c r="K50" s="107"/>
      <c r="L50" s="107"/>
      <c r="M50" s="107"/>
      <c r="N50" s="107"/>
    </row>
    <row r="51" spans="1:14" hidden="1">
      <c r="A51" s="107"/>
      <c r="B51" s="195"/>
      <c r="C51" s="301" t="str">
        <f>IF(ISBLANK('Lending Pad 2021 Credit'!R38)," ",'Lending Pad 2021 Credit'!R38)</f>
        <v xml:space="preserve"> </v>
      </c>
      <c r="D51" s="301"/>
      <c r="E51" s="301"/>
      <c r="F51" s="299" t="str">
        <f>IF(ISBLANK('Lending Pad 2021 Credit'!U38)," ",'Lending Pad 2021 Credit'!U38)</f>
        <v xml:space="preserve"> </v>
      </c>
      <c r="G51" s="300"/>
      <c r="H51" s="108" t="str">
        <f>IF(ISBLANK('Lending Pad 2021 Credit'!V38)," ",'Lending Pad 2021 Credit'!V38)</f>
        <v xml:space="preserve"> </v>
      </c>
      <c r="I51" s="196"/>
      <c r="J51" s="107"/>
      <c r="K51" s="107"/>
      <c r="L51" s="107"/>
      <c r="M51" s="107"/>
      <c r="N51" s="107"/>
    </row>
    <row r="52" spans="1:14" hidden="1">
      <c r="A52" s="107"/>
      <c r="B52" s="195"/>
      <c r="C52" s="301" t="str">
        <f>IF(ISBLANK('Lending Pad 2021 Credit'!R39)," ",'Lending Pad 2021 Credit'!R39)</f>
        <v xml:space="preserve"> </v>
      </c>
      <c r="D52" s="301"/>
      <c r="E52" s="301"/>
      <c r="F52" s="299" t="str">
        <f>IF(ISBLANK('Lending Pad 2021 Credit'!U39)," ",'Lending Pad 2021 Credit'!U39)</f>
        <v xml:space="preserve"> </v>
      </c>
      <c r="G52" s="300"/>
      <c r="H52" s="108" t="str">
        <f>IF(ISBLANK('Lending Pad 2021 Credit'!V39)," ",'Lending Pad 2021 Credit'!V39)</f>
        <v xml:space="preserve"> </v>
      </c>
      <c r="I52" s="196"/>
      <c r="J52" s="107"/>
      <c r="K52" s="107"/>
      <c r="L52" s="107"/>
      <c r="M52" s="107"/>
      <c r="N52" s="107"/>
    </row>
    <row r="53" spans="1:14" hidden="1">
      <c r="A53" s="107"/>
      <c r="B53" s="195"/>
      <c r="C53" s="301" t="str">
        <f>IF(ISBLANK('Lending Pad 2021 Credit'!R40)," ",'Lending Pad 2021 Credit'!R40)</f>
        <v xml:space="preserve"> </v>
      </c>
      <c r="D53" s="301"/>
      <c r="E53" s="301"/>
      <c r="F53" s="299" t="str">
        <f>IF(ISBLANK('Lending Pad 2021 Credit'!U40)," ",'Lending Pad 2021 Credit'!U40)</f>
        <v xml:space="preserve"> </v>
      </c>
      <c r="G53" s="300"/>
      <c r="H53" s="108" t="str">
        <f>IF(ISBLANK('Lending Pad 2021 Credit'!V40)," ",'Lending Pad 2021 Credit'!V40)</f>
        <v xml:space="preserve"> </v>
      </c>
      <c r="I53" s="196"/>
      <c r="J53" s="107"/>
      <c r="K53" s="107"/>
      <c r="L53" s="107"/>
      <c r="M53" s="107"/>
      <c r="N53" s="107"/>
    </row>
    <row r="54" spans="1:14" hidden="1">
      <c r="A54" s="107"/>
      <c r="B54" s="195"/>
      <c r="C54" s="301" t="str">
        <f>IF(ISBLANK('Lending Pad 2021 Credit'!R41)," ",'Lending Pad 2021 Credit'!R41)</f>
        <v xml:space="preserve"> </v>
      </c>
      <c r="D54" s="301"/>
      <c r="E54" s="301"/>
      <c r="F54" s="299" t="str">
        <f>IF(ISBLANK('Lending Pad 2021 Credit'!U41)," ",'Lending Pad 2021 Credit'!U41)</f>
        <v xml:space="preserve"> </v>
      </c>
      <c r="G54" s="300"/>
      <c r="H54" s="108" t="str">
        <f>IF(ISBLANK('Lending Pad 2021 Credit'!V41)," ",'Lending Pad 2021 Credit'!V41)</f>
        <v xml:space="preserve"> </v>
      </c>
      <c r="I54" s="196"/>
      <c r="J54" s="107"/>
      <c r="K54" s="107"/>
      <c r="L54" s="107"/>
      <c r="M54" s="107"/>
      <c r="N54" s="107"/>
    </row>
    <row r="55" spans="1:14" hidden="1">
      <c r="A55" s="107"/>
      <c r="B55" s="195"/>
      <c r="C55" s="301" t="str">
        <f>IF(ISBLANK('Lending Pad 2021 Credit'!R42)," ",'Lending Pad 2021 Credit'!R42)</f>
        <v xml:space="preserve"> </v>
      </c>
      <c r="D55" s="301"/>
      <c r="E55" s="301"/>
      <c r="F55" s="299" t="str">
        <f>IF(ISBLANK('Lending Pad 2021 Credit'!U42)," ",'Lending Pad 2021 Credit'!U42)</f>
        <v xml:space="preserve"> </v>
      </c>
      <c r="G55" s="300"/>
      <c r="H55" s="108" t="str">
        <f>IF(ISBLANK('Lending Pad 2021 Credit'!V42)," ",'Lending Pad 2021 Credit'!V42)</f>
        <v xml:space="preserve"> </v>
      </c>
      <c r="I55" s="196"/>
      <c r="J55" s="107"/>
      <c r="K55" s="107"/>
      <c r="L55" s="107"/>
      <c r="M55" s="107"/>
      <c r="N55" s="107"/>
    </row>
    <row r="56" spans="1:14" hidden="1">
      <c r="A56" s="107"/>
      <c r="B56" s="195"/>
      <c r="C56" s="301" t="str">
        <f>IF(ISBLANK('Lending Pad 2021 Credit'!R43)," ",'Lending Pad 2021 Credit'!R43)</f>
        <v xml:space="preserve"> </v>
      </c>
      <c r="D56" s="301"/>
      <c r="E56" s="301"/>
      <c r="F56" s="299" t="str">
        <f>IF(ISBLANK('Lending Pad 2021 Credit'!U43)," ",'Lending Pad 2021 Credit'!U43)</f>
        <v xml:space="preserve"> </v>
      </c>
      <c r="G56" s="300"/>
      <c r="H56" s="108" t="str">
        <f>IF(ISBLANK('Lending Pad 2021 Credit'!V43)," ",'Lending Pad 2021 Credit'!V43)</f>
        <v xml:space="preserve"> </v>
      </c>
      <c r="I56" s="196"/>
      <c r="J56" s="107"/>
      <c r="K56" s="107"/>
      <c r="L56" s="107"/>
      <c r="M56" s="107"/>
      <c r="N56" s="107"/>
    </row>
    <row r="57" spans="1:14" hidden="1">
      <c r="A57" s="107"/>
      <c r="B57" s="195"/>
      <c r="C57" s="301" t="str">
        <f>IF(ISBLANK('Lending Pad 2021 Credit'!R44)," ",'Lending Pad 2021 Credit'!R44)</f>
        <v xml:space="preserve"> </v>
      </c>
      <c r="D57" s="301"/>
      <c r="E57" s="301"/>
      <c r="F57" s="299" t="str">
        <f>IF(ISBLANK('Lending Pad 2021 Credit'!U44)," ",'Lending Pad 2021 Credit'!U44)</f>
        <v xml:space="preserve"> </v>
      </c>
      <c r="G57" s="300"/>
      <c r="H57" s="108" t="str">
        <f>IF(ISBLANK('Lending Pad 2021 Credit'!V44)," ",'Lending Pad 2021 Credit'!V44)</f>
        <v xml:space="preserve"> </v>
      </c>
      <c r="I57" s="196"/>
      <c r="J57" s="107"/>
      <c r="K57" s="107"/>
      <c r="L57" s="107"/>
      <c r="M57" s="107"/>
      <c r="N57" s="107"/>
    </row>
    <row r="58" spans="1:14" hidden="1">
      <c r="A58" s="107"/>
      <c r="B58" s="195"/>
      <c r="C58" s="301" t="str">
        <f>IF(ISBLANK('Lending Pad 2021 Credit'!R45)," ",'Lending Pad 2021 Credit'!R45)</f>
        <v xml:space="preserve"> </v>
      </c>
      <c r="D58" s="301"/>
      <c r="E58" s="301"/>
      <c r="F58" s="299" t="str">
        <f>IF(ISBLANK('Lending Pad 2021 Credit'!U45)," ",'Lending Pad 2021 Credit'!U45)</f>
        <v xml:space="preserve"> </v>
      </c>
      <c r="G58" s="300"/>
      <c r="H58" s="108" t="str">
        <f>IF(ISBLANK('Lending Pad 2021 Credit'!V45)," ",'Lending Pad 2021 Credit'!V45)</f>
        <v xml:space="preserve"> </v>
      </c>
      <c r="I58" s="196"/>
      <c r="J58" s="107"/>
      <c r="K58" s="107"/>
      <c r="L58" s="107"/>
      <c r="M58" s="107"/>
      <c r="N58" s="107"/>
    </row>
    <row r="59" spans="1:14" hidden="1">
      <c r="A59" s="107"/>
      <c r="B59" s="195"/>
      <c r="C59" s="301" t="str">
        <f>IF(ISBLANK('Lending Pad 2021 Credit'!R46)," ",'Lending Pad 2021 Credit'!R46)</f>
        <v xml:space="preserve"> </v>
      </c>
      <c r="D59" s="301"/>
      <c r="E59" s="301"/>
      <c r="F59" s="299" t="str">
        <f>IF(ISBLANK('Lending Pad 2021 Credit'!U46)," ",'Lending Pad 2021 Credit'!U46)</f>
        <v xml:space="preserve"> </v>
      </c>
      <c r="G59" s="300"/>
      <c r="H59" s="108" t="str">
        <f>IF(ISBLANK('Lending Pad 2021 Credit'!V46)," ",'Lending Pad 2021 Credit'!V46)</f>
        <v xml:space="preserve"> </v>
      </c>
      <c r="I59" s="196"/>
      <c r="J59" s="107"/>
      <c r="K59" s="107"/>
      <c r="L59" s="107"/>
      <c r="M59" s="107"/>
      <c r="N59" s="107"/>
    </row>
    <row r="60" spans="1:14" hidden="1">
      <c r="A60" s="107"/>
      <c r="B60" s="195"/>
      <c r="C60" s="301" t="str">
        <f>IF(ISBLANK('Lending Pad 2021 Credit'!R47)," ",'Lending Pad 2021 Credit'!R47)</f>
        <v xml:space="preserve"> </v>
      </c>
      <c r="D60" s="301"/>
      <c r="E60" s="301"/>
      <c r="F60" s="299" t="str">
        <f>IF(ISBLANK('Lending Pad 2021 Credit'!U47)," ",'Lending Pad 2021 Credit'!U47)</f>
        <v xml:space="preserve"> </v>
      </c>
      <c r="G60" s="300"/>
      <c r="H60" s="108" t="str">
        <f>IF(ISBLANK('Lending Pad 2021 Credit'!V47)," ",'Lending Pad 2021 Credit'!V47)</f>
        <v xml:space="preserve"> </v>
      </c>
      <c r="I60" s="196"/>
      <c r="J60" s="107"/>
      <c r="K60" s="107"/>
      <c r="L60" s="107"/>
      <c r="M60" s="107"/>
      <c r="N60" s="107"/>
    </row>
    <row r="61" spans="1:14" hidden="1">
      <c r="A61" s="107"/>
      <c r="B61" s="195"/>
      <c r="C61" s="301" t="str">
        <f>IF(ISBLANK('Lending Pad 2021 Credit'!R48)," ",'Lending Pad 2021 Credit'!R48)</f>
        <v xml:space="preserve"> </v>
      </c>
      <c r="D61" s="301"/>
      <c r="E61" s="301"/>
      <c r="F61" s="299" t="str">
        <f>IF(ISBLANK('Lending Pad 2021 Credit'!U48)," ",'Lending Pad 2021 Credit'!U48)</f>
        <v xml:space="preserve"> </v>
      </c>
      <c r="G61" s="300"/>
      <c r="H61" s="108" t="str">
        <f>IF(ISBLANK('Lending Pad 2021 Credit'!V48)," ",'Lending Pad 2021 Credit'!V48)</f>
        <v xml:space="preserve"> </v>
      </c>
      <c r="I61" s="196"/>
      <c r="J61" s="107"/>
      <c r="K61" s="107"/>
      <c r="L61" s="107"/>
      <c r="M61" s="107"/>
      <c r="N61" s="107"/>
    </row>
    <row r="62" spans="1:14" hidden="1">
      <c r="A62" s="107"/>
      <c r="B62" s="195"/>
      <c r="C62" s="301" t="str">
        <f>IF(ISBLANK('Lending Pad 2021 Credit'!R49)," ",'Lending Pad 2021 Credit'!R49)</f>
        <v xml:space="preserve"> </v>
      </c>
      <c r="D62" s="301"/>
      <c r="E62" s="301"/>
      <c r="F62" s="299" t="str">
        <f>IF(ISBLANK('Lending Pad 2021 Credit'!U49)," ",'Lending Pad 2021 Credit'!U49)</f>
        <v xml:space="preserve"> </v>
      </c>
      <c r="G62" s="300"/>
      <c r="H62" s="108" t="str">
        <f>IF(ISBLANK('Lending Pad 2021 Credit'!V49)," ",'Lending Pad 2021 Credit'!V49)</f>
        <v xml:space="preserve"> </v>
      </c>
      <c r="I62" s="196"/>
      <c r="J62" s="107"/>
      <c r="K62" s="107"/>
      <c r="L62" s="107"/>
      <c r="M62" s="107"/>
      <c r="N62" s="107"/>
    </row>
    <row r="63" spans="1:14" hidden="1">
      <c r="A63" s="107"/>
      <c r="B63" s="195"/>
      <c r="C63" s="301" t="str">
        <f>IF(ISBLANK('Lending Pad 2021 Credit'!R50)," ",'Lending Pad 2021 Credit'!R50)</f>
        <v xml:space="preserve"> </v>
      </c>
      <c r="D63" s="301"/>
      <c r="E63" s="301"/>
      <c r="F63" s="299" t="str">
        <f>IF(ISBLANK('Lending Pad 2021 Credit'!U50)," ",'Lending Pad 2021 Credit'!U50)</f>
        <v xml:space="preserve"> </v>
      </c>
      <c r="G63" s="300"/>
      <c r="H63" s="108" t="str">
        <f>IF(ISBLANK('Lending Pad 2021 Credit'!V50)," ",'Lending Pad 2021 Credit'!V50)</f>
        <v xml:space="preserve"> </v>
      </c>
      <c r="I63" s="196"/>
      <c r="J63" s="107"/>
      <c r="K63" s="107"/>
      <c r="L63" s="107"/>
      <c r="M63" s="107"/>
      <c r="N63" s="107"/>
    </row>
    <row r="64" spans="1:14" hidden="1">
      <c r="A64" s="107"/>
      <c r="B64" s="195"/>
      <c r="C64" s="301" t="str">
        <f>IF(ISBLANK('Lending Pad 2021 Credit'!R51)," ",'Lending Pad 2021 Credit'!R51)</f>
        <v xml:space="preserve"> </v>
      </c>
      <c r="D64" s="301"/>
      <c r="E64" s="301"/>
      <c r="F64" s="299" t="str">
        <f>IF(ISBLANK('Lending Pad 2021 Credit'!U51)," ",'Lending Pad 2021 Credit'!U51)</f>
        <v xml:space="preserve"> </v>
      </c>
      <c r="G64" s="300"/>
      <c r="H64" s="108" t="str">
        <f>IF(ISBLANK('Lending Pad 2021 Credit'!V51)," ",'Lending Pad 2021 Credit'!V51)</f>
        <v xml:space="preserve"> </v>
      </c>
      <c r="I64" s="196"/>
      <c r="J64" s="107"/>
      <c r="K64" s="107"/>
      <c r="L64" s="107"/>
      <c r="M64" s="107"/>
      <c r="N64" s="107"/>
    </row>
    <row r="65" spans="1:14" hidden="1">
      <c r="A65" s="107"/>
      <c r="B65" s="195"/>
      <c r="C65" s="301" t="str">
        <f>IF(ISBLANK('Lending Pad 2021 Credit'!R52)," ",'Lending Pad 2021 Credit'!R52)</f>
        <v xml:space="preserve"> </v>
      </c>
      <c r="D65" s="301"/>
      <c r="E65" s="301"/>
      <c r="F65" s="299" t="str">
        <f>IF(ISBLANK('Lending Pad 2021 Credit'!U52)," ",'Lending Pad 2021 Credit'!U52)</f>
        <v xml:space="preserve"> </v>
      </c>
      <c r="G65" s="300"/>
      <c r="H65" s="108" t="str">
        <f>IF(ISBLANK('Lending Pad 2021 Credit'!V52)," ",'Lending Pad 2021 Credit'!V52)</f>
        <v xml:space="preserve"> </v>
      </c>
      <c r="I65" s="196"/>
      <c r="J65" s="107"/>
      <c r="K65" s="107"/>
      <c r="L65" s="107"/>
      <c r="M65" s="107"/>
      <c r="N65" s="107"/>
    </row>
    <row r="66" spans="1:14" hidden="1">
      <c r="A66" s="107"/>
      <c r="B66" s="195"/>
      <c r="C66" s="301" t="str">
        <f>IF(ISBLANK('Lending Pad 2021 Credit'!R53)," ",'Lending Pad 2021 Credit'!R53)</f>
        <v xml:space="preserve"> </v>
      </c>
      <c r="D66" s="301"/>
      <c r="E66" s="301"/>
      <c r="F66" s="299" t="str">
        <f>IF(ISBLANK('Lending Pad 2021 Credit'!U53)," ",'Lending Pad 2021 Credit'!U53)</f>
        <v xml:space="preserve"> </v>
      </c>
      <c r="G66" s="300"/>
      <c r="H66" s="108" t="str">
        <f>IF(ISBLANK('Lending Pad 2021 Credit'!V53)," ",'Lending Pad 2021 Credit'!V53)</f>
        <v xml:space="preserve"> </v>
      </c>
      <c r="I66" s="196"/>
      <c r="J66" s="107"/>
      <c r="K66" s="107"/>
      <c r="L66" s="107"/>
      <c r="M66" s="107"/>
      <c r="N66" s="107"/>
    </row>
    <row r="67" spans="1:14" hidden="1">
      <c r="A67" s="107"/>
      <c r="B67" s="195"/>
      <c r="C67" s="301" t="str">
        <f>IF(ISBLANK('Lending Pad 2021 Credit'!R54)," ",'Lending Pad 2021 Credit'!R54)</f>
        <v xml:space="preserve"> </v>
      </c>
      <c r="D67" s="301"/>
      <c r="E67" s="301"/>
      <c r="F67" s="299" t="str">
        <f>IF(ISBLANK('Lending Pad 2021 Credit'!U54)," ",'Lending Pad 2021 Credit'!U54)</f>
        <v xml:space="preserve"> </v>
      </c>
      <c r="G67" s="300"/>
      <c r="H67" s="108" t="str">
        <f>IF(ISBLANK('Lending Pad 2021 Credit'!V54)," ",'Lending Pad 2021 Credit'!V54)</f>
        <v xml:space="preserve"> </v>
      </c>
      <c r="I67" s="196"/>
      <c r="J67" s="107"/>
      <c r="K67" s="107"/>
      <c r="L67" s="107"/>
      <c r="M67" s="107"/>
      <c r="N67" s="107"/>
    </row>
    <row r="68" spans="1:14" hidden="1">
      <c r="A68" s="107"/>
      <c r="B68" s="195"/>
      <c r="C68" s="301" t="str">
        <f>IF(ISBLANK('Lending Pad 2021 Credit'!R55)," ",'Lending Pad 2021 Credit'!R55)</f>
        <v xml:space="preserve"> </v>
      </c>
      <c r="D68" s="301"/>
      <c r="E68" s="301"/>
      <c r="F68" s="299" t="str">
        <f>IF(ISBLANK('Lending Pad 2021 Credit'!U55)," ",'Lending Pad 2021 Credit'!U55)</f>
        <v xml:space="preserve"> </v>
      </c>
      <c r="G68" s="300"/>
      <c r="H68" s="108" t="str">
        <f>IF(ISBLANK('Lending Pad 2021 Credit'!V55)," ",'Lending Pad 2021 Credit'!V55)</f>
        <v xml:space="preserve"> </v>
      </c>
      <c r="I68" s="196"/>
      <c r="J68" s="107"/>
      <c r="K68" s="107"/>
      <c r="L68" s="107"/>
      <c r="M68" s="107"/>
      <c r="N68" s="107"/>
    </row>
    <row r="69" spans="1:14" hidden="1">
      <c r="A69" s="107"/>
      <c r="B69" s="195"/>
      <c r="C69" s="301" t="str">
        <f>IF(ISBLANK('Lending Pad 2021 Credit'!R56)," ",'Lending Pad 2021 Credit'!R56)</f>
        <v xml:space="preserve"> </v>
      </c>
      <c r="D69" s="301"/>
      <c r="E69" s="301"/>
      <c r="F69" s="299" t="str">
        <f>IF(ISBLANK('Lending Pad 2021 Credit'!U56)," ",'Lending Pad 2021 Credit'!U56)</f>
        <v xml:space="preserve"> </v>
      </c>
      <c r="G69" s="300"/>
      <c r="H69" s="108" t="str">
        <f>IF(ISBLANK('Lending Pad 2021 Credit'!V56)," ",'Lending Pad 2021 Credit'!V56)</f>
        <v xml:space="preserve"> </v>
      </c>
      <c r="I69" s="196"/>
      <c r="J69" s="107"/>
      <c r="K69" s="107"/>
      <c r="L69" s="107"/>
      <c r="M69" s="107"/>
      <c r="N69" s="107"/>
    </row>
    <row r="70" spans="1:14" hidden="1">
      <c r="A70" s="107"/>
      <c r="B70" s="195"/>
      <c r="C70" s="301" t="str">
        <f>IF(ISBLANK('Lending Pad 2021 Credit'!R57)," ",'Lending Pad 2021 Credit'!R57)</f>
        <v xml:space="preserve"> </v>
      </c>
      <c r="D70" s="301"/>
      <c r="E70" s="301"/>
      <c r="F70" s="299" t="str">
        <f>IF(ISBLANK('Lending Pad 2021 Credit'!U57)," ",'Lending Pad 2021 Credit'!U57)</f>
        <v xml:space="preserve"> </v>
      </c>
      <c r="G70" s="300"/>
      <c r="H70" s="108" t="str">
        <f>IF(ISBLANK('Lending Pad 2021 Credit'!V57)," ",'Lending Pad 2021 Credit'!V57)</f>
        <v xml:space="preserve"> </v>
      </c>
      <c r="I70" s="196"/>
      <c r="J70" s="107"/>
      <c r="K70" s="107"/>
      <c r="L70" s="107"/>
      <c r="M70" s="107"/>
      <c r="N70" s="107"/>
    </row>
    <row r="71" spans="1:14" hidden="1">
      <c r="A71" s="107"/>
      <c r="B71" s="195"/>
      <c r="C71" s="301" t="str">
        <f>IF(ISBLANK('Lending Pad 2021 Credit'!R58)," ",'Lending Pad 2021 Credit'!R58)</f>
        <v xml:space="preserve"> </v>
      </c>
      <c r="D71" s="301"/>
      <c r="E71" s="301"/>
      <c r="F71" s="299" t="str">
        <f>IF(ISBLANK('Lending Pad 2021 Credit'!U58)," ",'Lending Pad 2021 Credit'!U58)</f>
        <v xml:space="preserve"> </v>
      </c>
      <c r="G71" s="300"/>
      <c r="H71" s="108" t="str">
        <f>IF(ISBLANK('Lending Pad 2021 Credit'!V58)," ",'Lending Pad 2021 Credit'!V58)</f>
        <v xml:space="preserve"> </v>
      </c>
      <c r="I71" s="196"/>
      <c r="J71" s="107"/>
      <c r="K71" s="107"/>
      <c r="L71" s="107"/>
      <c r="M71" s="107"/>
      <c r="N71" s="107"/>
    </row>
    <row r="72" spans="1:14" hidden="1">
      <c r="A72" s="107"/>
      <c r="B72" s="195"/>
      <c r="C72" s="301" t="str">
        <f>IF(ISBLANK('Lending Pad 2021 Credit'!R59)," ",'Lending Pad 2021 Credit'!R59)</f>
        <v xml:space="preserve"> </v>
      </c>
      <c r="D72" s="301"/>
      <c r="E72" s="301"/>
      <c r="F72" s="299" t="str">
        <f>IF(ISBLANK('Lending Pad 2021 Credit'!U59)," ",'Lending Pad 2021 Credit'!U59)</f>
        <v xml:space="preserve"> </v>
      </c>
      <c r="G72" s="300"/>
      <c r="H72" s="108" t="str">
        <f>IF(ISBLANK('Lending Pad 2021 Credit'!V59)," ",'Lending Pad 2021 Credit'!V59)</f>
        <v xml:space="preserve"> </v>
      </c>
      <c r="I72" s="196"/>
      <c r="J72" s="107"/>
      <c r="K72" s="107"/>
      <c r="L72" s="107"/>
      <c r="M72" s="107"/>
      <c r="N72" s="107"/>
    </row>
    <row r="73" spans="1:14" hidden="1">
      <c r="A73" s="107"/>
      <c r="B73" s="195"/>
      <c r="C73" s="301" t="str">
        <f>IF(ISBLANK('Lending Pad 2021 Credit'!R60)," ",'Lending Pad 2021 Credit'!R60)</f>
        <v xml:space="preserve"> </v>
      </c>
      <c r="D73" s="301"/>
      <c r="E73" s="301"/>
      <c r="F73" s="299" t="str">
        <f>IF(ISBLANK('Lending Pad 2021 Credit'!U60)," ",'Lending Pad 2021 Credit'!U60)</f>
        <v xml:space="preserve"> </v>
      </c>
      <c r="G73" s="300"/>
      <c r="H73" s="108" t="str">
        <f>IF(ISBLANK('Lending Pad 2021 Credit'!V60)," ",'Lending Pad 2021 Credit'!V60)</f>
        <v xml:space="preserve"> </v>
      </c>
      <c r="I73" s="196"/>
      <c r="J73" s="107"/>
      <c r="K73" s="107"/>
      <c r="L73" s="107"/>
      <c r="M73" s="107"/>
      <c r="N73" s="107"/>
    </row>
    <row r="74" spans="1:14" hidden="1">
      <c r="A74" s="107"/>
      <c r="B74" s="195"/>
      <c r="C74" s="301" t="str">
        <f>IF(ISBLANK('Lending Pad 2021 Credit'!R61)," ",'Lending Pad 2021 Credit'!R61)</f>
        <v xml:space="preserve"> </v>
      </c>
      <c r="D74" s="301"/>
      <c r="E74" s="301"/>
      <c r="F74" s="299" t="str">
        <f>IF(ISBLANK('Lending Pad 2021 Credit'!U61)," ",'Lending Pad 2021 Credit'!U61)</f>
        <v xml:space="preserve"> </v>
      </c>
      <c r="G74" s="300"/>
      <c r="H74" s="108" t="str">
        <f>IF(ISBLANK('Lending Pad 2021 Credit'!V61)," ",'Lending Pad 2021 Credit'!V61)</f>
        <v xml:space="preserve"> </v>
      </c>
      <c r="I74" s="196"/>
      <c r="J74" s="107"/>
      <c r="K74" s="107"/>
      <c r="L74" s="107"/>
      <c r="M74" s="107"/>
      <c r="N74" s="107"/>
    </row>
    <row r="75" spans="1:14" hidden="1">
      <c r="A75" s="107"/>
      <c r="B75" s="195"/>
      <c r="C75" s="301" t="str">
        <f>IF(ISBLANK('Lending Pad 2021 Credit'!R62)," ",'Lending Pad 2021 Credit'!R62)</f>
        <v xml:space="preserve"> </v>
      </c>
      <c r="D75" s="301"/>
      <c r="E75" s="301"/>
      <c r="F75" s="299" t="str">
        <f>IF(ISBLANK('Lending Pad 2021 Credit'!U62)," ",'Lending Pad 2021 Credit'!U62)</f>
        <v xml:space="preserve"> </v>
      </c>
      <c r="G75" s="300"/>
      <c r="H75" s="108" t="str">
        <f>IF(ISBLANK('Lending Pad 2021 Credit'!V62)," ",'Lending Pad 2021 Credit'!V62)</f>
        <v xml:space="preserve"> </v>
      </c>
      <c r="I75" s="196"/>
      <c r="J75" s="107"/>
      <c r="K75" s="107"/>
      <c r="L75" s="107"/>
      <c r="M75" s="107"/>
      <c r="N75" s="107"/>
    </row>
    <row r="76" spans="1:14" hidden="1">
      <c r="A76" s="107"/>
      <c r="B76" s="195"/>
      <c r="C76" s="301" t="str">
        <f>IF(ISBLANK('Lending Pad 2021 Credit'!R63)," ",'Lending Pad 2021 Credit'!R63)</f>
        <v xml:space="preserve"> </v>
      </c>
      <c r="D76" s="301"/>
      <c r="E76" s="301"/>
      <c r="F76" s="299" t="str">
        <f>IF(ISBLANK('Lending Pad 2021 Credit'!U63)," ",'Lending Pad 2021 Credit'!U63)</f>
        <v xml:space="preserve"> </v>
      </c>
      <c r="G76" s="300"/>
      <c r="H76" s="108" t="str">
        <f>IF(ISBLANK('Lending Pad 2021 Credit'!V63)," ",'Lending Pad 2021 Credit'!V63)</f>
        <v xml:space="preserve"> </v>
      </c>
      <c r="I76" s="196"/>
      <c r="J76" s="107"/>
      <c r="K76" s="107"/>
      <c r="L76" s="107"/>
      <c r="M76" s="107"/>
      <c r="N76" s="107"/>
    </row>
    <row r="77" spans="1:14" ht="19.5" customHeight="1">
      <c r="A77" s="107"/>
      <c r="B77" s="195"/>
      <c r="C77" s="296" t="str">
        <f>IF(ISBLANK('Lending Pad 2023 Credit'!R4)," ",'Lending Pad 2023 Credit'!R4)</f>
        <v>SUN WEST MORTGAGE CO I</v>
      </c>
      <c r="D77" s="297"/>
      <c r="E77" s="298"/>
      <c r="F77" s="299">
        <f>IF(ISBLANK('Lending Pad 2023 Credit'!U4)," ",'Lending Pad 2023 Credit'!U4)</f>
        <v>325491</v>
      </c>
      <c r="G77" s="300"/>
      <c r="H77" s="108">
        <f>IF(ISBLANK('Lending Pad 2023 Credit'!V4)," ",'Lending Pad 2023 Credit'!V4)</f>
        <v>2230</v>
      </c>
      <c r="I77" s="196"/>
      <c r="J77" s="31"/>
      <c r="K77" s="31"/>
      <c r="L77" s="31"/>
      <c r="M77" s="31"/>
      <c r="N77" s="107"/>
    </row>
    <row r="78" spans="1:14" ht="14.25" customHeight="1">
      <c r="A78" s="107"/>
      <c r="B78" s="195"/>
      <c r="C78" s="296" t="str">
        <f>IF(ISBLANK('Lending Pad 2023 Credit'!R5)," ",'Lending Pad 2023 Credit'!R5)</f>
        <v>MOHELA/DEPT OF ED</v>
      </c>
      <c r="D78" s="297"/>
      <c r="E78" s="298"/>
      <c r="F78" s="299">
        <f>IF(ISBLANK('Lending Pad 2023 Credit'!U5)," ",'Lending Pad 2023 Credit'!U5)</f>
        <v>222785</v>
      </c>
      <c r="G78" s="300"/>
      <c r="H78" s="108">
        <f>IF(ISBLANK('Lending Pad 2023 Credit'!V5)," ",'Lending Pad 2023 Credit'!V5)</f>
        <v>2227.85</v>
      </c>
      <c r="I78" s="196"/>
      <c r="J78" s="107"/>
      <c r="K78" s="107"/>
      <c r="L78" s="107"/>
      <c r="M78" s="107"/>
      <c r="N78" s="107"/>
    </row>
    <row r="79" spans="1:14" ht="15" hidden="1" customHeight="1">
      <c r="A79" s="107"/>
      <c r="B79" s="195"/>
      <c r="C79" s="296" t="str">
        <f>IF(ISBLANK('Lending Pad 2023 Credit'!R6)," ",'Lending Pad 2023 Credit'!R6)</f>
        <v xml:space="preserve"> </v>
      </c>
      <c r="D79" s="297"/>
      <c r="E79" s="298"/>
      <c r="F79" s="299" t="str">
        <f>IF(ISBLANK('Lending Pad 2023 Credit'!U6)," ",'Lending Pad 2023 Credit'!U6)</f>
        <v xml:space="preserve"> </v>
      </c>
      <c r="G79" s="300"/>
      <c r="H79" s="108" t="str">
        <f>IF(ISBLANK('Lending Pad 2023 Credit'!V6)," ",'Lending Pad 2023 Credit'!V6)</f>
        <v xml:space="preserve"> </v>
      </c>
      <c r="I79" s="196"/>
      <c r="J79" s="107"/>
      <c r="K79" s="107"/>
      <c r="L79" s="107"/>
      <c r="M79" s="107"/>
      <c r="N79" s="107"/>
    </row>
    <row r="80" spans="1:14" ht="15" hidden="1" customHeight="1">
      <c r="A80" s="107"/>
      <c r="B80" s="195"/>
      <c r="C80" s="296" t="str">
        <f>IF(ISBLANK('Lending Pad 2023 Credit'!R7)," ",'Lending Pad 2023 Credit'!R7)</f>
        <v xml:space="preserve"> </v>
      </c>
      <c r="D80" s="297"/>
      <c r="E80" s="298"/>
      <c r="F80" s="299" t="str">
        <f>IF(ISBLANK('Lending Pad 2023 Credit'!U7)," ",'Lending Pad 2023 Credit'!U7)</f>
        <v xml:space="preserve"> </v>
      </c>
      <c r="G80" s="300"/>
      <c r="H80" s="108" t="str">
        <f>IF(ISBLANK('Lending Pad 2023 Credit'!V7)," ",'Lending Pad 2023 Credit'!V7)</f>
        <v xml:space="preserve"> </v>
      </c>
      <c r="I80" s="196"/>
      <c r="J80" s="107"/>
      <c r="K80" s="107"/>
      <c r="L80" s="107"/>
      <c r="M80" s="107"/>
      <c r="N80" s="107"/>
    </row>
    <row r="81" spans="1:14" ht="14.4" hidden="1" customHeight="1">
      <c r="A81" s="107"/>
      <c r="B81" s="195"/>
      <c r="C81" s="296" t="str">
        <f>IF(ISBLANK('Lending Pad 2023 Credit'!R8)," ",'Lending Pad 2023 Credit'!R8)</f>
        <v xml:space="preserve"> </v>
      </c>
      <c r="D81" s="297"/>
      <c r="E81" s="298"/>
      <c r="F81" s="299" t="str">
        <f>IF(ISBLANK('Lending Pad 2023 Credit'!U8)," ",'Lending Pad 2023 Credit'!U8)</f>
        <v xml:space="preserve"> </v>
      </c>
      <c r="G81" s="300"/>
      <c r="H81" s="108" t="str">
        <f>IF(ISBLANK('Lending Pad 2023 Credit'!V8)," ",'Lending Pad 2023 Credit'!V8)</f>
        <v xml:space="preserve"> </v>
      </c>
      <c r="I81" s="196"/>
      <c r="J81" s="107"/>
      <c r="K81" s="107"/>
      <c r="L81" s="107"/>
      <c r="M81" s="107"/>
      <c r="N81" s="107"/>
    </row>
    <row r="82" spans="1:14" hidden="1">
      <c r="A82" s="107"/>
      <c r="B82" s="195"/>
      <c r="C82" s="296" t="str">
        <f>IF(ISBLANK('Lending Pad 2023 Credit'!R9)," ",'Lending Pad 2023 Credit'!R9)</f>
        <v xml:space="preserve"> </v>
      </c>
      <c r="D82" s="297"/>
      <c r="E82" s="298"/>
      <c r="F82" s="299" t="str">
        <f>IF(ISBLANK('Lending Pad 2023 Credit'!U9)," ",'Lending Pad 2023 Credit'!U9)</f>
        <v xml:space="preserve"> </v>
      </c>
      <c r="G82" s="300"/>
      <c r="H82" s="108" t="str">
        <f>IF(ISBLANK('Lending Pad 2023 Credit'!V9)," ",'Lending Pad 2023 Credit'!V9)</f>
        <v xml:space="preserve"> </v>
      </c>
      <c r="I82" s="196"/>
      <c r="J82" s="107"/>
      <c r="K82" s="107"/>
      <c r="L82" s="107"/>
      <c r="M82" s="107"/>
      <c r="N82" s="107"/>
    </row>
    <row r="83" spans="1:14" ht="15" hidden="1" customHeight="1">
      <c r="A83" s="107"/>
      <c r="B83" s="195"/>
      <c r="C83" s="296" t="str">
        <f>IF(ISBLANK('Lending Pad 2023 Credit'!R10)," ",'Lending Pad 2023 Credit'!R10)</f>
        <v xml:space="preserve"> </v>
      </c>
      <c r="D83" s="297"/>
      <c r="E83" s="298"/>
      <c r="F83" s="299" t="str">
        <f>IF(ISBLANK('Lending Pad 2023 Credit'!U10)," ",'Lending Pad 2023 Credit'!U10)</f>
        <v xml:space="preserve"> </v>
      </c>
      <c r="G83" s="300"/>
      <c r="H83" s="108" t="str">
        <f>IF(ISBLANK('Lending Pad 2023 Credit'!V10)," ",'Lending Pad 2023 Credit'!V10)</f>
        <v xml:space="preserve"> </v>
      </c>
      <c r="I83" s="196"/>
      <c r="J83" s="107"/>
      <c r="K83" s="107"/>
      <c r="L83" s="107"/>
      <c r="M83" s="107"/>
      <c r="N83" s="107"/>
    </row>
    <row r="84" spans="1:14" ht="15" hidden="1" customHeight="1">
      <c r="A84" s="107"/>
      <c r="B84" s="195"/>
      <c r="C84" s="296" t="str">
        <f>IF(ISBLANK('Lending Pad 2023 Credit'!R11)," ",'Lending Pad 2023 Credit'!R11)</f>
        <v xml:space="preserve"> </v>
      </c>
      <c r="D84" s="297"/>
      <c r="E84" s="298"/>
      <c r="F84" s="299" t="str">
        <f>IF(ISBLANK('Lending Pad 2023 Credit'!U11)," ",'Lending Pad 2023 Credit'!U11)</f>
        <v xml:space="preserve"> </v>
      </c>
      <c r="G84" s="300"/>
      <c r="H84" s="108" t="str">
        <f>IF(ISBLANK('Lending Pad 2023 Credit'!V11)," ",'Lending Pad 2023 Credit'!V11)</f>
        <v xml:space="preserve"> </v>
      </c>
      <c r="I84" s="196"/>
      <c r="J84" s="107"/>
      <c r="K84" s="107"/>
      <c r="L84" s="107"/>
      <c r="M84" s="107"/>
      <c r="N84" s="107"/>
    </row>
    <row r="85" spans="1:14" hidden="1">
      <c r="A85" s="107"/>
      <c r="B85" s="195"/>
      <c r="C85" s="296" t="str">
        <f>IF(ISBLANK('Lending Pad 2023 Credit'!R12)," ",'Lending Pad 2023 Credit'!R12)</f>
        <v xml:space="preserve"> </v>
      </c>
      <c r="D85" s="297"/>
      <c r="E85" s="298"/>
      <c r="F85" s="299" t="str">
        <f>IF(ISBLANK('Lending Pad 2023 Credit'!U12)," ",'Lending Pad 2023 Credit'!U12)</f>
        <v xml:space="preserve"> </v>
      </c>
      <c r="G85" s="300"/>
      <c r="H85" s="108" t="str">
        <f>IF(ISBLANK('Lending Pad 2023 Credit'!V12)," ",'Lending Pad 2023 Credit'!V12)</f>
        <v xml:space="preserve"> </v>
      </c>
      <c r="I85" s="196"/>
      <c r="J85" s="107"/>
      <c r="K85" s="107"/>
      <c r="L85" s="107"/>
      <c r="M85" s="107"/>
      <c r="N85" s="107"/>
    </row>
    <row r="86" spans="1:14" ht="15" hidden="1" customHeight="1">
      <c r="A86" s="107"/>
      <c r="B86" s="195"/>
      <c r="C86" s="296" t="str">
        <f>IF(ISBLANK('Lending Pad 2023 Credit'!R13)," ",'Lending Pad 2023 Credit'!R13)</f>
        <v xml:space="preserve"> </v>
      </c>
      <c r="D86" s="297"/>
      <c r="E86" s="298"/>
      <c r="F86" s="299" t="str">
        <f>IF(ISBLANK('Lending Pad 2023 Credit'!U13)," ",'Lending Pad 2023 Credit'!U13)</f>
        <v xml:space="preserve"> </v>
      </c>
      <c r="G86" s="300"/>
      <c r="H86" s="108" t="str">
        <f>IF(ISBLANK('Lending Pad 2023 Credit'!V13)," ",'Lending Pad 2023 Credit'!V13)</f>
        <v xml:space="preserve"> </v>
      </c>
      <c r="I86" s="196"/>
      <c r="J86" s="107"/>
      <c r="K86" s="107"/>
      <c r="L86" s="107"/>
      <c r="M86" s="107"/>
      <c r="N86" s="107"/>
    </row>
    <row r="87" spans="1:14" ht="15" hidden="1" customHeight="1">
      <c r="A87" s="107"/>
      <c r="B87" s="195"/>
      <c r="C87" s="296" t="str">
        <f>IF(ISBLANK('Lending Pad 2023 Credit'!R14)," ",'Lending Pad 2023 Credit'!R14)</f>
        <v xml:space="preserve"> </v>
      </c>
      <c r="D87" s="297"/>
      <c r="E87" s="298"/>
      <c r="F87" s="299" t="str">
        <f>IF(ISBLANK('Lending Pad 2023 Credit'!U14)," ",'Lending Pad 2023 Credit'!U14)</f>
        <v xml:space="preserve"> </v>
      </c>
      <c r="G87" s="300"/>
      <c r="H87" s="108" t="str">
        <f>IF(ISBLANK('Lending Pad 2023 Credit'!V14)," ",'Lending Pad 2023 Credit'!V14)</f>
        <v xml:space="preserve"> </v>
      </c>
      <c r="I87" s="196"/>
      <c r="J87" s="107"/>
      <c r="K87" s="107"/>
      <c r="L87" s="107"/>
      <c r="M87" s="107"/>
      <c r="N87" s="107"/>
    </row>
    <row r="88" spans="1:14" ht="15" hidden="1" customHeight="1">
      <c r="A88" s="107"/>
      <c r="B88" s="195"/>
      <c r="C88" s="296" t="str">
        <f>IF(ISBLANK('Lending Pad 2023 Credit'!R15)," ",'Lending Pad 2023 Credit'!R15)</f>
        <v xml:space="preserve"> </v>
      </c>
      <c r="D88" s="297"/>
      <c r="E88" s="298"/>
      <c r="F88" s="299" t="str">
        <f>IF(ISBLANK('Lending Pad 2023 Credit'!U15)," ",'Lending Pad 2023 Credit'!U15)</f>
        <v xml:space="preserve"> </v>
      </c>
      <c r="G88" s="300"/>
      <c r="H88" s="108" t="str">
        <f>IF(ISBLANK('Lending Pad 2023 Credit'!V15)," ",'Lending Pad 2023 Credit'!V15)</f>
        <v xml:space="preserve"> </v>
      </c>
      <c r="I88" s="196"/>
      <c r="J88" s="107"/>
      <c r="K88" s="107"/>
      <c r="L88" s="107"/>
      <c r="M88" s="107"/>
      <c r="N88" s="107"/>
    </row>
    <row r="89" spans="1:14" ht="14.4" hidden="1" customHeight="1">
      <c r="A89" s="107"/>
      <c r="B89" s="195"/>
      <c r="C89" s="296" t="str">
        <f>IF(ISBLANK('Lending Pad 2023 Credit'!R16)," ",'Lending Pad 2023 Credit'!R16)</f>
        <v xml:space="preserve"> </v>
      </c>
      <c r="D89" s="297"/>
      <c r="E89" s="298"/>
      <c r="F89" s="299" t="str">
        <f>IF(ISBLANK('Lending Pad 2023 Credit'!U16)," ",'Lending Pad 2023 Credit'!U16)</f>
        <v xml:space="preserve"> </v>
      </c>
      <c r="G89" s="300"/>
      <c r="H89" s="108" t="str">
        <f>IF(ISBLANK('Lending Pad 2023 Credit'!V16)," ",'Lending Pad 2023 Credit'!V16)</f>
        <v xml:space="preserve"> </v>
      </c>
      <c r="I89" s="196"/>
      <c r="J89" s="107"/>
      <c r="K89" s="107"/>
      <c r="L89" s="107"/>
      <c r="M89" s="107"/>
      <c r="N89" s="107"/>
    </row>
    <row r="90" spans="1:14" ht="15" hidden="1" customHeight="1">
      <c r="A90" s="107"/>
      <c r="B90" s="195"/>
      <c r="C90" s="296" t="str">
        <f>IF(ISBLANK('Lending Pad 2023 Credit'!R17)," ",'Lending Pad 2023 Credit'!R17)</f>
        <v xml:space="preserve"> </v>
      </c>
      <c r="D90" s="297"/>
      <c r="E90" s="298"/>
      <c r="F90" s="299" t="str">
        <f>IF(ISBLANK('Lending Pad 2023 Credit'!U17)," ",'Lending Pad 2023 Credit'!U17)</f>
        <v xml:space="preserve"> </v>
      </c>
      <c r="G90" s="300"/>
      <c r="H90" s="108" t="str">
        <f>IF(ISBLANK('Lending Pad 2023 Credit'!V17)," ",'Lending Pad 2023 Credit'!V17)</f>
        <v xml:space="preserve"> </v>
      </c>
      <c r="I90" s="196"/>
      <c r="J90" s="107"/>
      <c r="K90" s="107"/>
      <c r="L90" s="107"/>
      <c r="M90" s="107"/>
      <c r="N90" s="107"/>
    </row>
    <row r="91" spans="1:14" ht="15" hidden="1" customHeight="1">
      <c r="A91" s="107"/>
      <c r="B91" s="195"/>
      <c r="C91" s="296" t="str">
        <f>IF(ISBLANK('Lending Pad 2023 Credit'!R18)," ",'Lending Pad 2023 Credit'!R18)</f>
        <v xml:space="preserve"> </v>
      </c>
      <c r="D91" s="297"/>
      <c r="E91" s="298"/>
      <c r="F91" s="299" t="str">
        <f>IF(ISBLANK('Lending Pad 2023 Credit'!U18)," ",'Lending Pad 2023 Credit'!U18)</f>
        <v xml:space="preserve"> </v>
      </c>
      <c r="G91" s="300"/>
      <c r="H91" s="108" t="str">
        <f>IF(ISBLANK('Lending Pad 2023 Credit'!V18)," ",'Lending Pad 2023 Credit'!V18)</f>
        <v xml:space="preserve"> </v>
      </c>
      <c r="I91" s="196"/>
      <c r="J91" s="107"/>
      <c r="K91" s="107"/>
      <c r="L91" s="107"/>
      <c r="M91" s="107"/>
      <c r="N91" s="107"/>
    </row>
    <row r="92" spans="1:14" hidden="1">
      <c r="A92" s="107"/>
      <c r="B92" s="195"/>
      <c r="C92" s="296" t="str">
        <f>IF(ISBLANK('Lending Pad 2023 Credit'!R19)," ",'Lending Pad 2023 Credit'!R19)</f>
        <v xml:space="preserve"> </v>
      </c>
      <c r="D92" s="297"/>
      <c r="E92" s="298"/>
      <c r="F92" s="299" t="str">
        <f>IF(ISBLANK('Lending Pad 2023 Credit'!U19)," ",'Lending Pad 2023 Credit'!U19)</f>
        <v xml:space="preserve"> </v>
      </c>
      <c r="G92" s="300"/>
      <c r="H92" s="108" t="str">
        <f>IF(ISBLANK('Lending Pad 2023 Credit'!V19)," ",'Lending Pad 2023 Credit'!V19)</f>
        <v xml:space="preserve"> </v>
      </c>
      <c r="I92" s="196"/>
      <c r="J92" s="107"/>
      <c r="K92" s="107"/>
      <c r="L92" s="107"/>
      <c r="M92" s="107"/>
      <c r="N92" s="107"/>
    </row>
    <row r="93" spans="1:14" ht="19.5" hidden="1" customHeight="1">
      <c r="A93" s="107"/>
      <c r="B93" s="195"/>
      <c r="C93" s="296" t="str">
        <f>IF(ISBLANK('Lending Pad 2023 Credit'!R20)," ",'Lending Pad 2023 Credit'!R20)</f>
        <v xml:space="preserve"> </v>
      </c>
      <c r="D93" s="297"/>
      <c r="E93" s="298"/>
      <c r="F93" s="299" t="str">
        <f>IF(ISBLANK('Lending Pad 2023 Credit'!U20)," ",'Lending Pad 2023 Credit'!U20)</f>
        <v xml:space="preserve"> </v>
      </c>
      <c r="G93" s="300"/>
      <c r="H93" s="108" t="str">
        <f>IF(ISBLANK('Lending Pad 2023 Credit'!V20)," ",'Lending Pad 2023 Credit'!V20)</f>
        <v xml:space="preserve"> </v>
      </c>
      <c r="I93" s="196"/>
      <c r="J93" s="31"/>
      <c r="K93" s="31"/>
      <c r="L93" s="31"/>
      <c r="M93" s="31"/>
      <c r="N93" s="107"/>
    </row>
    <row r="94" spans="1:14" hidden="1">
      <c r="A94" s="107"/>
      <c r="B94" s="195"/>
      <c r="C94" s="296" t="str">
        <f>IF(ISBLANK('Lending Pad 2023 Credit'!R21)," ",'Lending Pad 2023 Credit'!R21)</f>
        <v xml:space="preserve"> </v>
      </c>
      <c r="D94" s="297"/>
      <c r="E94" s="298"/>
      <c r="F94" s="299" t="str">
        <f>IF(ISBLANK('Lending Pad 2023 Credit'!U21)," ",'Lending Pad 2023 Credit'!U21)</f>
        <v xml:space="preserve"> </v>
      </c>
      <c r="G94" s="300"/>
      <c r="H94" s="108" t="str">
        <f>IF(ISBLANK('Lending Pad 2023 Credit'!V21)," ",'Lending Pad 2023 Credit'!V21)</f>
        <v xml:space="preserve"> </v>
      </c>
      <c r="I94" s="196"/>
      <c r="J94" s="107"/>
      <c r="K94" s="107"/>
      <c r="L94" s="107"/>
      <c r="M94" s="107"/>
      <c r="N94" s="107"/>
    </row>
    <row r="95" spans="1:14" hidden="1">
      <c r="A95" s="107"/>
      <c r="B95" s="195"/>
      <c r="C95" s="296" t="str">
        <f>IF(ISBLANK('Lending Pad 2023 Credit'!R22)," ",'Lending Pad 2023 Credit'!R22)</f>
        <v xml:space="preserve"> </v>
      </c>
      <c r="D95" s="297"/>
      <c r="E95" s="298"/>
      <c r="F95" s="299" t="str">
        <f>IF(ISBLANK('Lending Pad 2023 Credit'!U22)," ",'Lending Pad 2023 Credit'!U22)</f>
        <v xml:space="preserve"> </v>
      </c>
      <c r="G95" s="300"/>
      <c r="H95" s="108" t="str">
        <f>IF(ISBLANK('Lending Pad 2023 Credit'!V22)," ",'Lending Pad 2023 Credit'!V22)</f>
        <v xml:space="preserve"> </v>
      </c>
      <c r="I95" s="196"/>
      <c r="J95" s="107"/>
      <c r="K95" s="107"/>
      <c r="L95" s="107"/>
      <c r="M95" s="107"/>
      <c r="N95" s="107"/>
    </row>
    <row r="96" spans="1:14" hidden="1">
      <c r="A96" s="107"/>
      <c r="B96" s="195"/>
      <c r="C96" s="296" t="str">
        <f>IF(ISBLANK('Lending Pad 2023 Credit'!R23)," ",'Lending Pad 2023 Credit'!R23)</f>
        <v xml:space="preserve"> </v>
      </c>
      <c r="D96" s="297"/>
      <c r="E96" s="298"/>
      <c r="F96" s="299" t="str">
        <f>IF(ISBLANK('Lending Pad 2023 Credit'!U23)," ",'Lending Pad 2023 Credit'!U23)</f>
        <v xml:space="preserve"> </v>
      </c>
      <c r="G96" s="300"/>
      <c r="H96" s="108" t="str">
        <f>IF(ISBLANK('Lending Pad 2023 Credit'!V23)," ",'Lending Pad 2023 Credit'!V23)</f>
        <v xml:space="preserve"> </v>
      </c>
      <c r="I96" s="196"/>
      <c r="J96" s="107"/>
      <c r="K96" s="107"/>
      <c r="L96" s="107"/>
      <c r="M96" s="107"/>
      <c r="N96" s="107"/>
    </row>
    <row r="97" spans="1:14" hidden="1">
      <c r="A97" s="107"/>
      <c r="B97" s="195"/>
      <c r="C97" s="296" t="str">
        <f>IF(ISBLANK('Lending Pad 2023 Credit'!R24)," ",'Lending Pad 2023 Credit'!R24)</f>
        <v xml:space="preserve"> </v>
      </c>
      <c r="D97" s="297"/>
      <c r="E97" s="298"/>
      <c r="F97" s="299" t="str">
        <f>IF(ISBLANK('Lending Pad 2023 Credit'!U24)," ",'Lending Pad 2023 Credit'!U24)</f>
        <v xml:space="preserve"> </v>
      </c>
      <c r="G97" s="300"/>
      <c r="H97" s="108" t="str">
        <f>IF(ISBLANK('Lending Pad 2023 Credit'!V24)," ",'Lending Pad 2023 Credit'!V24)</f>
        <v xml:space="preserve"> </v>
      </c>
      <c r="I97" s="196"/>
      <c r="J97" s="107"/>
      <c r="K97" s="107"/>
      <c r="L97" s="107"/>
      <c r="M97" s="107"/>
      <c r="N97" s="107"/>
    </row>
    <row r="98" spans="1:14" hidden="1">
      <c r="A98" s="107"/>
      <c r="B98" s="195"/>
      <c r="C98" s="296" t="str">
        <f>IF(ISBLANK('Lending Pad 2023 Credit'!R25)," ",'Lending Pad 2023 Credit'!R25)</f>
        <v xml:space="preserve"> </v>
      </c>
      <c r="D98" s="297"/>
      <c r="E98" s="298"/>
      <c r="F98" s="299" t="str">
        <f>IF(ISBLANK('Lending Pad 2023 Credit'!U25)," ",'Lending Pad 2023 Credit'!U25)</f>
        <v xml:space="preserve"> </v>
      </c>
      <c r="G98" s="300"/>
      <c r="H98" s="108" t="str">
        <f>IF(ISBLANK('Lending Pad 2023 Credit'!V25)," ",'Lending Pad 2023 Credit'!V25)</f>
        <v xml:space="preserve"> </v>
      </c>
      <c r="I98" s="196"/>
      <c r="J98" s="107"/>
      <c r="K98" s="107"/>
      <c r="L98" s="107"/>
      <c r="M98" s="107"/>
      <c r="N98" s="107"/>
    </row>
    <row r="99" spans="1:14" hidden="1">
      <c r="A99" s="107"/>
      <c r="B99" s="195"/>
      <c r="C99" s="296" t="str">
        <f>IF(ISBLANK('Lending Pad 2023 Credit'!R26)," ",'Lending Pad 2023 Credit'!R26)</f>
        <v xml:space="preserve"> </v>
      </c>
      <c r="D99" s="297"/>
      <c r="E99" s="298"/>
      <c r="F99" s="299" t="str">
        <f>IF(ISBLANK('Lending Pad 2023 Credit'!U26)," ",'Lending Pad 2023 Credit'!U26)</f>
        <v xml:space="preserve"> </v>
      </c>
      <c r="G99" s="300"/>
      <c r="H99" s="108" t="str">
        <f>IF(ISBLANK('Lending Pad 2023 Credit'!V26)," ",'Lending Pad 2023 Credit'!V26)</f>
        <v xml:space="preserve"> </v>
      </c>
      <c r="I99" s="196"/>
      <c r="J99" s="107"/>
      <c r="K99" s="107"/>
      <c r="L99" s="107"/>
      <c r="M99" s="107"/>
      <c r="N99" s="107"/>
    </row>
    <row r="100" spans="1:14" hidden="1">
      <c r="A100" s="107"/>
      <c r="B100" s="195"/>
      <c r="C100" s="296" t="str">
        <f>IF(ISBLANK('Lending Pad 2023 Credit'!R27)," ",'Lending Pad 2023 Credit'!R27)</f>
        <v xml:space="preserve"> </v>
      </c>
      <c r="D100" s="297"/>
      <c r="E100" s="298"/>
      <c r="F100" s="299" t="str">
        <f>IF(ISBLANK('Lending Pad 2023 Credit'!U27)," ",'Lending Pad 2023 Credit'!U27)</f>
        <v xml:space="preserve"> </v>
      </c>
      <c r="G100" s="300"/>
      <c r="H100" s="108" t="str">
        <f>IF(ISBLANK('Lending Pad 2023 Credit'!V27)," ",'Lending Pad 2023 Credit'!V27)</f>
        <v xml:space="preserve"> </v>
      </c>
      <c r="I100" s="196"/>
      <c r="J100" s="107"/>
      <c r="K100" s="107"/>
      <c r="L100" s="107"/>
      <c r="M100" s="107"/>
      <c r="N100" s="107"/>
    </row>
    <row r="101" spans="1:14" hidden="1">
      <c r="A101" s="107"/>
      <c r="B101" s="195"/>
      <c r="C101" s="296" t="str">
        <f>IF(ISBLANK('Lending Pad 2023 Credit'!R28)," ",'Lending Pad 2023 Credit'!R28)</f>
        <v xml:space="preserve"> </v>
      </c>
      <c r="D101" s="297"/>
      <c r="E101" s="298"/>
      <c r="F101" s="299" t="str">
        <f>IF(ISBLANK('Lending Pad 2023 Credit'!U28)," ",'Lending Pad 2023 Credit'!U28)</f>
        <v xml:space="preserve"> </v>
      </c>
      <c r="G101" s="300"/>
      <c r="H101" s="108" t="str">
        <f>IF(ISBLANK('Lending Pad 2023 Credit'!V28)," ",'Lending Pad 2023 Credit'!V28)</f>
        <v xml:space="preserve"> </v>
      </c>
      <c r="I101" s="196"/>
      <c r="J101" s="107"/>
      <c r="K101" s="107"/>
      <c r="L101" s="107"/>
      <c r="M101" s="107"/>
      <c r="N101" s="107"/>
    </row>
    <row r="102" spans="1:14" hidden="1">
      <c r="A102" s="107"/>
      <c r="B102" s="195"/>
      <c r="C102" s="296" t="str">
        <f>IF(ISBLANK('Lending Pad 2023 Credit'!R29)," ",'Lending Pad 2023 Credit'!R29)</f>
        <v xml:space="preserve"> </v>
      </c>
      <c r="D102" s="297"/>
      <c r="E102" s="298"/>
      <c r="F102" s="299" t="str">
        <f>IF(ISBLANK('Lending Pad 2023 Credit'!U29)," ",'Lending Pad 2023 Credit'!U29)</f>
        <v xml:space="preserve"> </v>
      </c>
      <c r="G102" s="300"/>
      <c r="H102" s="108" t="str">
        <f>IF(ISBLANK('Lending Pad 2023 Credit'!V29)," ",'Lending Pad 2023 Credit'!V29)</f>
        <v xml:space="preserve"> </v>
      </c>
      <c r="I102" s="196"/>
      <c r="J102" s="107"/>
      <c r="K102" s="107"/>
      <c r="L102" s="107"/>
      <c r="M102" s="107"/>
      <c r="N102" s="107"/>
    </row>
    <row r="103" spans="1:14" hidden="1">
      <c r="A103" s="107"/>
      <c r="B103" s="195"/>
      <c r="C103" s="296" t="str">
        <f>IF(ISBLANK('Lending Pad 2023 Credit'!R30)," ",'Lending Pad 2023 Credit'!R30)</f>
        <v xml:space="preserve"> </v>
      </c>
      <c r="D103" s="297"/>
      <c r="E103" s="298"/>
      <c r="F103" s="299" t="str">
        <f>IF(ISBLANK('Lending Pad 2023 Credit'!U30)," ",'Lending Pad 2023 Credit'!U30)</f>
        <v xml:space="preserve"> </v>
      </c>
      <c r="G103" s="300"/>
      <c r="H103" s="108" t="str">
        <f>IF(ISBLANK('Lending Pad 2023 Credit'!V30)," ",'Lending Pad 2023 Credit'!V30)</f>
        <v xml:space="preserve"> </v>
      </c>
      <c r="I103" s="196"/>
      <c r="J103" s="107"/>
      <c r="K103" s="107"/>
      <c r="L103" s="107"/>
      <c r="M103" s="107"/>
      <c r="N103" s="107"/>
    </row>
    <row r="104" spans="1:14" hidden="1">
      <c r="A104" s="107"/>
      <c r="B104" s="195"/>
      <c r="C104" s="296" t="str">
        <f>IF(ISBLANK('Lending Pad 2023 Credit'!R31)," ",'Lending Pad 2023 Credit'!R31)</f>
        <v xml:space="preserve"> </v>
      </c>
      <c r="D104" s="297"/>
      <c r="E104" s="298"/>
      <c r="F104" s="299" t="str">
        <f>IF(ISBLANK('Lending Pad 2023 Credit'!U31)," ",'Lending Pad 2023 Credit'!U31)</f>
        <v xml:space="preserve"> </v>
      </c>
      <c r="G104" s="300"/>
      <c r="H104" s="108" t="str">
        <f>IF(ISBLANK('Lending Pad 2023 Credit'!V31)," ",'Lending Pad 2023 Credit'!V31)</f>
        <v xml:space="preserve"> </v>
      </c>
      <c r="I104" s="196"/>
      <c r="J104" s="107"/>
      <c r="K104" s="107"/>
      <c r="L104" s="107"/>
      <c r="M104" s="107"/>
      <c r="N104" s="107"/>
    </row>
    <row r="105" spans="1:14" hidden="1">
      <c r="A105" s="107"/>
      <c r="B105" s="195"/>
      <c r="C105" s="296" t="str">
        <f>IF(ISBLANK('Lending Pad 2023 Credit'!R32)," ",'Lending Pad 2023 Credit'!R32)</f>
        <v xml:space="preserve"> </v>
      </c>
      <c r="D105" s="297"/>
      <c r="E105" s="298"/>
      <c r="F105" s="299" t="str">
        <f>IF(ISBLANK('Lending Pad 2023 Credit'!U32)," ",'Lending Pad 2023 Credit'!U32)</f>
        <v xml:space="preserve"> </v>
      </c>
      <c r="G105" s="300"/>
      <c r="H105" s="108" t="str">
        <f>IF(ISBLANK('Lending Pad 2023 Credit'!V32)," ",'Lending Pad 2023 Credit'!V32)</f>
        <v xml:space="preserve"> </v>
      </c>
      <c r="I105" s="196"/>
      <c r="J105" s="107"/>
      <c r="K105" s="107"/>
      <c r="L105" s="107"/>
      <c r="M105" s="107"/>
      <c r="N105" s="107"/>
    </row>
    <row r="106" spans="1:14" hidden="1">
      <c r="A106" s="107"/>
      <c r="B106" s="195"/>
      <c r="C106" s="296" t="str">
        <f>IF(ISBLANK('Lending Pad 2023 Credit'!R33)," ",'Lending Pad 2023 Credit'!R33)</f>
        <v xml:space="preserve"> </v>
      </c>
      <c r="D106" s="297"/>
      <c r="E106" s="298"/>
      <c r="F106" s="299" t="str">
        <f>IF(ISBLANK('Lending Pad 2023 Credit'!U33)," ",'Lending Pad 2023 Credit'!U33)</f>
        <v xml:space="preserve"> </v>
      </c>
      <c r="G106" s="300"/>
      <c r="H106" s="108" t="str">
        <f>IF(ISBLANK('Lending Pad 2023 Credit'!V33)," ",'Lending Pad 2023 Credit'!V33)</f>
        <v xml:space="preserve"> </v>
      </c>
      <c r="I106" s="196"/>
      <c r="J106" s="107"/>
      <c r="K106" s="107"/>
      <c r="L106" s="107"/>
      <c r="M106" s="107"/>
      <c r="N106" s="107"/>
    </row>
    <row r="107" spans="1:14" hidden="1">
      <c r="A107" s="107"/>
      <c r="B107" s="195"/>
      <c r="C107" s="296" t="str">
        <f>IF(ISBLANK('Lending Pad 2023 Credit'!R34)," ",'Lending Pad 2023 Credit'!R34)</f>
        <v xml:space="preserve"> </v>
      </c>
      <c r="D107" s="297"/>
      <c r="E107" s="298"/>
      <c r="F107" s="299" t="str">
        <f>IF(ISBLANK('Lending Pad 2023 Credit'!U34)," ",'Lending Pad 2023 Credit'!U34)</f>
        <v xml:space="preserve"> </v>
      </c>
      <c r="G107" s="300"/>
      <c r="H107" s="108" t="str">
        <f>IF(ISBLANK('Lending Pad 2023 Credit'!V34)," ",'Lending Pad 2023 Credit'!V34)</f>
        <v xml:space="preserve"> </v>
      </c>
      <c r="I107" s="196"/>
      <c r="J107" s="107"/>
      <c r="K107" s="107"/>
      <c r="L107" s="107"/>
      <c r="M107" s="107"/>
      <c r="N107" s="107"/>
    </row>
    <row r="108" spans="1:14" hidden="1">
      <c r="A108" s="107"/>
      <c r="B108" s="195"/>
      <c r="C108" s="296" t="str">
        <f>IF(ISBLANK('Lending Pad 2023 Credit'!R35)," ",'Lending Pad 2023 Credit'!R35)</f>
        <v xml:space="preserve"> </v>
      </c>
      <c r="D108" s="297"/>
      <c r="E108" s="298"/>
      <c r="F108" s="299" t="str">
        <f>IF(ISBLANK('Lending Pad 2023 Credit'!U35)," ",'Lending Pad 2023 Credit'!U35)</f>
        <v xml:space="preserve"> </v>
      </c>
      <c r="G108" s="300"/>
      <c r="H108" s="108" t="str">
        <f>IF(ISBLANK('Lending Pad 2023 Credit'!V35)," ",'Lending Pad 2023 Credit'!V35)</f>
        <v xml:space="preserve"> </v>
      </c>
      <c r="I108" s="196"/>
      <c r="J108" s="107"/>
      <c r="K108" s="107"/>
      <c r="L108" s="107"/>
      <c r="M108" s="107"/>
      <c r="N108" s="107"/>
    </row>
    <row r="109" spans="1:14" hidden="1">
      <c r="A109" s="107"/>
      <c r="B109" s="195"/>
      <c r="C109" s="296" t="str">
        <f>IF(ISBLANK('Lending Pad 2023 Credit'!R36)," ",'Lending Pad 2023 Credit'!R36)</f>
        <v xml:space="preserve"> </v>
      </c>
      <c r="D109" s="297"/>
      <c r="E109" s="298"/>
      <c r="F109" s="299" t="str">
        <f>IF(ISBLANK('Lending Pad 2023 Credit'!U36)," ",'Lending Pad 2023 Credit'!U36)</f>
        <v xml:space="preserve"> </v>
      </c>
      <c r="G109" s="300"/>
      <c r="H109" s="108" t="str">
        <f>IF(ISBLANK('Lending Pad 2023 Credit'!V36)," ",'Lending Pad 2023 Credit'!V36)</f>
        <v xml:space="preserve"> </v>
      </c>
      <c r="I109" s="196"/>
      <c r="J109" s="107"/>
      <c r="K109" s="107"/>
      <c r="L109" s="107"/>
      <c r="M109" s="107"/>
      <c r="N109" s="107"/>
    </row>
    <row r="110" spans="1:14" hidden="1">
      <c r="A110" s="107"/>
      <c r="B110" s="195"/>
      <c r="C110" s="296" t="str">
        <f>IF(ISBLANK('Lending Pad 2023 Credit'!R37)," ",'Lending Pad 2023 Credit'!R37)</f>
        <v xml:space="preserve"> </v>
      </c>
      <c r="D110" s="297"/>
      <c r="E110" s="298"/>
      <c r="F110" s="299" t="str">
        <f>IF(ISBLANK('Lending Pad 2023 Credit'!U37)," ",'Lending Pad 2023 Credit'!U37)</f>
        <v xml:space="preserve"> </v>
      </c>
      <c r="G110" s="300"/>
      <c r="H110" s="108" t="str">
        <f>IF(ISBLANK('Lending Pad 2023 Credit'!V37)," ",'Lending Pad 2023 Credit'!V37)</f>
        <v xml:space="preserve"> </v>
      </c>
      <c r="I110" s="196"/>
      <c r="J110" s="107"/>
      <c r="K110" s="107"/>
      <c r="L110" s="107"/>
      <c r="M110" s="107"/>
      <c r="N110" s="107"/>
    </row>
    <row r="111" spans="1:14" hidden="1">
      <c r="A111" s="107"/>
      <c r="B111" s="195"/>
      <c r="C111" s="296" t="str">
        <f>IF(ISBLANK('Lending Pad 2023 Credit'!R38)," ",'Lending Pad 2023 Credit'!R38)</f>
        <v xml:space="preserve"> </v>
      </c>
      <c r="D111" s="297"/>
      <c r="E111" s="298"/>
      <c r="F111" s="299" t="str">
        <f>IF(ISBLANK('Lending Pad 2023 Credit'!U38)," ",'Lending Pad 2023 Credit'!U38)</f>
        <v xml:space="preserve"> </v>
      </c>
      <c r="G111" s="300"/>
      <c r="H111" s="108" t="str">
        <f>IF(ISBLANK('Lending Pad 2023 Credit'!V38)," ",'Lending Pad 2023 Credit'!V38)</f>
        <v xml:space="preserve"> </v>
      </c>
      <c r="I111" s="196"/>
      <c r="J111" s="107"/>
      <c r="K111" s="107"/>
      <c r="L111" s="107"/>
      <c r="M111" s="107"/>
      <c r="N111" s="107"/>
    </row>
    <row r="112" spans="1:14" hidden="1">
      <c r="A112" s="107"/>
      <c r="B112" s="195"/>
      <c r="C112" s="296" t="str">
        <f>IF(ISBLANK('Lending Pad 2023 Credit'!R39)," ",'Lending Pad 2023 Credit'!R39)</f>
        <v xml:space="preserve"> </v>
      </c>
      <c r="D112" s="297"/>
      <c r="E112" s="298"/>
      <c r="F112" s="299" t="str">
        <f>IF(ISBLANK('Lending Pad 2023 Credit'!U39)," ",'Lending Pad 2023 Credit'!U39)</f>
        <v xml:space="preserve"> </v>
      </c>
      <c r="G112" s="300"/>
      <c r="H112" s="108" t="str">
        <f>IF(ISBLANK('Lending Pad 2023 Credit'!V39)," ",'Lending Pad 2023 Credit'!V39)</f>
        <v xml:space="preserve"> </v>
      </c>
      <c r="I112" s="196"/>
      <c r="J112" s="107"/>
      <c r="K112" s="107"/>
      <c r="L112" s="107"/>
      <c r="M112" s="107"/>
      <c r="N112" s="107"/>
    </row>
    <row r="113" spans="1:14" hidden="1">
      <c r="A113" s="107"/>
      <c r="B113" s="195"/>
      <c r="C113" s="296" t="str">
        <f>IF(ISBLANK('Lending Pad 2023 Credit'!R40)," ",'Lending Pad 2023 Credit'!R40)</f>
        <v xml:space="preserve"> </v>
      </c>
      <c r="D113" s="297"/>
      <c r="E113" s="298"/>
      <c r="F113" s="299" t="str">
        <f>IF(ISBLANK('Lending Pad 2023 Credit'!U40)," ",'Lending Pad 2023 Credit'!U40)</f>
        <v xml:space="preserve"> </v>
      </c>
      <c r="G113" s="300"/>
      <c r="H113" s="108" t="str">
        <f>IF(ISBLANK('Lending Pad 2023 Credit'!V40)," ",'Lending Pad 2023 Credit'!V40)</f>
        <v xml:space="preserve"> </v>
      </c>
      <c r="I113" s="196"/>
      <c r="J113" s="107"/>
      <c r="K113" s="107"/>
      <c r="L113" s="107"/>
      <c r="M113" s="107"/>
      <c r="N113" s="107"/>
    </row>
    <row r="114" spans="1:14" hidden="1">
      <c r="A114" s="107"/>
      <c r="B114" s="195"/>
      <c r="C114" s="296" t="str">
        <f>IF(ISBLANK('Lending Pad 2023 Credit'!R41)," ",'Lending Pad 2023 Credit'!R41)</f>
        <v xml:space="preserve"> </v>
      </c>
      <c r="D114" s="297"/>
      <c r="E114" s="298"/>
      <c r="F114" s="299" t="str">
        <f>IF(ISBLANK('Lending Pad 2023 Credit'!U41)," ",'Lending Pad 2023 Credit'!U41)</f>
        <v xml:space="preserve"> </v>
      </c>
      <c r="G114" s="300"/>
      <c r="H114" s="108" t="str">
        <f>IF(ISBLANK('Lending Pad 2023 Credit'!V41)," ",'Lending Pad 2023 Credit'!V41)</f>
        <v xml:space="preserve"> </v>
      </c>
      <c r="I114" s="196"/>
      <c r="J114" s="107"/>
      <c r="K114" s="107"/>
      <c r="L114" s="107"/>
      <c r="M114" s="107"/>
      <c r="N114" s="107"/>
    </row>
    <row r="115" spans="1:14" hidden="1">
      <c r="A115" s="107"/>
      <c r="B115" s="195"/>
      <c r="C115" s="296" t="str">
        <f>IF(ISBLANK('Lending Pad 2023 Credit'!R42)," ",'Lending Pad 2023 Credit'!R42)</f>
        <v xml:space="preserve"> </v>
      </c>
      <c r="D115" s="297"/>
      <c r="E115" s="298"/>
      <c r="F115" s="299" t="str">
        <f>IF(ISBLANK('Lending Pad 2023 Credit'!U42)," ",'Lending Pad 2023 Credit'!U42)</f>
        <v xml:space="preserve"> </v>
      </c>
      <c r="G115" s="300"/>
      <c r="H115" s="108" t="str">
        <f>IF(ISBLANK('Lending Pad 2023 Credit'!V42)," ",'Lending Pad 2023 Credit'!V42)</f>
        <v xml:space="preserve"> </v>
      </c>
      <c r="I115" s="196"/>
      <c r="J115" s="107"/>
      <c r="K115" s="107"/>
      <c r="L115" s="107"/>
      <c r="M115" s="107"/>
      <c r="N115" s="107"/>
    </row>
    <row r="116" spans="1:14" hidden="1">
      <c r="A116" s="107"/>
      <c r="B116" s="195"/>
      <c r="C116" s="296" t="str">
        <f>IF(ISBLANK('Lending Pad 2023 Credit'!R43)," ",'Lending Pad 2023 Credit'!R43)</f>
        <v xml:space="preserve"> </v>
      </c>
      <c r="D116" s="297"/>
      <c r="E116" s="298"/>
      <c r="F116" s="299" t="str">
        <f>IF(ISBLANK('Lending Pad 2023 Credit'!U43)," ",'Lending Pad 2023 Credit'!U43)</f>
        <v xml:space="preserve"> </v>
      </c>
      <c r="G116" s="300"/>
      <c r="H116" s="108" t="str">
        <f>IF(ISBLANK('Lending Pad 2023 Credit'!V43)," ",'Lending Pad 2023 Credit'!V43)</f>
        <v xml:space="preserve"> </v>
      </c>
      <c r="I116" s="196"/>
      <c r="J116" s="107"/>
      <c r="K116" s="107"/>
      <c r="L116" s="107"/>
      <c r="M116" s="107"/>
      <c r="N116" s="107"/>
    </row>
    <row r="117" spans="1:14" hidden="1">
      <c r="A117" s="107"/>
      <c r="B117" s="195"/>
      <c r="C117" s="296" t="str">
        <f>IF(ISBLANK('Lending Pad 2023 Credit'!R44)," ",'Lending Pad 2023 Credit'!R44)</f>
        <v xml:space="preserve"> </v>
      </c>
      <c r="D117" s="297"/>
      <c r="E117" s="298"/>
      <c r="F117" s="299" t="str">
        <f>IF(ISBLANK('Lending Pad 2023 Credit'!U44)," ",'Lending Pad 2023 Credit'!U44)</f>
        <v xml:space="preserve"> </v>
      </c>
      <c r="G117" s="300"/>
      <c r="H117" s="108" t="str">
        <f>IF(ISBLANK('Lending Pad 2023 Credit'!V44)," ",'Lending Pad 2023 Credit'!V44)</f>
        <v xml:space="preserve"> </v>
      </c>
      <c r="I117" s="196"/>
      <c r="J117" s="107"/>
      <c r="K117" s="107"/>
      <c r="L117" s="107"/>
      <c r="M117" s="107"/>
      <c r="N117" s="107"/>
    </row>
    <row r="118" spans="1:14" hidden="1">
      <c r="A118" s="107"/>
      <c r="B118" s="195"/>
      <c r="C118" s="296" t="str">
        <f>IF(ISBLANK('Lending Pad 2023 Credit'!R45)," ",'Lending Pad 2023 Credit'!R45)</f>
        <v xml:space="preserve"> </v>
      </c>
      <c r="D118" s="297"/>
      <c r="E118" s="298"/>
      <c r="F118" s="299" t="str">
        <f>IF(ISBLANK('Lending Pad 2023 Credit'!U45)," ",'Lending Pad 2023 Credit'!U45)</f>
        <v xml:space="preserve"> </v>
      </c>
      <c r="G118" s="300"/>
      <c r="H118" s="108" t="str">
        <f>IF(ISBLANK('Lending Pad 2023 Credit'!V45)," ",'Lending Pad 2023 Credit'!V45)</f>
        <v xml:space="preserve"> </v>
      </c>
      <c r="I118" s="196"/>
      <c r="J118" s="107"/>
      <c r="K118" s="107"/>
      <c r="L118" s="107"/>
      <c r="M118" s="107"/>
      <c r="N118" s="107"/>
    </row>
    <row r="119" spans="1:14" hidden="1">
      <c r="A119" s="107"/>
      <c r="B119" s="195"/>
      <c r="C119" s="296" t="str">
        <f>IF(ISBLANK('Lending Pad 2023 Credit'!R46)," ",'Lending Pad 2023 Credit'!R46)</f>
        <v xml:space="preserve"> </v>
      </c>
      <c r="D119" s="297"/>
      <c r="E119" s="298"/>
      <c r="F119" s="299" t="str">
        <f>IF(ISBLANK('Lending Pad 2023 Credit'!U46)," ",'Lending Pad 2023 Credit'!U46)</f>
        <v xml:space="preserve"> </v>
      </c>
      <c r="G119" s="300"/>
      <c r="H119" s="108" t="str">
        <f>IF(ISBLANK('Lending Pad 2023 Credit'!V46)," ",'Lending Pad 2023 Credit'!V46)</f>
        <v xml:space="preserve"> </v>
      </c>
      <c r="I119" s="196"/>
      <c r="J119" s="107"/>
      <c r="K119" s="107"/>
      <c r="L119" s="107"/>
      <c r="M119" s="107"/>
      <c r="N119" s="107"/>
    </row>
    <row r="120" spans="1:14" hidden="1">
      <c r="A120" s="107"/>
      <c r="B120" s="195"/>
      <c r="C120" s="296" t="str">
        <f>IF(ISBLANK('Lending Pad 2023 Credit'!R47)," ",'Lending Pad 2023 Credit'!R47)</f>
        <v xml:space="preserve"> </v>
      </c>
      <c r="D120" s="297"/>
      <c r="E120" s="298"/>
      <c r="F120" s="299" t="str">
        <f>IF(ISBLANK('Lending Pad 2023 Credit'!U47)," ",'Lending Pad 2023 Credit'!U47)</f>
        <v xml:space="preserve"> </v>
      </c>
      <c r="G120" s="300"/>
      <c r="H120" s="108" t="str">
        <f>IF(ISBLANK('Lending Pad 2023 Credit'!V47)," ",'Lending Pad 2023 Credit'!V47)</f>
        <v xml:space="preserve"> </v>
      </c>
      <c r="I120" s="196"/>
      <c r="J120" s="107"/>
      <c r="K120" s="107"/>
      <c r="L120" s="107"/>
      <c r="M120" s="107"/>
      <c r="N120" s="107"/>
    </row>
    <row r="121" spans="1:14" hidden="1">
      <c r="A121" s="107"/>
      <c r="B121" s="195"/>
      <c r="C121" s="296" t="str">
        <f>IF(ISBLANK('Lending Pad 2023 Credit'!R48)," ",'Lending Pad 2023 Credit'!R48)</f>
        <v xml:space="preserve"> </v>
      </c>
      <c r="D121" s="297"/>
      <c r="E121" s="298"/>
      <c r="F121" s="299" t="str">
        <f>IF(ISBLANK('Lending Pad 2023 Credit'!U48)," ",'Lending Pad 2023 Credit'!U48)</f>
        <v xml:space="preserve"> </v>
      </c>
      <c r="G121" s="300"/>
      <c r="H121" s="108" t="str">
        <f>IF(ISBLANK('Lending Pad 2023 Credit'!V48)," ",'Lending Pad 2023 Credit'!V48)</f>
        <v xml:space="preserve"> </v>
      </c>
      <c r="I121" s="196"/>
      <c r="J121" s="107"/>
      <c r="K121" s="107"/>
      <c r="L121" s="107"/>
      <c r="M121" s="107"/>
      <c r="N121" s="107"/>
    </row>
    <row r="122" spans="1:14" hidden="1">
      <c r="A122" s="107"/>
      <c r="B122" s="195"/>
      <c r="C122" s="296" t="str">
        <f>IF(ISBLANK('Lending Pad 2023 Credit'!R49)," ",'Lending Pad 2023 Credit'!R49)</f>
        <v xml:space="preserve"> </v>
      </c>
      <c r="D122" s="297"/>
      <c r="E122" s="298"/>
      <c r="F122" s="299" t="str">
        <f>IF(ISBLANK('Lending Pad 2023 Credit'!U49)," ",'Lending Pad 2023 Credit'!U49)</f>
        <v xml:space="preserve"> </v>
      </c>
      <c r="G122" s="300"/>
      <c r="H122" s="108" t="str">
        <f>IF(ISBLANK('Lending Pad 2023 Credit'!V49)," ",'Lending Pad 2023 Credit'!V49)</f>
        <v xml:space="preserve"> </v>
      </c>
      <c r="I122" s="196"/>
      <c r="J122" s="107"/>
      <c r="K122" s="107"/>
      <c r="L122" s="107"/>
      <c r="M122" s="107"/>
      <c r="N122" s="107"/>
    </row>
    <row r="123" spans="1:14" hidden="1">
      <c r="A123" s="107"/>
      <c r="B123" s="195"/>
      <c r="C123" s="296" t="str">
        <f>IF(ISBLANK('Lending Pad 2023 Credit'!R50)," ",'Lending Pad 2023 Credit'!R50)</f>
        <v xml:space="preserve"> </v>
      </c>
      <c r="D123" s="297"/>
      <c r="E123" s="298"/>
      <c r="F123" s="299" t="str">
        <f>IF(ISBLANK('Lending Pad 2023 Credit'!U50)," ",'Lending Pad 2023 Credit'!U50)</f>
        <v xml:space="preserve"> </v>
      </c>
      <c r="G123" s="300"/>
      <c r="H123" s="108" t="str">
        <f>IF(ISBLANK('Lending Pad 2023 Credit'!V50)," ",'Lending Pad 2023 Credit'!V50)</f>
        <v xml:space="preserve"> </v>
      </c>
      <c r="I123" s="196"/>
      <c r="J123" s="107"/>
      <c r="K123" s="107"/>
      <c r="L123" s="107"/>
      <c r="M123" s="107"/>
      <c r="N123" s="107"/>
    </row>
    <row r="124" spans="1:14" hidden="1">
      <c r="A124" s="107"/>
      <c r="B124" s="195"/>
      <c r="C124" s="296" t="str">
        <f>IF(ISBLANK('Lending Pad 2023 Credit'!R51)," ",'Lending Pad 2023 Credit'!R51)</f>
        <v xml:space="preserve"> </v>
      </c>
      <c r="D124" s="297"/>
      <c r="E124" s="298"/>
      <c r="F124" s="299" t="str">
        <f>IF(ISBLANK('Lending Pad 2023 Credit'!U51)," ",'Lending Pad 2023 Credit'!U51)</f>
        <v xml:space="preserve"> </v>
      </c>
      <c r="G124" s="300"/>
      <c r="H124" s="108" t="str">
        <f>IF(ISBLANK('Lending Pad 2023 Credit'!V51)," ",'Lending Pad 2023 Credit'!V51)</f>
        <v xml:space="preserve"> </v>
      </c>
      <c r="I124" s="196"/>
      <c r="J124" s="107"/>
      <c r="K124" s="107"/>
      <c r="L124" s="107"/>
      <c r="M124" s="107"/>
      <c r="N124" s="107"/>
    </row>
    <row r="125" spans="1:14" hidden="1">
      <c r="A125" s="107"/>
      <c r="B125" s="195"/>
      <c r="C125" s="296" t="str">
        <f>IF(ISBLANK('Lending Pad 2023 Credit'!R52)," ",'Lending Pad 2023 Credit'!R52)</f>
        <v xml:space="preserve"> </v>
      </c>
      <c r="D125" s="297"/>
      <c r="E125" s="298"/>
      <c r="F125" s="299" t="str">
        <f>IF(ISBLANK('Lending Pad 2023 Credit'!U52)," ",'Lending Pad 2023 Credit'!U52)</f>
        <v xml:space="preserve"> </v>
      </c>
      <c r="G125" s="300"/>
      <c r="H125" s="108" t="str">
        <f>IF(ISBLANK('Lending Pad 2023 Credit'!V52)," ",'Lending Pad 2023 Credit'!V52)</f>
        <v xml:space="preserve"> </v>
      </c>
      <c r="I125" s="196"/>
      <c r="J125" s="107"/>
      <c r="K125" s="107"/>
      <c r="L125" s="107"/>
      <c r="M125" s="107"/>
      <c r="N125" s="107"/>
    </row>
    <row r="126" spans="1:14" hidden="1">
      <c r="A126" s="107"/>
      <c r="B126" s="195"/>
      <c r="C126" s="296" t="str">
        <f>IF(ISBLANK('Lending Pad 2023 Credit'!R53)," ",'Lending Pad 2023 Credit'!R53)</f>
        <v xml:space="preserve"> </v>
      </c>
      <c r="D126" s="297"/>
      <c r="E126" s="298"/>
      <c r="F126" s="299" t="str">
        <f>IF(ISBLANK('Lending Pad 2023 Credit'!U53)," ",'Lending Pad 2023 Credit'!U53)</f>
        <v xml:space="preserve"> </v>
      </c>
      <c r="G126" s="300"/>
      <c r="H126" s="108" t="str">
        <f>IF(ISBLANK('Lending Pad 2023 Credit'!V53)," ",'Lending Pad 2023 Credit'!V53)</f>
        <v xml:space="preserve"> </v>
      </c>
      <c r="I126" s="196"/>
      <c r="J126" s="107"/>
      <c r="K126" s="107"/>
      <c r="L126" s="107"/>
      <c r="M126" s="107"/>
      <c r="N126" s="107"/>
    </row>
    <row r="127" spans="1:14" hidden="1">
      <c r="A127" s="107"/>
      <c r="B127" s="195"/>
      <c r="C127" s="296" t="str">
        <f>IF(ISBLANK('Lending Pad 2023 Credit'!R54)," ",'Lending Pad 2023 Credit'!R54)</f>
        <v xml:space="preserve"> </v>
      </c>
      <c r="D127" s="297"/>
      <c r="E127" s="298"/>
      <c r="F127" s="299" t="str">
        <f>IF(ISBLANK('Lending Pad 2023 Credit'!U54)," ",'Lending Pad 2023 Credit'!U54)</f>
        <v xml:space="preserve"> </v>
      </c>
      <c r="G127" s="300"/>
      <c r="H127" s="108" t="str">
        <f>IF(ISBLANK('Lending Pad 2023 Credit'!V54)," ",'Lending Pad 2023 Credit'!V54)</f>
        <v xml:space="preserve"> </v>
      </c>
      <c r="I127" s="196"/>
      <c r="J127" s="107"/>
      <c r="K127" s="107"/>
      <c r="L127" s="107"/>
      <c r="M127" s="107"/>
      <c r="N127" s="107"/>
    </row>
    <row r="128" spans="1:14" hidden="1">
      <c r="A128" s="107"/>
      <c r="B128" s="195"/>
      <c r="C128" s="296" t="str">
        <f>IF(ISBLANK('Lending Pad 2023 Credit'!R55)," ",'Lending Pad 2023 Credit'!R55)</f>
        <v xml:space="preserve"> </v>
      </c>
      <c r="D128" s="297"/>
      <c r="E128" s="298"/>
      <c r="F128" s="299" t="str">
        <f>IF(ISBLANK('Lending Pad 2023 Credit'!U55)," ",'Lending Pad 2023 Credit'!U55)</f>
        <v xml:space="preserve"> </v>
      </c>
      <c r="G128" s="300"/>
      <c r="H128" s="108" t="str">
        <f>IF(ISBLANK('Lending Pad 2023 Credit'!V55)," ",'Lending Pad 2023 Credit'!V55)</f>
        <v xml:space="preserve"> </v>
      </c>
      <c r="I128" s="196"/>
      <c r="J128" s="107"/>
      <c r="K128" s="107"/>
      <c r="L128" s="107"/>
      <c r="M128" s="107"/>
      <c r="N128" s="107"/>
    </row>
    <row r="129" spans="1:14" hidden="1">
      <c r="A129" s="107"/>
      <c r="B129" s="195"/>
      <c r="C129" s="296" t="str">
        <f>IF(ISBLANK('Lending Pad 2023 Credit'!R56)," ",'Lending Pad 2023 Credit'!R56)</f>
        <v xml:space="preserve"> </v>
      </c>
      <c r="D129" s="297"/>
      <c r="E129" s="298"/>
      <c r="F129" s="299" t="str">
        <f>IF(ISBLANK('Lending Pad 2023 Credit'!U56)," ",'Lending Pad 2023 Credit'!U56)</f>
        <v xml:space="preserve"> </v>
      </c>
      <c r="G129" s="300"/>
      <c r="H129" s="108" t="str">
        <f>IF(ISBLANK('Lending Pad 2023 Credit'!V56)," ",'Lending Pad 2023 Credit'!V56)</f>
        <v xml:space="preserve"> </v>
      </c>
      <c r="I129" s="196"/>
      <c r="J129" s="107"/>
      <c r="K129" s="107"/>
      <c r="L129" s="107"/>
      <c r="M129" s="107"/>
      <c r="N129" s="107"/>
    </row>
    <row r="130" spans="1:14" hidden="1">
      <c r="A130" s="107"/>
      <c r="B130" s="195"/>
      <c r="C130" s="296" t="str">
        <f>IF(ISBLANK('Lending Pad 2023 Credit'!R57)," ",'Lending Pad 2023 Credit'!R57)</f>
        <v xml:space="preserve"> </v>
      </c>
      <c r="D130" s="297"/>
      <c r="E130" s="298"/>
      <c r="F130" s="299" t="str">
        <f>IF(ISBLANK('Lending Pad 2023 Credit'!U57)," ",'Lending Pad 2023 Credit'!U57)</f>
        <v xml:space="preserve"> </v>
      </c>
      <c r="G130" s="300"/>
      <c r="H130" s="108" t="str">
        <f>IF(ISBLANK('Lending Pad 2023 Credit'!V57)," ",'Lending Pad 2023 Credit'!V57)</f>
        <v xml:space="preserve"> </v>
      </c>
      <c r="I130" s="196"/>
      <c r="J130" s="107"/>
      <c r="K130" s="107"/>
      <c r="L130" s="107"/>
      <c r="M130" s="107"/>
      <c r="N130" s="107"/>
    </row>
    <row r="131" spans="1:14" hidden="1">
      <c r="A131" s="107"/>
      <c r="B131" s="195"/>
      <c r="C131" s="296" t="str">
        <f>IF(ISBLANK('Lending Pad 2023 Credit'!R58)," ",'Lending Pad 2023 Credit'!R58)</f>
        <v xml:space="preserve"> </v>
      </c>
      <c r="D131" s="297"/>
      <c r="E131" s="298"/>
      <c r="F131" s="299" t="str">
        <f>IF(ISBLANK('Lending Pad 2023 Credit'!U58)," ",'Lending Pad 2023 Credit'!U58)</f>
        <v xml:space="preserve"> </v>
      </c>
      <c r="G131" s="300"/>
      <c r="H131" s="108" t="str">
        <f>IF(ISBLANK('Lending Pad 2023 Credit'!V58)," ",'Lending Pad 2023 Credit'!V58)</f>
        <v xml:space="preserve"> </v>
      </c>
      <c r="I131" s="196"/>
      <c r="J131" s="107"/>
      <c r="K131" s="107"/>
      <c r="L131" s="107"/>
      <c r="M131" s="107"/>
      <c r="N131" s="107"/>
    </row>
    <row r="132" spans="1:14" hidden="1">
      <c r="A132" s="107"/>
      <c r="B132" s="195"/>
      <c r="C132" s="296" t="str">
        <f>IF(ISBLANK('Lending Pad 2023 Credit'!R59)," ",'Lending Pad 2023 Credit'!R59)</f>
        <v xml:space="preserve"> </v>
      </c>
      <c r="D132" s="297"/>
      <c r="E132" s="298"/>
      <c r="F132" s="299" t="str">
        <f>IF(ISBLANK('Lending Pad 2023 Credit'!U59)," ",'Lending Pad 2023 Credit'!U59)</f>
        <v xml:space="preserve"> </v>
      </c>
      <c r="G132" s="300"/>
      <c r="H132" s="108" t="str">
        <f>IF(ISBLANK('Lending Pad 2023 Credit'!V59)," ",'Lending Pad 2023 Credit'!V59)</f>
        <v xml:space="preserve"> </v>
      </c>
      <c r="I132" s="196"/>
      <c r="J132" s="107"/>
      <c r="K132" s="107"/>
      <c r="L132" s="107"/>
      <c r="M132" s="107"/>
      <c r="N132" s="107"/>
    </row>
    <row r="133" spans="1:14" hidden="1">
      <c r="A133" s="107"/>
      <c r="B133" s="195"/>
      <c r="C133" s="296" t="str">
        <f>IF(ISBLANK('Lending Pad 2023 Credit'!R60)," ",'Lending Pad 2023 Credit'!R60)</f>
        <v xml:space="preserve"> </v>
      </c>
      <c r="D133" s="297"/>
      <c r="E133" s="298"/>
      <c r="F133" s="299" t="str">
        <f>IF(ISBLANK('Lending Pad 2023 Credit'!U60)," ",'Lending Pad 2023 Credit'!U60)</f>
        <v xml:space="preserve"> </v>
      </c>
      <c r="G133" s="300"/>
      <c r="H133" s="108" t="str">
        <f>IF(ISBLANK('Lending Pad 2023 Credit'!V60)," ",'Lending Pad 2023 Credit'!V60)</f>
        <v xml:space="preserve"> </v>
      </c>
      <c r="I133" s="196"/>
      <c r="J133" s="107"/>
      <c r="K133" s="107"/>
      <c r="L133" s="107"/>
      <c r="M133" s="107"/>
      <c r="N133" s="107"/>
    </row>
    <row r="134" spans="1:14" hidden="1">
      <c r="A134" s="107"/>
      <c r="B134" s="195"/>
      <c r="C134" s="296" t="str">
        <f>IF(ISBLANK('Lending Pad 2023 Credit'!R61)," ",'Lending Pad 2023 Credit'!R61)</f>
        <v xml:space="preserve"> </v>
      </c>
      <c r="D134" s="297"/>
      <c r="E134" s="298"/>
      <c r="F134" s="299" t="str">
        <f>IF(ISBLANK('Lending Pad 2023 Credit'!U61)," ",'Lending Pad 2023 Credit'!U61)</f>
        <v xml:space="preserve"> </v>
      </c>
      <c r="G134" s="300"/>
      <c r="H134" s="108" t="str">
        <f>IF(ISBLANK('Lending Pad 2023 Credit'!V61)," ",'Lending Pad 2023 Credit'!V61)</f>
        <v xml:space="preserve"> </v>
      </c>
      <c r="I134" s="196"/>
      <c r="J134" s="107"/>
      <c r="K134" s="107"/>
      <c r="L134" s="107"/>
      <c r="M134" s="107"/>
      <c r="N134" s="107"/>
    </row>
    <row r="135" spans="1:14" hidden="1">
      <c r="A135" s="107"/>
      <c r="B135" s="195"/>
      <c r="C135" s="296" t="str">
        <f>IF(ISBLANK('Lending Pad 2023 Credit'!R62)," ",'Lending Pad 2023 Credit'!R62)</f>
        <v xml:space="preserve"> </v>
      </c>
      <c r="D135" s="297"/>
      <c r="E135" s="298"/>
      <c r="F135" s="299" t="str">
        <f>IF(ISBLANK('Lending Pad 2023 Credit'!U62)," ",'Lending Pad 2023 Credit'!U62)</f>
        <v xml:space="preserve"> </v>
      </c>
      <c r="G135" s="300"/>
      <c r="H135" s="108" t="str">
        <f>IF(ISBLANK('Lending Pad 2023 Credit'!V62)," ",'Lending Pad 2023 Credit'!V62)</f>
        <v xml:space="preserve"> </v>
      </c>
      <c r="I135" s="196"/>
      <c r="J135" s="107"/>
      <c r="K135" s="107"/>
      <c r="L135" s="107"/>
      <c r="M135" s="107"/>
      <c r="N135" s="107"/>
    </row>
    <row r="136" spans="1:14" hidden="1">
      <c r="A136" s="107"/>
      <c r="B136" s="195"/>
      <c r="C136" s="296" t="str">
        <f>IF(ISBLANK('Lending Pad 2023 Credit'!R63)," ",'Lending Pad 2023 Credit'!R63)</f>
        <v xml:space="preserve"> </v>
      </c>
      <c r="D136" s="297"/>
      <c r="E136" s="298"/>
      <c r="F136" s="299" t="str">
        <f>IF(ISBLANK('Lending Pad 2023 Credit'!U63)," ",'Lending Pad 2023 Credit'!U63)</f>
        <v xml:space="preserve"> </v>
      </c>
      <c r="G136" s="300"/>
      <c r="H136" s="108" t="str">
        <f>IF(ISBLANK('Lending Pad 2023 Credit'!V63)," ",'Lending Pad 2023 Credit'!V63)</f>
        <v xml:space="preserve"> </v>
      </c>
      <c r="I136" s="196"/>
      <c r="J136" s="107"/>
      <c r="K136" s="107"/>
      <c r="L136" s="107"/>
      <c r="M136" s="107"/>
      <c r="N136" s="107"/>
    </row>
    <row r="137" spans="1:14" ht="19.5" customHeight="1">
      <c r="A137" s="107"/>
      <c r="B137" s="195"/>
      <c r="C137" s="296" t="str">
        <f>IF(ISBLANK('Rocket Credit Pre-Register'!W3)," ",'Rocket Credit Pre-Register'!W3)</f>
        <v>EXETER FIN</v>
      </c>
      <c r="D137" s="297"/>
      <c r="E137" s="298"/>
      <c r="F137" s="299">
        <f>IF(ISBLANK('Rocket Credit Pre-Register'!Y3)," ",'Rocket Credit Pre-Register'!Y3)</f>
        <v>11749</v>
      </c>
      <c r="G137" s="300"/>
      <c r="H137" s="108">
        <f>IF(ISBLANK('Rocket Credit Pre-Register'!Z3)," ",'Rocket Credit Pre-Register'!Z3)</f>
        <v>305</v>
      </c>
      <c r="I137" s="196"/>
      <c r="J137" s="31"/>
      <c r="K137" s="31"/>
      <c r="L137" s="31"/>
      <c r="M137" s="31"/>
      <c r="N137" s="107"/>
    </row>
    <row r="138" spans="1:14" ht="14.25" customHeight="1">
      <c r="A138" s="107"/>
      <c r="B138" s="195"/>
      <c r="C138" s="296" t="str">
        <f>IF(ISBLANK('Rocket Credit Pre-Register'!W4)," ",'Rocket Credit Pre-Register'!W4)</f>
        <v>POPA FCU</v>
      </c>
      <c r="D138" s="297"/>
      <c r="E138" s="298"/>
      <c r="F138" s="299">
        <f>IF(ISBLANK('Rocket Credit Pre-Register'!Y4)," ",'Rocket Credit Pre-Register'!Y4)</f>
        <v>2895</v>
      </c>
      <c r="G138" s="300"/>
      <c r="H138" s="108">
        <f>IF(ISBLANK('Rocket Credit Pre-Register'!Z4)," ",'Rocket Credit Pre-Register'!Z4)</f>
        <v>150</v>
      </c>
      <c r="I138" s="196"/>
      <c r="J138" s="107"/>
      <c r="K138" s="107"/>
      <c r="L138" s="107"/>
      <c r="M138" s="107"/>
      <c r="N138" s="107"/>
    </row>
    <row r="139" spans="1:14" ht="15" customHeight="1">
      <c r="A139" s="107"/>
      <c r="B139" s="195"/>
      <c r="C139" s="296" t="str">
        <f>IF(ISBLANK('Rocket Credit Pre-Register'!W5)," ",'Rocket Credit Pre-Register'!W5)</f>
        <v>REGION...</v>
      </c>
      <c r="D139" s="297"/>
      <c r="E139" s="298"/>
      <c r="F139" s="299">
        <f>IF(ISBLANK('Rocket Credit Pre-Register'!Y5)," ",'Rocket Credit Pre-Register'!Y5)</f>
        <v>6373</v>
      </c>
      <c r="G139" s="300"/>
      <c r="H139" s="108">
        <f>IF(ISBLANK('Rocket Credit Pre-Register'!Z5)," ",'Rocket Credit Pre-Register'!Z5)</f>
        <v>263</v>
      </c>
      <c r="I139" s="196"/>
      <c r="J139" s="107"/>
      <c r="K139" s="107"/>
      <c r="L139" s="107"/>
      <c r="M139" s="107"/>
      <c r="N139" s="107"/>
    </row>
    <row r="140" spans="1:14" ht="15" customHeight="1">
      <c r="A140" s="107"/>
      <c r="B140" s="195"/>
      <c r="C140" s="296" t="str">
        <f>IF(ISBLANK('Rocket Credit Pre-Register'!W6)," ",'Rocket Credit Pre-Register'!W6)</f>
        <v>POPA FCU</v>
      </c>
      <c r="D140" s="297"/>
      <c r="E140" s="298"/>
      <c r="F140" s="299">
        <f>IF(ISBLANK('Rocket Credit Pre-Register'!Y6)," ",'Rocket Credit Pre-Register'!Y6)</f>
        <v>1111</v>
      </c>
      <c r="G140" s="300"/>
      <c r="H140" s="108">
        <f>IF(ISBLANK('Rocket Credit Pre-Register'!Z6)," ",'Rocket Credit Pre-Register'!Z6)</f>
        <v>31</v>
      </c>
      <c r="I140" s="196"/>
      <c r="J140" s="107"/>
      <c r="K140" s="107"/>
      <c r="L140" s="107"/>
      <c r="M140" s="107"/>
      <c r="N140" s="107"/>
    </row>
    <row r="141" spans="1:14" ht="14.4" customHeight="1">
      <c r="A141" s="107"/>
      <c r="B141" s="195"/>
      <c r="C141" s="296" t="str">
        <f>IF(ISBLANK('Rocket Credit Pre-Register'!W7)," ",'Rocket Credit Pre-Register'!W7)</f>
        <v>POPA FCU</v>
      </c>
      <c r="D141" s="297"/>
      <c r="E141" s="298"/>
      <c r="F141" s="299">
        <f>IF(ISBLANK('Rocket Credit Pre-Register'!Y7)," ",'Rocket Credit Pre-Register'!Y7)</f>
        <v>15679</v>
      </c>
      <c r="G141" s="300"/>
      <c r="H141" s="108">
        <f>IF(ISBLANK('Rocket Credit Pre-Register'!Z7)," ",'Rocket Credit Pre-Register'!Z7)</f>
        <v>334</v>
      </c>
      <c r="I141" s="196"/>
      <c r="J141" s="107"/>
      <c r="K141" s="107"/>
      <c r="L141" s="107"/>
      <c r="M141" s="107"/>
      <c r="N141" s="107"/>
    </row>
    <row r="142" spans="1:14" ht="14.4" customHeight="1">
      <c r="A142" s="107"/>
      <c r="B142" s="195"/>
      <c r="C142" s="296" t="str">
        <f>IF(ISBLANK('Rocket Credit Pre-Register'!W8)," ",'Rocket Credit Pre-Register'!W8)</f>
        <v>ALTAVIST...</v>
      </c>
      <c r="D142" s="297"/>
      <c r="E142" s="298"/>
      <c r="F142" s="299">
        <f>IF(ISBLANK('Rocket Credit Pre-Register'!Y8)," ",'Rocket Credit Pre-Register'!Y8)</f>
        <v>16278</v>
      </c>
      <c r="G142" s="300"/>
      <c r="H142" s="108">
        <f>IF(ISBLANK('Rocket Credit Pre-Register'!Z8)," ",'Rocket Credit Pre-Register'!Z8)</f>
        <v>508</v>
      </c>
      <c r="I142" s="196"/>
      <c r="J142" s="107"/>
      <c r="K142" s="107"/>
      <c r="L142" s="107"/>
      <c r="M142" s="107"/>
      <c r="N142" s="107"/>
    </row>
    <row r="143" spans="1:14" ht="15" hidden="1" customHeight="1">
      <c r="A143" s="107"/>
      <c r="B143" s="195"/>
      <c r="C143" s="296" t="str">
        <f>IF(ISBLANK('Rocket Credit Pre-Register'!W9)," ",'Rocket Credit Pre-Register'!W9)</f>
        <v xml:space="preserve"> </v>
      </c>
      <c r="D143" s="297"/>
      <c r="E143" s="298"/>
      <c r="F143" s="299" t="str">
        <f>IF(ISBLANK('Rocket Credit Pre-Register'!Y9)," ",'Rocket Credit Pre-Register'!Y9)</f>
        <v xml:space="preserve"> </v>
      </c>
      <c r="G143" s="300"/>
      <c r="H143" s="108" t="str">
        <f>IF(ISBLANK('Rocket Credit Pre-Register'!Z9)," ",'Rocket Credit Pre-Register'!Z9)</f>
        <v xml:space="preserve"> </v>
      </c>
      <c r="I143" s="196"/>
      <c r="J143" s="107"/>
      <c r="K143" s="107"/>
      <c r="L143" s="107"/>
      <c r="M143" s="107"/>
      <c r="N143" s="107"/>
    </row>
    <row r="144" spans="1:14" ht="15" hidden="1" customHeight="1">
      <c r="A144" s="107"/>
      <c r="B144" s="195"/>
      <c r="C144" s="296" t="str">
        <f>IF(ISBLANK('Rocket Credit Pre-Register'!W10)," ",'Rocket Credit Pre-Register'!W10)</f>
        <v xml:space="preserve"> </v>
      </c>
      <c r="D144" s="297"/>
      <c r="E144" s="298"/>
      <c r="F144" s="299" t="str">
        <f>IF(ISBLANK('Rocket Credit Pre-Register'!Y10)," ",'Rocket Credit Pre-Register'!Y10)</f>
        <v xml:space="preserve"> </v>
      </c>
      <c r="G144" s="300"/>
      <c r="H144" s="108" t="str">
        <f>IF(ISBLANK('Rocket Credit Pre-Register'!Z10)," ",'Rocket Credit Pre-Register'!Z10)</f>
        <v xml:space="preserve"> </v>
      </c>
      <c r="I144" s="196"/>
      <c r="J144" s="107"/>
      <c r="K144" s="107"/>
      <c r="L144" s="107"/>
      <c r="M144" s="107"/>
      <c r="N144" s="107"/>
    </row>
    <row r="145" spans="1:14" ht="14.4" hidden="1" customHeight="1">
      <c r="A145" s="107"/>
      <c r="B145" s="195"/>
      <c r="C145" s="296" t="str">
        <f>IF(ISBLANK('Rocket Credit Pre-Register'!W11)," ",'Rocket Credit Pre-Register'!W11)</f>
        <v xml:space="preserve"> </v>
      </c>
      <c r="D145" s="297"/>
      <c r="E145" s="298"/>
      <c r="F145" s="299" t="str">
        <f>IF(ISBLANK('Rocket Credit Pre-Register'!Y11)," ",'Rocket Credit Pre-Register'!Y11)</f>
        <v xml:space="preserve"> </v>
      </c>
      <c r="G145" s="300"/>
      <c r="H145" s="108" t="str">
        <f>IF(ISBLANK('Rocket Credit Pre-Register'!Z11)," ",'Rocket Credit Pre-Register'!Z11)</f>
        <v xml:space="preserve"> </v>
      </c>
      <c r="I145" s="196"/>
      <c r="J145" s="107"/>
      <c r="K145" s="107"/>
      <c r="L145" s="107"/>
      <c r="M145" s="107"/>
      <c r="N145" s="107"/>
    </row>
    <row r="146" spans="1:14" ht="15" hidden="1" customHeight="1">
      <c r="A146" s="107"/>
      <c r="B146" s="195"/>
      <c r="C146" s="296" t="str">
        <f>IF(ISBLANK('Rocket Credit Pre-Register'!W12)," ",'Rocket Credit Pre-Register'!W12)</f>
        <v xml:space="preserve"> </v>
      </c>
      <c r="D146" s="297"/>
      <c r="E146" s="298"/>
      <c r="F146" s="299" t="str">
        <f>IF(ISBLANK('Rocket Credit Pre-Register'!Y12)," ",'Rocket Credit Pre-Register'!Y12)</f>
        <v xml:space="preserve"> </v>
      </c>
      <c r="G146" s="300"/>
      <c r="H146" s="108" t="str">
        <f>IF(ISBLANK('Rocket Credit Pre-Register'!Z12)," ",'Rocket Credit Pre-Register'!Z12)</f>
        <v xml:space="preserve"> </v>
      </c>
      <c r="I146" s="196"/>
      <c r="J146" s="107"/>
      <c r="K146" s="107"/>
      <c r="L146" s="107"/>
      <c r="M146" s="107"/>
      <c r="N146" s="107"/>
    </row>
    <row r="147" spans="1:14" ht="15" hidden="1" customHeight="1">
      <c r="A147" s="107"/>
      <c r="B147" s="195"/>
      <c r="C147" s="296" t="str">
        <f>IF(ISBLANK('Rocket Credit Pre-Register'!W13)," ",'Rocket Credit Pre-Register'!W13)</f>
        <v xml:space="preserve"> </v>
      </c>
      <c r="D147" s="297"/>
      <c r="E147" s="298"/>
      <c r="F147" s="299" t="str">
        <f>IF(ISBLANK('Rocket Credit Pre-Register'!Y13)," ",'Rocket Credit Pre-Register'!Y13)</f>
        <v xml:space="preserve"> </v>
      </c>
      <c r="G147" s="300"/>
      <c r="H147" s="108" t="str">
        <f>IF(ISBLANK('Rocket Credit Pre-Register'!Z13)," ",'Rocket Credit Pre-Register'!Z13)</f>
        <v xml:space="preserve"> </v>
      </c>
      <c r="I147" s="196"/>
      <c r="J147" s="107"/>
      <c r="K147" s="107"/>
      <c r="L147" s="107"/>
      <c r="M147" s="107"/>
      <c r="N147" s="107"/>
    </row>
    <row r="148" spans="1:14" ht="15" hidden="1" customHeight="1">
      <c r="A148" s="107"/>
      <c r="B148" s="195"/>
      <c r="C148" s="296" t="str">
        <f>IF(ISBLANK('Rocket Credit Pre-Register'!W14)," ",'Rocket Credit Pre-Register'!W14)</f>
        <v xml:space="preserve"> </v>
      </c>
      <c r="D148" s="297"/>
      <c r="E148" s="298"/>
      <c r="F148" s="299" t="str">
        <f>IF(ISBLANK('Rocket Credit Pre-Register'!Y14)," ",'Rocket Credit Pre-Register'!Y14)</f>
        <v xml:space="preserve"> </v>
      </c>
      <c r="G148" s="300"/>
      <c r="H148" s="108" t="str">
        <f>IF(ISBLANK('Rocket Credit Pre-Register'!Z14)," ",'Rocket Credit Pre-Register'!Z14)</f>
        <v xml:space="preserve"> </v>
      </c>
      <c r="I148" s="196"/>
      <c r="J148" s="107"/>
      <c r="K148" s="107"/>
      <c r="L148" s="107"/>
      <c r="M148" s="107"/>
      <c r="N148" s="107"/>
    </row>
    <row r="149" spans="1:14" ht="14.4" hidden="1" customHeight="1">
      <c r="A149" s="107"/>
      <c r="B149" s="195"/>
      <c r="C149" s="296" t="str">
        <f>IF(ISBLANK('Rocket Credit Pre-Register'!W15)," ",'Rocket Credit Pre-Register'!W15)</f>
        <v xml:space="preserve"> </v>
      </c>
      <c r="D149" s="297"/>
      <c r="E149" s="298"/>
      <c r="F149" s="299" t="str">
        <f>IF(ISBLANK('Rocket Credit Pre-Register'!Y15)," ",'Rocket Credit Pre-Register'!Y15)</f>
        <v xml:space="preserve"> </v>
      </c>
      <c r="G149" s="300"/>
      <c r="H149" s="108" t="str">
        <f>IF(ISBLANK('Rocket Credit Pre-Register'!Z15)," ",'Rocket Credit Pre-Register'!Z15)</f>
        <v xml:space="preserve"> </v>
      </c>
      <c r="I149" s="196"/>
      <c r="J149" s="107"/>
      <c r="K149" s="107"/>
      <c r="L149" s="107"/>
      <c r="M149" s="107"/>
      <c r="N149" s="107"/>
    </row>
    <row r="150" spans="1:14" ht="15" hidden="1" customHeight="1">
      <c r="A150" s="107"/>
      <c r="B150" s="195"/>
      <c r="C150" s="296" t="str">
        <f>IF(ISBLANK('Rocket Credit Pre-Register'!W16)," ",'Rocket Credit Pre-Register'!W16)</f>
        <v xml:space="preserve"> </v>
      </c>
      <c r="D150" s="297"/>
      <c r="E150" s="298"/>
      <c r="F150" s="299" t="str">
        <f>IF(ISBLANK('Rocket Credit Pre-Register'!Y16)," ",'Rocket Credit Pre-Register'!Y16)</f>
        <v xml:space="preserve"> </v>
      </c>
      <c r="G150" s="300"/>
      <c r="H150" s="108" t="str">
        <f>IF(ISBLANK('Rocket Credit Pre-Register'!Z16)," ",'Rocket Credit Pre-Register'!Z16)</f>
        <v xml:space="preserve"> </v>
      </c>
      <c r="I150" s="196"/>
      <c r="J150" s="107"/>
      <c r="K150" s="107"/>
      <c r="L150" s="107"/>
      <c r="M150" s="107"/>
      <c r="N150" s="107"/>
    </row>
    <row r="151" spans="1:14" ht="15" hidden="1" customHeight="1">
      <c r="A151" s="107"/>
      <c r="B151" s="195"/>
      <c r="C151" s="296" t="str">
        <f>IF(ISBLANK('Rocket Credit Pre-Register'!W17)," ",'Rocket Credit Pre-Register'!W17)</f>
        <v xml:space="preserve"> </v>
      </c>
      <c r="D151" s="297"/>
      <c r="E151" s="298"/>
      <c r="F151" s="299" t="str">
        <f>IF(ISBLANK('Rocket Credit Pre-Register'!Y17)," ",'Rocket Credit Pre-Register'!Y17)</f>
        <v xml:space="preserve"> </v>
      </c>
      <c r="G151" s="300"/>
      <c r="H151" s="108" t="str">
        <f>IF(ISBLANK('Rocket Credit Pre-Register'!Z17)," ",'Rocket Credit Pre-Register'!Z17)</f>
        <v xml:space="preserve"> </v>
      </c>
      <c r="I151" s="196"/>
      <c r="J151" s="107"/>
      <c r="K151" s="107"/>
      <c r="L151" s="107"/>
      <c r="M151" s="107"/>
      <c r="N151" s="107"/>
    </row>
    <row r="152" spans="1:14" ht="14.4" hidden="1" customHeight="1">
      <c r="A152" s="107"/>
      <c r="B152" s="195"/>
      <c r="C152" s="296" t="str">
        <f>IF(ISBLANK('Rocket Credit Pre-Register'!W18)," ",'Rocket Credit Pre-Register'!W18)</f>
        <v xml:space="preserve"> </v>
      </c>
      <c r="D152" s="297"/>
      <c r="E152" s="298"/>
      <c r="F152" s="299" t="str">
        <f>IF(ISBLANK('Rocket Credit Pre-Register'!Y18)," ",'Rocket Credit Pre-Register'!Y18)</f>
        <v xml:space="preserve"> </v>
      </c>
      <c r="G152" s="300"/>
      <c r="H152" s="108" t="str">
        <f>IF(ISBLANK('Rocket Credit Pre-Register'!Z18)," ",'Rocket Credit Pre-Register'!Z18)</f>
        <v xml:space="preserve"> </v>
      </c>
      <c r="I152" s="196"/>
      <c r="J152" s="107"/>
      <c r="K152" s="107"/>
      <c r="L152" s="107"/>
      <c r="M152" s="107"/>
      <c r="N152" s="107"/>
    </row>
    <row r="153" spans="1:14" ht="19.5" hidden="1" customHeight="1">
      <c r="A153" s="107"/>
      <c r="B153" s="195"/>
      <c r="C153" s="296" t="str">
        <f>IF(ISBLANK('Rocket Credit Pre-Register'!W19)," ",'Rocket Credit Pre-Register'!W19)</f>
        <v xml:space="preserve"> </v>
      </c>
      <c r="D153" s="297"/>
      <c r="E153" s="298"/>
      <c r="F153" s="299" t="str">
        <f>IF(ISBLANK('Rocket Credit Pre-Register'!Y19)," ",'Rocket Credit Pre-Register'!Y19)</f>
        <v xml:space="preserve"> </v>
      </c>
      <c r="G153" s="300"/>
      <c r="H153" s="108" t="str">
        <f>IF(ISBLANK('Rocket Credit Pre-Register'!Z19)," ",'Rocket Credit Pre-Register'!Z19)</f>
        <v xml:space="preserve"> </v>
      </c>
      <c r="I153" s="196"/>
      <c r="J153" s="31"/>
      <c r="K153" s="31"/>
      <c r="L153" s="31"/>
      <c r="M153" s="31"/>
      <c r="N153" s="107"/>
    </row>
    <row r="154" spans="1:14" ht="14.4" hidden="1" customHeight="1">
      <c r="A154" s="107"/>
      <c r="B154" s="195"/>
      <c r="C154" s="296" t="str">
        <f>IF(ISBLANK('Rocket Credit Pre-Register'!W20)," ",'Rocket Credit Pre-Register'!W20)</f>
        <v xml:space="preserve"> </v>
      </c>
      <c r="D154" s="297"/>
      <c r="E154" s="298"/>
      <c r="F154" s="299" t="str">
        <f>IF(ISBLANK('Rocket Credit Pre-Register'!Y20)," ",'Rocket Credit Pre-Register'!Y20)</f>
        <v xml:space="preserve"> </v>
      </c>
      <c r="G154" s="300"/>
      <c r="H154" s="108" t="str">
        <f>IF(ISBLANK('Rocket Credit Pre-Register'!Z20)," ",'Rocket Credit Pre-Register'!Z20)</f>
        <v xml:space="preserve"> </v>
      </c>
      <c r="I154" s="196"/>
      <c r="J154" s="107"/>
      <c r="K154" s="107"/>
      <c r="L154" s="107"/>
      <c r="M154" s="107"/>
      <c r="N154" s="107"/>
    </row>
    <row r="155" spans="1:14" ht="14.4" hidden="1" customHeight="1">
      <c r="A155" s="107"/>
      <c r="B155" s="195"/>
      <c r="C155" s="296" t="str">
        <f>IF(ISBLANK('Rocket Credit Pre-Register'!W21)," ",'Rocket Credit Pre-Register'!W21)</f>
        <v xml:space="preserve"> </v>
      </c>
      <c r="D155" s="297"/>
      <c r="E155" s="298"/>
      <c r="F155" s="299" t="str">
        <f>IF(ISBLANK('Rocket Credit Pre-Register'!Y21)," ",'Rocket Credit Pre-Register'!Y21)</f>
        <v xml:space="preserve"> </v>
      </c>
      <c r="G155" s="300"/>
      <c r="H155" s="108" t="str">
        <f>IF(ISBLANK('Rocket Credit Pre-Register'!Z21)," ",'Rocket Credit Pre-Register'!Z21)</f>
        <v xml:space="preserve"> </v>
      </c>
      <c r="I155" s="196"/>
      <c r="J155" s="107"/>
      <c r="K155" s="107"/>
      <c r="L155" s="107"/>
      <c r="M155" s="107"/>
      <c r="N155" s="107"/>
    </row>
    <row r="156" spans="1:14" ht="14.4" hidden="1" customHeight="1">
      <c r="A156" s="107"/>
      <c r="B156" s="195"/>
      <c r="C156" s="296" t="str">
        <f>IF(ISBLANK('Rocket Credit Pre-Register'!W22)," ",'Rocket Credit Pre-Register'!W22)</f>
        <v xml:space="preserve"> </v>
      </c>
      <c r="D156" s="297"/>
      <c r="E156" s="298"/>
      <c r="F156" s="299" t="str">
        <f>IF(ISBLANK('Rocket Credit Pre-Register'!Y22)," ",'Rocket Credit Pre-Register'!Y22)</f>
        <v xml:space="preserve"> </v>
      </c>
      <c r="G156" s="300"/>
      <c r="H156" s="108" t="str">
        <f>IF(ISBLANK('Rocket Credit Pre-Register'!Z22)," ",'Rocket Credit Pre-Register'!Z22)</f>
        <v xml:space="preserve"> </v>
      </c>
      <c r="I156" s="196"/>
      <c r="J156" s="107"/>
      <c r="K156" s="107"/>
      <c r="L156" s="107"/>
      <c r="M156" s="107"/>
      <c r="N156" s="107"/>
    </row>
    <row r="157" spans="1:14" ht="14.4" hidden="1" customHeight="1">
      <c r="A157" s="107"/>
      <c r="B157" s="195"/>
      <c r="C157" s="296" t="str">
        <f>IF(ISBLANK('Rocket Credit Pre-Register'!W23)," ",'Rocket Credit Pre-Register'!W23)</f>
        <v xml:space="preserve"> </v>
      </c>
      <c r="D157" s="297"/>
      <c r="E157" s="298"/>
      <c r="F157" s="299" t="str">
        <f>IF(ISBLANK('Rocket Credit Pre-Register'!Y23)," ",'Rocket Credit Pre-Register'!Y23)</f>
        <v xml:space="preserve"> </v>
      </c>
      <c r="G157" s="300"/>
      <c r="H157" s="108" t="str">
        <f>IF(ISBLANK('Rocket Credit Pre-Register'!Z23)," ",'Rocket Credit Pre-Register'!Z23)</f>
        <v xml:space="preserve"> </v>
      </c>
      <c r="I157" s="196"/>
      <c r="J157" s="107"/>
      <c r="K157" s="107"/>
      <c r="L157" s="107"/>
      <c r="M157" s="107"/>
      <c r="N157" s="107"/>
    </row>
    <row r="158" spans="1:14" ht="14.4" hidden="1" customHeight="1">
      <c r="A158" s="107"/>
      <c r="B158" s="195"/>
      <c r="C158" s="296" t="str">
        <f>IF(ISBLANK('Rocket Credit Pre-Register'!W24)," ",'Rocket Credit Pre-Register'!W24)</f>
        <v xml:space="preserve"> </v>
      </c>
      <c r="D158" s="297"/>
      <c r="E158" s="298"/>
      <c r="F158" s="299" t="str">
        <f>IF(ISBLANK('Rocket Credit Pre-Register'!Y24)," ",'Rocket Credit Pre-Register'!Y24)</f>
        <v xml:space="preserve"> </v>
      </c>
      <c r="G158" s="300"/>
      <c r="H158" s="108" t="str">
        <f>IF(ISBLANK('Rocket Credit Pre-Register'!Z24)," ",'Rocket Credit Pre-Register'!Z24)</f>
        <v xml:space="preserve"> </v>
      </c>
      <c r="I158" s="196"/>
      <c r="J158" s="107"/>
      <c r="K158" s="107"/>
      <c r="L158" s="107"/>
      <c r="M158" s="107"/>
      <c r="N158" s="107"/>
    </row>
    <row r="159" spans="1:14" ht="14.4" hidden="1" customHeight="1">
      <c r="A159" s="107"/>
      <c r="B159" s="195"/>
      <c r="C159" s="296" t="str">
        <f>IF(ISBLANK('Rocket Credit Pre-Register'!W25)," ",'Rocket Credit Pre-Register'!W25)</f>
        <v xml:space="preserve"> </v>
      </c>
      <c r="D159" s="297"/>
      <c r="E159" s="298"/>
      <c r="F159" s="299" t="str">
        <f>IF(ISBLANK('Rocket Credit Pre-Register'!Y25)," ",'Rocket Credit Pre-Register'!Y25)</f>
        <v xml:space="preserve"> </v>
      </c>
      <c r="G159" s="300"/>
      <c r="H159" s="108" t="str">
        <f>IF(ISBLANK('Rocket Credit Pre-Register'!Z25)," ",'Rocket Credit Pre-Register'!Z25)</f>
        <v xml:space="preserve"> </v>
      </c>
      <c r="I159" s="196"/>
      <c r="J159" s="107"/>
      <c r="K159" s="107"/>
      <c r="L159" s="107"/>
      <c r="M159" s="107"/>
      <c r="N159" s="107"/>
    </row>
    <row r="160" spans="1:14" ht="14.4" hidden="1" customHeight="1">
      <c r="A160" s="107"/>
      <c r="B160" s="195"/>
      <c r="C160" s="296" t="str">
        <f>IF(ISBLANK('Rocket Credit Pre-Register'!W26)," ",'Rocket Credit Pre-Register'!W26)</f>
        <v xml:space="preserve"> </v>
      </c>
      <c r="D160" s="297"/>
      <c r="E160" s="298"/>
      <c r="F160" s="299" t="str">
        <f>IF(ISBLANK('Rocket Credit Pre-Register'!Y26)," ",'Rocket Credit Pre-Register'!Y26)</f>
        <v xml:space="preserve"> </v>
      </c>
      <c r="G160" s="300"/>
      <c r="H160" s="108" t="str">
        <f>IF(ISBLANK('Rocket Credit Pre-Register'!Z26)," ",'Rocket Credit Pre-Register'!Z26)</f>
        <v xml:space="preserve"> </v>
      </c>
      <c r="I160" s="196"/>
      <c r="J160" s="107"/>
      <c r="K160" s="107"/>
      <c r="L160" s="107"/>
      <c r="M160" s="107"/>
      <c r="N160" s="107"/>
    </row>
    <row r="161" spans="1:14" ht="14.4" hidden="1" customHeight="1">
      <c r="A161" s="107"/>
      <c r="B161" s="195"/>
      <c r="C161" s="296" t="str">
        <f>IF(ISBLANK('Rocket Credit Pre-Register'!W27)," ",'Rocket Credit Pre-Register'!W27)</f>
        <v xml:space="preserve"> </v>
      </c>
      <c r="D161" s="297"/>
      <c r="E161" s="298"/>
      <c r="F161" s="299" t="str">
        <f>IF(ISBLANK('Rocket Credit Pre-Register'!Y27)," ",'Rocket Credit Pre-Register'!Y27)</f>
        <v xml:space="preserve"> </v>
      </c>
      <c r="G161" s="300"/>
      <c r="H161" s="108" t="str">
        <f>IF(ISBLANK('Rocket Credit Pre-Register'!Z27)," ",'Rocket Credit Pre-Register'!Z27)</f>
        <v xml:space="preserve"> </v>
      </c>
      <c r="I161" s="196"/>
      <c r="J161" s="107"/>
      <c r="K161" s="107"/>
      <c r="L161" s="107"/>
      <c r="M161" s="107"/>
      <c r="N161" s="107"/>
    </row>
    <row r="162" spans="1:14" ht="14.4" hidden="1" customHeight="1">
      <c r="A162" s="107"/>
      <c r="B162" s="195"/>
      <c r="C162" s="296" t="str">
        <f>IF(ISBLANK('Rocket Credit Pre-Register'!W28)," ",'Rocket Credit Pre-Register'!W28)</f>
        <v xml:space="preserve"> </v>
      </c>
      <c r="D162" s="297"/>
      <c r="E162" s="298"/>
      <c r="F162" s="299" t="str">
        <f>IF(ISBLANK('Rocket Credit Pre-Register'!Y28)," ",'Rocket Credit Pre-Register'!Y28)</f>
        <v xml:space="preserve"> </v>
      </c>
      <c r="G162" s="300"/>
      <c r="H162" s="108" t="str">
        <f>IF(ISBLANK('Rocket Credit Pre-Register'!Z28)," ",'Rocket Credit Pre-Register'!Z28)</f>
        <v xml:space="preserve"> </v>
      </c>
      <c r="I162" s="196"/>
      <c r="J162" s="107"/>
      <c r="K162" s="107"/>
      <c r="L162" s="107"/>
      <c r="M162" s="107"/>
      <c r="N162" s="107"/>
    </row>
    <row r="163" spans="1:14" ht="14.4" hidden="1" customHeight="1">
      <c r="A163" s="107"/>
      <c r="B163" s="195"/>
      <c r="C163" s="296" t="str">
        <f>IF(ISBLANK('Rocket Credit Pre-Register'!W29)," ",'Rocket Credit Pre-Register'!W29)</f>
        <v xml:space="preserve"> </v>
      </c>
      <c r="D163" s="297"/>
      <c r="E163" s="298"/>
      <c r="F163" s="299" t="str">
        <f>IF(ISBLANK('Rocket Credit Pre-Register'!Y29)," ",'Rocket Credit Pre-Register'!Y29)</f>
        <v xml:space="preserve"> </v>
      </c>
      <c r="G163" s="300"/>
      <c r="H163" s="108" t="str">
        <f>IF(ISBLANK('Rocket Credit Pre-Register'!Z29)," ",'Rocket Credit Pre-Register'!Z29)</f>
        <v xml:space="preserve"> </v>
      </c>
      <c r="I163" s="196"/>
      <c r="J163" s="107"/>
      <c r="K163" s="107"/>
      <c r="L163" s="107"/>
      <c r="M163" s="107"/>
      <c r="N163" s="107"/>
    </row>
    <row r="164" spans="1:14" ht="14.4" hidden="1" customHeight="1">
      <c r="A164" s="107"/>
      <c r="B164" s="195"/>
      <c r="C164" s="296" t="str">
        <f>IF(ISBLANK('Rocket Credit Pre-Register'!W30)," ",'Rocket Credit Pre-Register'!W30)</f>
        <v xml:space="preserve"> </v>
      </c>
      <c r="D164" s="297"/>
      <c r="E164" s="298"/>
      <c r="F164" s="299" t="str">
        <f>IF(ISBLANK('Rocket Credit Pre-Register'!Y30)," ",'Rocket Credit Pre-Register'!Y30)</f>
        <v xml:space="preserve"> </v>
      </c>
      <c r="G164" s="300"/>
      <c r="H164" s="108" t="str">
        <f>IF(ISBLANK('Rocket Credit Pre-Register'!Z30)," ",'Rocket Credit Pre-Register'!Z30)</f>
        <v xml:space="preserve"> </v>
      </c>
      <c r="I164" s="196"/>
      <c r="J164" s="107"/>
      <c r="K164" s="107"/>
      <c r="L164" s="107"/>
      <c r="M164" s="107"/>
      <c r="N164" s="107"/>
    </row>
    <row r="165" spans="1:14" ht="14.4" hidden="1" customHeight="1">
      <c r="A165" s="107"/>
      <c r="B165" s="195"/>
      <c r="C165" s="296" t="str">
        <f>IF(ISBLANK('Rocket Credit Pre-Register'!W31)," ",'Rocket Credit Pre-Register'!W31)</f>
        <v xml:space="preserve"> </v>
      </c>
      <c r="D165" s="297"/>
      <c r="E165" s="298"/>
      <c r="F165" s="299" t="str">
        <f>IF(ISBLANK('Rocket Credit Pre-Register'!Y31)," ",'Rocket Credit Pre-Register'!Y31)</f>
        <v xml:space="preserve"> </v>
      </c>
      <c r="G165" s="300"/>
      <c r="H165" s="108" t="str">
        <f>IF(ISBLANK('Rocket Credit Pre-Register'!Z31)," ",'Rocket Credit Pre-Register'!Z31)</f>
        <v xml:space="preserve"> </v>
      </c>
      <c r="I165" s="196"/>
      <c r="J165" s="107"/>
      <c r="K165" s="107"/>
      <c r="L165" s="107"/>
      <c r="M165" s="107"/>
      <c r="N165" s="107"/>
    </row>
    <row r="166" spans="1:14" ht="14.4" hidden="1" customHeight="1">
      <c r="A166" s="107"/>
      <c r="B166" s="195"/>
      <c r="C166" s="296" t="str">
        <f>IF(ISBLANK('Rocket Credit Pre-Register'!W32)," ",'Rocket Credit Pre-Register'!W32)</f>
        <v xml:space="preserve"> </v>
      </c>
      <c r="D166" s="297"/>
      <c r="E166" s="298"/>
      <c r="F166" s="299" t="str">
        <f>IF(ISBLANK('Rocket Credit Pre-Register'!Y32)," ",'Rocket Credit Pre-Register'!Y32)</f>
        <v xml:space="preserve"> </v>
      </c>
      <c r="G166" s="300"/>
      <c r="H166" s="108" t="str">
        <f>IF(ISBLANK('Rocket Credit Pre-Register'!Z32)," ",'Rocket Credit Pre-Register'!Z32)</f>
        <v xml:space="preserve"> </v>
      </c>
      <c r="I166" s="196"/>
      <c r="J166" s="107"/>
      <c r="K166" s="107"/>
      <c r="L166" s="107"/>
      <c r="M166" s="107"/>
      <c r="N166" s="107"/>
    </row>
    <row r="167" spans="1:14" ht="14.4" hidden="1" customHeight="1">
      <c r="A167" s="107"/>
      <c r="B167" s="195"/>
      <c r="C167" s="296" t="str">
        <f>IF(ISBLANK('Rocket Credit Pre-Register'!W33)," ",'Rocket Credit Pre-Register'!W33)</f>
        <v xml:space="preserve"> </v>
      </c>
      <c r="D167" s="297"/>
      <c r="E167" s="298"/>
      <c r="F167" s="299" t="str">
        <f>IF(ISBLANK('Rocket Credit Pre-Register'!Y33)," ",'Rocket Credit Pre-Register'!Y33)</f>
        <v xml:space="preserve"> </v>
      </c>
      <c r="G167" s="300"/>
      <c r="H167" s="108" t="str">
        <f>IF(ISBLANK('Rocket Credit Pre-Register'!Z33)," ",'Rocket Credit Pre-Register'!Z33)</f>
        <v xml:space="preserve"> </v>
      </c>
      <c r="I167" s="196"/>
      <c r="J167" s="107"/>
      <c r="K167" s="107"/>
      <c r="L167" s="107"/>
      <c r="M167" s="107"/>
      <c r="N167" s="107"/>
    </row>
    <row r="168" spans="1:14" ht="14.4" hidden="1" customHeight="1">
      <c r="A168" s="107"/>
      <c r="B168" s="195"/>
      <c r="C168" s="296" t="str">
        <f>IF(ISBLANK('Rocket Credit Pre-Register'!W34)," ",'Rocket Credit Pre-Register'!W34)</f>
        <v xml:space="preserve"> </v>
      </c>
      <c r="D168" s="297"/>
      <c r="E168" s="298"/>
      <c r="F168" s="299" t="str">
        <f>IF(ISBLANK('Rocket Credit Pre-Register'!Y34)," ",'Rocket Credit Pre-Register'!Y34)</f>
        <v xml:space="preserve"> </v>
      </c>
      <c r="G168" s="300"/>
      <c r="H168" s="108" t="str">
        <f>IF(ISBLANK('Rocket Credit Pre-Register'!Z34)," ",'Rocket Credit Pre-Register'!Z34)</f>
        <v xml:space="preserve"> </v>
      </c>
      <c r="I168" s="196"/>
      <c r="J168" s="107"/>
      <c r="K168" s="107"/>
      <c r="L168" s="107"/>
      <c r="M168" s="107"/>
      <c r="N168" s="107"/>
    </row>
    <row r="169" spans="1:14" ht="14.4" hidden="1" customHeight="1">
      <c r="A169" s="107"/>
      <c r="B169" s="195"/>
      <c r="C169" s="296" t="str">
        <f>IF(ISBLANK('Rocket Credit Pre-Register'!W35)," ",'Rocket Credit Pre-Register'!W35)</f>
        <v xml:space="preserve"> </v>
      </c>
      <c r="D169" s="297"/>
      <c r="E169" s="298"/>
      <c r="F169" s="299" t="str">
        <f>IF(ISBLANK('Rocket Credit Pre-Register'!Y35)," ",'Rocket Credit Pre-Register'!Y35)</f>
        <v xml:space="preserve"> </v>
      </c>
      <c r="G169" s="300"/>
      <c r="H169" s="108" t="str">
        <f>IF(ISBLANK('Rocket Credit Pre-Register'!Z35)," ",'Rocket Credit Pre-Register'!Z35)</f>
        <v xml:space="preserve"> </v>
      </c>
      <c r="I169" s="196"/>
      <c r="J169" s="107"/>
      <c r="K169" s="107"/>
      <c r="L169" s="107"/>
      <c r="M169" s="107"/>
      <c r="N169" s="107"/>
    </row>
    <row r="170" spans="1:14" ht="14.4" hidden="1" customHeight="1">
      <c r="A170" s="107"/>
      <c r="B170" s="195"/>
      <c r="C170" s="296" t="str">
        <f>IF(ISBLANK('Rocket Credit Pre-Register'!W36)," ",'Rocket Credit Pre-Register'!W36)</f>
        <v xml:space="preserve"> </v>
      </c>
      <c r="D170" s="297"/>
      <c r="E170" s="298"/>
      <c r="F170" s="299" t="str">
        <f>IF(ISBLANK('Rocket Credit Pre-Register'!Y36)," ",'Rocket Credit Pre-Register'!Y36)</f>
        <v xml:space="preserve"> </v>
      </c>
      <c r="G170" s="300"/>
      <c r="H170" s="108" t="str">
        <f>IF(ISBLANK('Rocket Credit Pre-Register'!Z36)," ",'Rocket Credit Pre-Register'!Z36)</f>
        <v xml:space="preserve"> </v>
      </c>
      <c r="I170" s="196"/>
      <c r="J170" s="107"/>
      <c r="K170" s="107"/>
      <c r="L170" s="107"/>
      <c r="M170" s="107"/>
      <c r="N170" s="107"/>
    </row>
    <row r="171" spans="1:14" ht="14.4" hidden="1" customHeight="1">
      <c r="A171" s="107"/>
      <c r="B171" s="195"/>
      <c r="C171" s="296" t="str">
        <f>IF(ISBLANK('Rocket Credit Pre-Register'!W37)," ",'Rocket Credit Pre-Register'!W37)</f>
        <v xml:space="preserve"> </v>
      </c>
      <c r="D171" s="297"/>
      <c r="E171" s="298"/>
      <c r="F171" s="299" t="str">
        <f>IF(ISBLANK('Rocket Credit Pre-Register'!Y37)," ",'Rocket Credit Pre-Register'!Y37)</f>
        <v xml:space="preserve"> </v>
      </c>
      <c r="G171" s="300"/>
      <c r="H171" s="108" t="str">
        <f>IF(ISBLANK('Rocket Credit Pre-Register'!Z37)," ",'Rocket Credit Pre-Register'!Z37)</f>
        <v xml:space="preserve"> </v>
      </c>
      <c r="I171" s="196"/>
      <c r="J171" s="107"/>
      <c r="K171" s="107"/>
      <c r="L171" s="107"/>
      <c r="M171" s="107"/>
      <c r="N171" s="107"/>
    </row>
    <row r="172" spans="1:14" ht="14.4" hidden="1" customHeight="1">
      <c r="A172" s="107"/>
      <c r="B172" s="195"/>
      <c r="C172" s="296" t="str">
        <f>IF(ISBLANK('Rocket Credit Pre-Register'!W38)," ",'Rocket Credit Pre-Register'!W38)</f>
        <v xml:space="preserve"> </v>
      </c>
      <c r="D172" s="297"/>
      <c r="E172" s="298"/>
      <c r="F172" s="299" t="str">
        <f>IF(ISBLANK('Rocket Credit Pre-Register'!Y38)," ",'Rocket Credit Pre-Register'!Y38)</f>
        <v xml:space="preserve"> </v>
      </c>
      <c r="G172" s="300"/>
      <c r="H172" s="108" t="str">
        <f>IF(ISBLANK('Rocket Credit Pre-Register'!Z38)," ",'Rocket Credit Pre-Register'!Z38)</f>
        <v xml:space="preserve"> </v>
      </c>
      <c r="I172" s="196"/>
      <c r="J172" s="107"/>
      <c r="K172" s="107"/>
      <c r="L172" s="107"/>
      <c r="M172" s="107"/>
      <c r="N172" s="107"/>
    </row>
    <row r="173" spans="1:14" ht="14.4" hidden="1" customHeight="1">
      <c r="A173" s="107"/>
      <c r="B173" s="195"/>
      <c r="C173" s="296" t="str">
        <f>IF(ISBLANK('Rocket Credit Pre-Register'!W39)," ",'Rocket Credit Pre-Register'!W39)</f>
        <v xml:space="preserve"> </v>
      </c>
      <c r="D173" s="297"/>
      <c r="E173" s="298"/>
      <c r="F173" s="299" t="str">
        <f>IF(ISBLANK('Rocket Credit Pre-Register'!Y39)," ",'Rocket Credit Pre-Register'!Y39)</f>
        <v xml:space="preserve"> </v>
      </c>
      <c r="G173" s="300"/>
      <c r="H173" s="108" t="str">
        <f>IF(ISBLANK('Rocket Credit Pre-Register'!Z39)," ",'Rocket Credit Pre-Register'!Z39)</f>
        <v xml:space="preserve"> </v>
      </c>
      <c r="I173" s="196"/>
      <c r="J173" s="107"/>
      <c r="K173" s="107"/>
      <c r="L173" s="107"/>
      <c r="M173" s="107"/>
      <c r="N173" s="107"/>
    </row>
    <row r="174" spans="1:14" ht="14.4" hidden="1" customHeight="1">
      <c r="A174" s="107"/>
      <c r="B174" s="195"/>
      <c r="C174" s="296" t="str">
        <f>IF(ISBLANK('Rocket Credit Pre-Register'!W40)," ",'Rocket Credit Pre-Register'!W40)</f>
        <v xml:space="preserve"> </v>
      </c>
      <c r="D174" s="297"/>
      <c r="E174" s="298"/>
      <c r="F174" s="299" t="str">
        <f>IF(ISBLANK('Rocket Credit Pre-Register'!Y40)," ",'Rocket Credit Pre-Register'!Y40)</f>
        <v xml:space="preserve"> </v>
      </c>
      <c r="G174" s="300"/>
      <c r="H174" s="108" t="str">
        <f>IF(ISBLANK('Rocket Credit Pre-Register'!Z40)," ",'Rocket Credit Pre-Register'!Z40)</f>
        <v xml:space="preserve"> </v>
      </c>
      <c r="I174" s="196"/>
      <c r="J174" s="107"/>
      <c r="K174" s="107"/>
      <c r="L174" s="107"/>
      <c r="M174" s="107"/>
      <c r="N174" s="107"/>
    </row>
    <row r="175" spans="1:14" ht="14.4" hidden="1" customHeight="1">
      <c r="A175" s="107"/>
      <c r="B175" s="195"/>
      <c r="C175" s="296" t="str">
        <f>IF(ISBLANK('Rocket Credit Pre-Register'!W41)," ",'Rocket Credit Pre-Register'!W41)</f>
        <v xml:space="preserve"> </v>
      </c>
      <c r="D175" s="297"/>
      <c r="E175" s="298"/>
      <c r="F175" s="299" t="str">
        <f>IF(ISBLANK('Rocket Credit Pre-Register'!Y41)," ",'Rocket Credit Pre-Register'!Y41)</f>
        <v xml:space="preserve"> </v>
      </c>
      <c r="G175" s="300"/>
      <c r="H175" s="108" t="str">
        <f>IF(ISBLANK('Rocket Credit Pre-Register'!Z41)," ",'Rocket Credit Pre-Register'!Z41)</f>
        <v xml:space="preserve"> </v>
      </c>
      <c r="I175" s="196"/>
      <c r="J175" s="107"/>
      <c r="K175" s="107"/>
      <c r="L175" s="107"/>
      <c r="M175" s="107"/>
      <c r="N175" s="107"/>
    </row>
    <row r="176" spans="1:14" ht="14.4" hidden="1" customHeight="1">
      <c r="A176" s="107"/>
      <c r="B176" s="195"/>
      <c r="C176" s="296" t="str">
        <f>IF(ISBLANK('Rocket Credit Pre-Register'!W42)," ",'Rocket Credit Pre-Register'!W42)</f>
        <v xml:space="preserve"> </v>
      </c>
      <c r="D176" s="297"/>
      <c r="E176" s="298"/>
      <c r="F176" s="299" t="str">
        <f>IF(ISBLANK('Rocket Credit Pre-Register'!Y42)," ",'Rocket Credit Pre-Register'!Y42)</f>
        <v xml:space="preserve"> </v>
      </c>
      <c r="G176" s="300"/>
      <c r="H176" s="108" t="str">
        <f>IF(ISBLANK('Rocket Credit Pre-Register'!Z42)," ",'Rocket Credit Pre-Register'!Z42)</f>
        <v xml:space="preserve"> </v>
      </c>
      <c r="I176" s="196"/>
      <c r="J176" s="107"/>
      <c r="K176" s="107"/>
      <c r="L176" s="107"/>
      <c r="M176" s="107"/>
      <c r="N176" s="107"/>
    </row>
    <row r="177" spans="1:14" ht="14.4" hidden="1" customHeight="1">
      <c r="A177" s="107"/>
      <c r="B177" s="195"/>
      <c r="C177" s="296" t="str">
        <f>IF(ISBLANK('Rocket Credit Pre-Register'!W43)," ",'Rocket Credit Pre-Register'!W43)</f>
        <v xml:space="preserve"> </v>
      </c>
      <c r="D177" s="297"/>
      <c r="E177" s="298"/>
      <c r="F177" s="299" t="str">
        <f>IF(ISBLANK('Rocket Credit Pre-Register'!Y43)," ",'Rocket Credit Pre-Register'!Y43)</f>
        <v xml:space="preserve"> </v>
      </c>
      <c r="G177" s="300"/>
      <c r="H177" s="108" t="str">
        <f>IF(ISBLANK('Rocket Credit Pre-Register'!Z43)," ",'Rocket Credit Pre-Register'!Z43)</f>
        <v xml:space="preserve"> </v>
      </c>
      <c r="I177" s="196"/>
      <c r="J177" s="107"/>
      <c r="K177" s="107"/>
      <c r="L177" s="107"/>
      <c r="M177" s="107"/>
      <c r="N177" s="107"/>
    </row>
    <row r="178" spans="1:14" ht="14.4" hidden="1" customHeight="1">
      <c r="A178" s="107"/>
      <c r="B178" s="195"/>
      <c r="C178" s="296" t="str">
        <f>IF(ISBLANK('Rocket Credit Pre-Register'!W44)," ",'Rocket Credit Pre-Register'!W44)</f>
        <v xml:space="preserve"> </v>
      </c>
      <c r="D178" s="297"/>
      <c r="E178" s="298"/>
      <c r="F178" s="299" t="str">
        <f>IF(ISBLANK('Rocket Credit Pre-Register'!Y44)," ",'Rocket Credit Pre-Register'!Y44)</f>
        <v xml:space="preserve"> </v>
      </c>
      <c r="G178" s="300"/>
      <c r="H178" s="108" t="str">
        <f>IF(ISBLANK('Rocket Credit Pre-Register'!Z44)," ",'Rocket Credit Pre-Register'!Z44)</f>
        <v xml:space="preserve"> </v>
      </c>
      <c r="I178" s="196"/>
      <c r="J178" s="107"/>
      <c r="K178" s="107"/>
      <c r="L178" s="107"/>
      <c r="M178" s="107"/>
      <c r="N178" s="107"/>
    </row>
    <row r="179" spans="1:14" ht="14.4" hidden="1" customHeight="1">
      <c r="A179" s="107"/>
      <c r="B179" s="195"/>
      <c r="C179" s="296" t="str">
        <f>IF(ISBLANK('Rocket Credit Pre-Register'!W45)," ",'Rocket Credit Pre-Register'!W45)</f>
        <v xml:space="preserve"> </v>
      </c>
      <c r="D179" s="297"/>
      <c r="E179" s="298"/>
      <c r="F179" s="299" t="str">
        <f>IF(ISBLANK('Rocket Credit Pre-Register'!Y45)," ",'Rocket Credit Pre-Register'!Y45)</f>
        <v xml:space="preserve"> </v>
      </c>
      <c r="G179" s="300"/>
      <c r="H179" s="108" t="str">
        <f>IF(ISBLANK('Rocket Credit Pre-Register'!Z45)," ",'Rocket Credit Pre-Register'!Z45)</f>
        <v xml:space="preserve"> </v>
      </c>
      <c r="I179" s="196"/>
      <c r="J179" s="107"/>
      <c r="K179" s="107"/>
      <c r="L179" s="107"/>
      <c r="M179" s="107"/>
      <c r="N179" s="107"/>
    </row>
    <row r="180" spans="1:14" ht="14.4" hidden="1" customHeight="1">
      <c r="A180" s="107"/>
      <c r="B180" s="195"/>
      <c r="C180" s="296" t="str">
        <f>IF(ISBLANK('Rocket Credit Pre-Register'!W46)," ",'Rocket Credit Pre-Register'!W46)</f>
        <v xml:space="preserve"> </v>
      </c>
      <c r="D180" s="297"/>
      <c r="E180" s="298"/>
      <c r="F180" s="299" t="str">
        <f>IF(ISBLANK('Rocket Credit Pre-Register'!Y46)," ",'Rocket Credit Pre-Register'!Y46)</f>
        <v xml:space="preserve"> </v>
      </c>
      <c r="G180" s="300"/>
      <c r="H180" s="108" t="str">
        <f>IF(ISBLANK('Rocket Credit Pre-Register'!Z46)," ",'Rocket Credit Pre-Register'!Z46)</f>
        <v xml:space="preserve"> </v>
      </c>
      <c r="I180" s="196"/>
      <c r="J180" s="107"/>
      <c r="K180" s="107"/>
      <c r="L180" s="107"/>
      <c r="M180" s="107"/>
      <c r="N180" s="107"/>
    </row>
    <row r="181" spans="1:14" ht="14.4" hidden="1" customHeight="1">
      <c r="A181" s="107"/>
      <c r="B181" s="195"/>
      <c r="C181" s="296" t="str">
        <f>IF(ISBLANK('Rocket Credit Pre-Register'!W47)," ",'Rocket Credit Pre-Register'!W47)</f>
        <v xml:space="preserve"> </v>
      </c>
      <c r="D181" s="297"/>
      <c r="E181" s="298"/>
      <c r="F181" s="299" t="str">
        <f>IF(ISBLANK('Rocket Credit Pre-Register'!Y47)," ",'Rocket Credit Pre-Register'!Y47)</f>
        <v xml:space="preserve"> </v>
      </c>
      <c r="G181" s="300"/>
      <c r="H181" s="108" t="str">
        <f>IF(ISBLANK('Rocket Credit Pre-Register'!Z47)," ",'Rocket Credit Pre-Register'!Z47)</f>
        <v xml:space="preserve"> </v>
      </c>
      <c r="I181" s="196"/>
      <c r="J181" s="107"/>
      <c r="K181" s="107"/>
      <c r="L181" s="107"/>
      <c r="M181" s="107"/>
      <c r="N181" s="107"/>
    </row>
    <row r="182" spans="1:14" ht="14.4" hidden="1" customHeight="1">
      <c r="A182" s="107"/>
      <c r="B182" s="195"/>
      <c r="C182" s="296" t="str">
        <f>IF(ISBLANK('Rocket Credit Pre-Register'!W48)," ",'Rocket Credit Pre-Register'!W48)</f>
        <v xml:space="preserve"> </v>
      </c>
      <c r="D182" s="297"/>
      <c r="E182" s="298"/>
      <c r="F182" s="299" t="str">
        <f>IF(ISBLANK('Rocket Credit Pre-Register'!Y48)," ",'Rocket Credit Pre-Register'!Y48)</f>
        <v xml:space="preserve"> </v>
      </c>
      <c r="G182" s="300"/>
      <c r="H182" s="108" t="str">
        <f>IF(ISBLANK('Rocket Credit Pre-Register'!Z48)," ",'Rocket Credit Pre-Register'!Z48)</f>
        <v xml:space="preserve"> </v>
      </c>
      <c r="I182" s="196"/>
      <c r="J182" s="107"/>
      <c r="K182" s="107"/>
      <c r="L182" s="107"/>
      <c r="M182" s="107"/>
      <c r="N182" s="107"/>
    </row>
    <row r="183" spans="1:14" ht="14.4" hidden="1" customHeight="1">
      <c r="A183" s="107"/>
      <c r="B183" s="195"/>
      <c r="C183" s="296" t="str">
        <f>IF(ISBLANK('Rocket Credit Pre-Register'!W49)," ",'Rocket Credit Pre-Register'!W49)</f>
        <v xml:space="preserve"> </v>
      </c>
      <c r="D183" s="297"/>
      <c r="E183" s="298"/>
      <c r="F183" s="299" t="str">
        <f>IF(ISBLANK('Rocket Credit Pre-Register'!Y49)," ",'Rocket Credit Pre-Register'!Y49)</f>
        <v xml:space="preserve"> </v>
      </c>
      <c r="G183" s="300"/>
      <c r="H183" s="108" t="str">
        <f>IF(ISBLANK('Rocket Credit Pre-Register'!Z49)," ",'Rocket Credit Pre-Register'!Z49)</f>
        <v xml:space="preserve"> </v>
      </c>
      <c r="I183" s="196"/>
      <c r="J183" s="107"/>
      <c r="K183" s="107"/>
      <c r="L183" s="107"/>
      <c r="M183" s="107"/>
      <c r="N183" s="107"/>
    </row>
    <row r="184" spans="1:14" ht="14.4" hidden="1" customHeight="1">
      <c r="A184" s="107"/>
      <c r="B184" s="195"/>
      <c r="C184" s="296" t="str">
        <f>IF(ISBLANK('Rocket Credit Pre-Register'!W50)," ",'Rocket Credit Pre-Register'!W50)</f>
        <v xml:space="preserve"> </v>
      </c>
      <c r="D184" s="297"/>
      <c r="E184" s="298"/>
      <c r="F184" s="299" t="str">
        <f>IF(ISBLANK('Rocket Credit Pre-Register'!Y50)," ",'Rocket Credit Pre-Register'!Y50)</f>
        <v xml:space="preserve"> </v>
      </c>
      <c r="G184" s="300"/>
      <c r="H184" s="108" t="str">
        <f>IF(ISBLANK('Rocket Credit Pre-Register'!Z50)," ",'Rocket Credit Pre-Register'!Z50)</f>
        <v xml:space="preserve"> </v>
      </c>
      <c r="I184" s="196"/>
      <c r="J184" s="107"/>
      <c r="K184" s="107"/>
      <c r="L184" s="107"/>
      <c r="M184" s="107"/>
      <c r="N184" s="107"/>
    </row>
    <row r="185" spans="1:14" ht="14.4" hidden="1" customHeight="1">
      <c r="A185" s="107"/>
      <c r="B185" s="195"/>
      <c r="C185" s="296" t="str">
        <f>IF(ISBLANK('Rocket Credit Pre-Register'!W51)," ",'Rocket Credit Pre-Register'!W51)</f>
        <v xml:space="preserve"> </v>
      </c>
      <c r="D185" s="297"/>
      <c r="E185" s="298"/>
      <c r="F185" s="299" t="str">
        <f>IF(ISBLANK('Rocket Credit Pre-Register'!Y51)," ",'Rocket Credit Pre-Register'!Y51)</f>
        <v xml:space="preserve"> </v>
      </c>
      <c r="G185" s="300"/>
      <c r="H185" s="108" t="str">
        <f>IF(ISBLANK('Rocket Credit Pre-Register'!Z51)," ",'Rocket Credit Pre-Register'!Z51)</f>
        <v xml:space="preserve"> </v>
      </c>
      <c r="I185" s="196"/>
      <c r="J185" s="107"/>
      <c r="K185" s="107"/>
      <c r="L185" s="107"/>
      <c r="M185" s="107"/>
      <c r="N185" s="107"/>
    </row>
    <row r="186" spans="1:14" ht="14.4" hidden="1" customHeight="1">
      <c r="A186" s="107"/>
      <c r="B186" s="195"/>
      <c r="C186" s="296" t="str">
        <f>IF(ISBLANK('Rocket Credit Pre-Register'!W52)," ",'Rocket Credit Pre-Register'!W52)</f>
        <v xml:space="preserve"> </v>
      </c>
      <c r="D186" s="297"/>
      <c r="E186" s="298"/>
      <c r="F186" s="299" t="str">
        <f>IF(ISBLANK('Rocket Credit Pre-Register'!Y52)," ",'Rocket Credit Pre-Register'!Y52)</f>
        <v xml:space="preserve"> </v>
      </c>
      <c r="G186" s="300"/>
      <c r="H186" s="108" t="str">
        <f>IF(ISBLANK('Rocket Credit Pre-Register'!Z52)," ",'Rocket Credit Pre-Register'!Z52)</f>
        <v xml:space="preserve"> </v>
      </c>
      <c r="I186" s="196"/>
      <c r="J186" s="107"/>
      <c r="K186" s="107"/>
      <c r="L186" s="107"/>
      <c r="M186" s="107"/>
      <c r="N186" s="107"/>
    </row>
    <row r="187" spans="1:14" ht="14.4" hidden="1" customHeight="1">
      <c r="A187" s="107"/>
      <c r="B187" s="195"/>
      <c r="C187" s="296" t="str">
        <f>IF(ISBLANK('Rocket Credit Pre-Register'!W53)," ",'Rocket Credit Pre-Register'!W53)</f>
        <v xml:space="preserve"> </v>
      </c>
      <c r="D187" s="297"/>
      <c r="E187" s="298"/>
      <c r="F187" s="299" t="str">
        <f>IF(ISBLANK('Rocket Credit Pre-Register'!Y53)," ",'Rocket Credit Pre-Register'!Y53)</f>
        <v xml:space="preserve"> </v>
      </c>
      <c r="G187" s="300"/>
      <c r="H187" s="108" t="str">
        <f>IF(ISBLANK('Rocket Credit Pre-Register'!Z53)," ",'Rocket Credit Pre-Register'!Z53)</f>
        <v xml:space="preserve"> </v>
      </c>
      <c r="I187" s="196"/>
      <c r="J187" s="107"/>
      <c r="K187" s="107"/>
      <c r="L187" s="107"/>
      <c r="M187" s="107"/>
      <c r="N187" s="107"/>
    </row>
    <row r="188" spans="1:14" ht="14.4" hidden="1" customHeight="1">
      <c r="A188" s="107"/>
      <c r="B188" s="195"/>
      <c r="C188" s="296" t="str">
        <f>IF(ISBLANK('Rocket Credit Pre-Register'!W54)," ",'Rocket Credit Pre-Register'!W54)</f>
        <v xml:space="preserve"> </v>
      </c>
      <c r="D188" s="297"/>
      <c r="E188" s="298"/>
      <c r="F188" s="299" t="str">
        <f>IF(ISBLANK('Rocket Credit Pre-Register'!Y54)," ",'Rocket Credit Pre-Register'!Y54)</f>
        <v xml:space="preserve"> </v>
      </c>
      <c r="G188" s="300"/>
      <c r="H188" s="108" t="str">
        <f>IF(ISBLANK('Rocket Credit Pre-Register'!Z54)," ",'Rocket Credit Pre-Register'!Z54)</f>
        <v xml:space="preserve"> </v>
      </c>
      <c r="I188" s="196"/>
      <c r="J188" s="107"/>
      <c r="K188" s="107"/>
      <c r="L188" s="107"/>
      <c r="M188" s="107"/>
      <c r="N188" s="107"/>
    </row>
    <row r="189" spans="1:14" ht="14.4" hidden="1" customHeight="1">
      <c r="A189" s="107"/>
      <c r="B189" s="195"/>
      <c r="C189" s="296" t="str">
        <f>IF(ISBLANK('Rocket Credit Pre-Register'!W55)," ",'Rocket Credit Pre-Register'!W55)</f>
        <v xml:space="preserve"> </v>
      </c>
      <c r="D189" s="297"/>
      <c r="E189" s="298"/>
      <c r="F189" s="299" t="str">
        <f>IF(ISBLANK('Rocket Credit Pre-Register'!Y55)," ",'Rocket Credit Pre-Register'!Y55)</f>
        <v xml:space="preserve"> </v>
      </c>
      <c r="G189" s="300"/>
      <c r="H189" s="108" t="str">
        <f>IF(ISBLANK('Rocket Credit Pre-Register'!Z55)," ",'Rocket Credit Pre-Register'!Z55)</f>
        <v xml:space="preserve"> </v>
      </c>
      <c r="I189" s="196"/>
      <c r="J189" s="107"/>
      <c r="K189" s="107"/>
      <c r="L189" s="107"/>
      <c r="M189" s="107"/>
      <c r="N189" s="107"/>
    </row>
    <row r="190" spans="1:14" ht="14.4" hidden="1" customHeight="1">
      <c r="A190" s="107"/>
      <c r="B190" s="195"/>
      <c r="C190" s="296" t="str">
        <f>IF(ISBLANK('Rocket Credit Pre-Register'!W56)," ",'Rocket Credit Pre-Register'!W56)</f>
        <v xml:space="preserve"> </v>
      </c>
      <c r="D190" s="297"/>
      <c r="E190" s="298"/>
      <c r="F190" s="299" t="str">
        <f>IF(ISBLANK('Rocket Credit Pre-Register'!Y56)," ",'Rocket Credit Pre-Register'!Y56)</f>
        <v xml:space="preserve"> </v>
      </c>
      <c r="G190" s="300"/>
      <c r="H190" s="108" t="str">
        <f>IF(ISBLANK('Rocket Credit Pre-Register'!Z56)," ",'Rocket Credit Pre-Register'!Z56)</f>
        <v xml:space="preserve"> </v>
      </c>
      <c r="I190" s="196"/>
      <c r="J190" s="107"/>
      <c r="K190" s="107"/>
      <c r="L190" s="107"/>
      <c r="M190" s="107"/>
      <c r="N190" s="107"/>
    </row>
    <row r="191" spans="1:14" ht="14.4" hidden="1" customHeight="1">
      <c r="A191" s="107"/>
      <c r="B191" s="195"/>
      <c r="C191" s="296" t="str">
        <f>IF(ISBLANK('Rocket Credit Pre-Register'!W57)," ",'Rocket Credit Pre-Register'!W57)</f>
        <v xml:space="preserve"> </v>
      </c>
      <c r="D191" s="297"/>
      <c r="E191" s="298"/>
      <c r="F191" s="299" t="str">
        <f>IF(ISBLANK('Rocket Credit Pre-Register'!Y57)," ",'Rocket Credit Pre-Register'!Y57)</f>
        <v xml:space="preserve"> </v>
      </c>
      <c r="G191" s="300"/>
      <c r="H191" s="108" t="str">
        <f>IF(ISBLANK('Rocket Credit Pre-Register'!Z57)," ",'Rocket Credit Pre-Register'!Z57)</f>
        <v xml:space="preserve"> </v>
      </c>
      <c r="I191" s="196"/>
      <c r="J191" s="107"/>
      <c r="K191" s="107"/>
      <c r="L191" s="107"/>
      <c r="M191" s="107"/>
      <c r="N191" s="107"/>
    </row>
    <row r="192" spans="1:14" ht="14.4" hidden="1" customHeight="1">
      <c r="A192" s="107"/>
      <c r="B192" s="195"/>
      <c r="C192" s="296" t="str">
        <f>IF(ISBLANK('Rocket Credit Pre-Register'!W58)," ",'Rocket Credit Pre-Register'!W58)</f>
        <v xml:space="preserve"> </v>
      </c>
      <c r="D192" s="297"/>
      <c r="E192" s="298"/>
      <c r="F192" s="299" t="str">
        <f>IF(ISBLANK('Rocket Credit Pre-Register'!Y58)," ",'Rocket Credit Pre-Register'!Y58)</f>
        <v xml:space="preserve"> </v>
      </c>
      <c r="G192" s="300"/>
      <c r="H192" s="108" t="str">
        <f>IF(ISBLANK('Rocket Credit Pre-Register'!Z58)," ",'Rocket Credit Pre-Register'!Z58)</f>
        <v xml:space="preserve"> </v>
      </c>
      <c r="I192" s="196"/>
      <c r="J192" s="107"/>
      <c r="K192" s="107"/>
      <c r="L192" s="107"/>
      <c r="M192" s="107"/>
      <c r="N192" s="107"/>
    </row>
    <row r="193" spans="1:14" ht="14.4" hidden="1" customHeight="1">
      <c r="A193" s="107"/>
      <c r="B193" s="195"/>
      <c r="C193" s="296" t="str">
        <f>IF(ISBLANK('Rocket Credit Pre-Register'!W59)," ",'Rocket Credit Pre-Register'!W59)</f>
        <v xml:space="preserve"> </v>
      </c>
      <c r="D193" s="297"/>
      <c r="E193" s="298"/>
      <c r="F193" s="299" t="str">
        <f>IF(ISBLANK('Rocket Credit Pre-Register'!Y59)," ",'Rocket Credit Pre-Register'!Y59)</f>
        <v xml:space="preserve"> </v>
      </c>
      <c r="G193" s="300"/>
      <c r="H193" s="108" t="str">
        <f>IF(ISBLANK('Rocket Credit Pre-Register'!Z59)," ",'Rocket Credit Pre-Register'!Z59)</f>
        <v xml:space="preserve"> </v>
      </c>
      <c r="I193" s="196"/>
      <c r="J193" s="107"/>
      <c r="K193" s="107"/>
      <c r="L193" s="107"/>
      <c r="M193" s="107"/>
      <c r="N193" s="107"/>
    </row>
    <row r="194" spans="1:14" ht="14.4" hidden="1" customHeight="1">
      <c r="A194" s="107"/>
      <c r="B194" s="195"/>
      <c r="C194" s="296" t="str">
        <f>IF(ISBLANK('Rocket Credit Pre-Register'!W60)," ",'Rocket Credit Pre-Register'!W60)</f>
        <v xml:space="preserve"> </v>
      </c>
      <c r="D194" s="297"/>
      <c r="E194" s="298"/>
      <c r="F194" s="299" t="str">
        <f>IF(ISBLANK('Rocket Credit Pre-Register'!Y60)," ",'Rocket Credit Pre-Register'!Y60)</f>
        <v xml:space="preserve"> </v>
      </c>
      <c r="G194" s="300"/>
      <c r="H194" s="108" t="str">
        <f>IF(ISBLANK('Rocket Credit Pre-Register'!Z60)," ",'Rocket Credit Pre-Register'!Z60)</f>
        <v xml:space="preserve"> </v>
      </c>
      <c r="I194" s="196"/>
      <c r="J194" s="107"/>
      <c r="K194" s="107"/>
      <c r="L194" s="107"/>
      <c r="M194" s="107"/>
      <c r="N194" s="107"/>
    </row>
    <row r="195" spans="1:14" ht="14.4" hidden="1" customHeight="1">
      <c r="A195" s="107"/>
      <c r="B195" s="195"/>
      <c r="C195" s="296" t="str">
        <f>IF(ISBLANK('Rocket Credit Pre-Register'!W61)," ",'Rocket Credit Pre-Register'!W61)</f>
        <v xml:space="preserve"> </v>
      </c>
      <c r="D195" s="297"/>
      <c r="E195" s="298"/>
      <c r="F195" s="299" t="str">
        <f>IF(ISBLANK('Rocket Credit Pre-Register'!Y61)," ",'Rocket Credit Pre-Register'!Y61)</f>
        <v xml:space="preserve"> </v>
      </c>
      <c r="G195" s="300"/>
      <c r="H195" s="108" t="str">
        <f>IF(ISBLANK('Rocket Credit Pre-Register'!Z61)," ",'Rocket Credit Pre-Register'!Z61)</f>
        <v xml:space="preserve"> </v>
      </c>
      <c r="I195" s="196"/>
      <c r="J195" s="107"/>
      <c r="K195" s="107"/>
      <c r="L195" s="107"/>
      <c r="M195" s="107"/>
      <c r="N195" s="107"/>
    </row>
    <row r="196" spans="1:14" ht="14.4" hidden="1" customHeight="1">
      <c r="A196" s="107"/>
      <c r="B196" s="195"/>
      <c r="C196" s="296" t="str">
        <f>IF(ISBLANK('Rocket Credit Pre-Register'!W62)," ",'Rocket Credit Pre-Register'!W62)</f>
        <v xml:space="preserve"> </v>
      </c>
      <c r="D196" s="297"/>
      <c r="E196" s="298"/>
      <c r="F196" s="299" t="str">
        <f>IF(ISBLANK('Rocket Credit Pre-Register'!Y62)," ",'Rocket Credit Pre-Register'!Y62)</f>
        <v xml:space="preserve"> </v>
      </c>
      <c r="G196" s="300"/>
      <c r="H196" s="108" t="str">
        <f>IF(ISBLANK('Rocket Credit Pre-Register'!Z62)," ",'Rocket Credit Pre-Register'!Z62)</f>
        <v xml:space="preserve"> </v>
      </c>
      <c r="I196" s="196"/>
      <c r="J196" s="107"/>
      <c r="K196" s="107"/>
      <c r="L196" s="107"/>
      <c r="M196" s="107"/>
      <c r="N196" s="107"/>
    </row>
    <row r="197" spans="1:14" ht="24.6" hidden="1" customHeight="1">
      <c r="A197" s="107"/>
      <c r="B197" s="195"/>
      <c r="C197" s="296" t="str">
        <f>IF(ISBLANK('Rocket Credit Pre-Register'!W63)," ",'Rocket Credit Pre-Register'!W63)</f>
        <v xml:space="preserve"> </v>
      </c>
      <c r="D197" s="297"/>
      <c r="E197" s="298"/>
      <c r="F197" s="299" t="str">
        <f>IF(ISBLANK('Rocket Credit Pre-Register'!Y63)," ",'Rocket Credit Pre-Register'!Y63)</f>
        <v xml:space="preserve"> </v>
      </c>
      <c r="G197" s="300"/>
      <c r="H197" s="108" t="str">
        <f>IF(ISBLANK('Rocket Credit Pre-Register'!Z63)," ",'Rocket Credit Pre-Register'!Z63)</f>
        <v xml:space="preserve"> </v>
      </c>
      <c r="I197" s="196"/>
      <c r="J197" s="107"/>
      <c r="K197" s="107"/>
      <c r="L197" s="107"/>
      <c r="M197" s="107"/>
      <c r="N197" s="107"/>
    </row>
    <row r="198" spans="1:14" ht="18.75" customHeight="1">
      <c r="A198" s="107"/>
      <c r="B198" s="195"/>
      <c r="C198" s="296" t="str">
        <f>IF(ISBLANK('Rocket Credit Post-Register'!J3)," ",'Rocket Credit Post-Register'!J3)</f>
        <v>DEPTEDNELNET</v>
      </c>
      <c r="D198" s="297"/>
      <c r="E198" s="298"/>
      <c r="F198" s="304">
        <f>IF(ISBLANK('Rocket Credit Post-Register'!K3)," ",'Rocket Credit Post-Register'!K3)</f>
        <v>9687</v>
      </c>
      <c r="G198" s="305"/>
      <c r="H198" s="170">
        <f>IF(ISBLANK('Rocket Credit Post-Register'!L3)," ",'Rocket Credit Post-Register'!L3)</f>
        <v>48.44</v>
      </c>
      <c r="I198" s="196"/>
      <c r="J198" s="107"/>
      <c r="K198" s="107"/>
      <c r="L198" s="107"/>
      <c r="M198" s="107"/>
      <c r="N198" s="107"/>
    </row>
    <row r="199" spans="1:14" ht="15.75" hidden="1" customHeight="1">
      <c r="A199" s="107"/>
      <c r="B199" s="195"/>
      <c r="C199" s="296" t="str">
        <f>IF(ISBLANK('Rocket Credit Post-Register'!J4)," ",'Rocket Credit Post-Register'!J4)</f>
        <v xml:space="preserve"> </v>
      </c>
      <c r="D199" s="297"/>
      <c r="E199" s="298"/>
      <c r="F199" s="304" t="str">
        <f>IF(ISBLANK('Rocket Credit Post-Register'!K4)," ",'Rocket Credit Post-Register'!K4)</f>
        <v xml:space="preserve"> </v>
      </c>
      <c r="G199" s="305"/>
      <c r="H199" s="170" t="str">
        <f>IF(ISBLANK('Rocket Credit Post-Register'!L4)," ",'Rocket Credit Post-Register'!L4)</f>
        <v xml:space="preserve"> </v>
      </c>
      <c r="I199" s="196"/>
      <c r="J199" s="107"/>
      <c r="K199" s="107"/>
      <c r="L199" s="107"/>
      <c r="M199" s="107"/>
      <c r="N199" s="107"/>
    </row>
    <row r="200" spans="1:14" hidden="1">
      <c r="A200" s="107"/>
      <c r="B200" s="195"/>
      <c r="C200" s="296" t="str">
        <f>IF(ISBLANK('Rocket Credit Post-Register'!J5)," ",'Rocket Credit Post-Register'!J5)</f>
        <v xml:space="preserve"> </v>
      </c>
      <c r="D200" s="297"/>
      <c r="E200" s="298"/>
      <c r="F200" s="304" t="str">
        <f>IF(ISBLANK('Rocket Credit Post-Register'!K5)," ",'Rocket Credit Post-Register'!K5)</f>
        <v xml:space="preserve"> </v>
      </c>
      <c r="G200" s="305"/>
      <c r="H200" s="170" t="str">
        <f>IF(ISBLANK('Rocket Credit Post-Register'!L5)," ",'Rocket Credit Post-Register'!L5)</f>
        <v xml:space="preserve"> </v>
      </c>
      <c r="I200" s="196"/>
      <c r="J200" s="107"/>
      <c r="K200" s="107"/>
      <c r="L200" s="107"/>
      <c r="M200" s="107"/>
      <c r="N200" s="107"/>
    </row>
    <row r="201" spans="1:14" hidden="1">
      <c r="A201" s="107"/>
      <c r="B201" s="195"/>
      <c r="C201" s="296" t="str">
        <f>IF(ISBLANK('Rocket Credit Post-Register'!J6)," ",'Rocket Credit Post-Register'!J6)</f>
        <v xml:space="preserve"> </v>
      </c>
      <c r="D201" s="297"/>
      <c r="E201" s="298"/>
      <c r="F201" s="304" t="str">
        <f>IF(ISBLANK('Rocket Credit Post-Register'!K6)," ",'Rocket Credit Post-Register'!K6)</f>
        <v xml:space="preserve"> </v>
      </c>
      <c r="G201" s="305"/>
      <c r="H201" s="170" t="str">
        <f>IF(ISBLANK('Rocket Credit Post-Register'!L6)," ",'Rocket Credit Post-Register'!L6)</f>
        <v xml:space="preserve"> </v>
      </c>
      <c r="I201" s="196"/>
      <c r="J201" s="107"/>
      <c r="K201" s="107"/>
      <c r="L201" s="107"/>
      <c r="M201" s="107"/>
      <c r="N201" s="107"/>
    </row>
    <row r="202" spans="1:14" hidden="1">
      <c r="A202" s="107"/>
      <c r="B202" s="195"/>
      <c r="C202" s="296" t="str">
        <f>IF(ISBLANK('Rocket Credit Post-Register'!J7)," ",'Rocket Credit Post-Register'!J7)</f>
        <v xml:space="preserve"> </v>
      </c>
      <c r="D202" s="297"/>
      <c r="E202" s="298"/>
      <c r="F202" s="304" t="str">
        <f>IF(ISBLANK('Rocket Credit Post-Register'!K7)," ",'Rocket Credit Post-Register'!K7)</f>
        <v xml:space="preserve"> </v>
      </c>
      <c r="G202" s="305"/>
      <c r="H202" s="170" t="str">
        <f>IF(ISBLANK('Rocket Credit Post-Register'!L7)," ",'Rocket Credit Post-Register'!L7)</f>
        <v xml:space="preserve"> </v>
      </c>
      <c r="I202" s="196"/>
      <c r="J202" s="107"/>
      <c r="K202" s="107" t="s">
        <v>100</v>
      </c>
      <c r="L202" s="107"/>
      <c r="M202" s="107"/>
      <c r="N202" s="107"/>
    </row>
    <row r="203" spans="1:14" hidden="1">
      <c r="A203" s="107"/>
      <c r="B203" s="195"/>
      <c r="C203" s="296" t="str">
        <f>IF(ISBLANK('Rocket Credit Post-Register'!J8)," ",'Rocket Credit Post-Register'!J8)</f>
        <v xml:space="preserve"> </v>
      </c>
      <c r="D203" s="297"/>
      <c r="E203" s="298"/>
      <c r="F203" s="304" t="str">
        <f>IF(ISBLANK('Rocket Credit Post-Register'!K8)," ",'Rocket Credit Post-Register'!K8)</f>
        <v xml:space="preserve"> </v>
      </c>
      <c r="G203" s="305"/>
      <c r="H203" s="170" t="str">
        <f>IF(ISBLANK('Rocket Credit Post-Register'!L8)," ",'Rocket Credit Post-Register'!L8)</f>
        <v xml:space="preserve"> </v>
      </c>
      <c r="I203" s="196"/>
      <c r="J203" s="107"/>
      <c r="K203" s="107"/>
      <c r="L203" s="107"/>
      <c r="M203" s="107"/>
      <c r="N203" s="107"/>
    </row>
    <row r="204" spans="1:14" hidden="1">
      <c r="A204" s="107"/>
      <c r="B204" s="195"/>
      <c r="C204" s="296" t="str">
        <f>IF(ISBLANK('Rocket Credit Post-Register'!J9)," ",'Rocket Credit Post-Register'!J9)</f>
        <v xml:space="preserve"> </v>
      </c>
      <c r="D204" s="297"/>
      <c r="E204" s="298"/>
      <c r="F204" s="304" t="str">
        <f>IF(ISBLANK('Rocket Credit Post-Register'!K9)," ",'Rocket Credit Post-Register'!K9)</f>
        <v xml:space="preserve"> </v>
      </c>
      <c r="G204" s="305"/>
      <c r="H204" s="170" t="str">
        <f>IF(ISBLANK('Rocket Credit Post-Register'!L9)," ",'Rocket Credit Post-Register'!L9)</f>
        <v xml:space="preserve"> </v>
      </c>
      <c r="I204" s="196"/>
      <c r="J204" s="107"/>
      <c r="K204" s="107"/>
      <c r="L204" s="107"/>
      <c r="M204" s="107"/>
      <c r="N204" s="107"/>
    </row>
    <row r="205" spans="1:14" hidden="1">
      <c r="A205" s="107"/>
      <c r="B205" s="195"/>
      <c r="C205" s="296" t="str">
        <f>IF(ISBLANK('Rocket Credit Post-Register'!J10)," ",'Rocket Credit Post-Register'!J10)</f>
        <v xml:space="preserve"> </v>
      </c>
      <c r="D205" s="297"/>
      <c r="E205" s="298"/>
      <c r="F205" s="304" t="str">
        <f>IF(ISBLANK('Rocket Credit Post-Register'!K10)," ",'Rocket Credit Post-Register'!K10)</f>
        <v xml:space="preserve"> </v>
      </c>
      <c r="G205" s="305"/>
      <c r="H205" s="170" t="str">
        <f>IF(ISBLANK('Rocket Credit Post-Register'!L10)," ",'Rocket Credit Post-Register'!L10)</f>
        <v xml:space="preserve"> </v>
      </c>
      <c r="I205" s="196"/>
      <c r="J205" s="107"/>
      <c r="K205" s="107"/>
      <c r="L205" s="107"/>
      <c r="M205" s="107"/>
      <c r="N205" s="107"/>
    </row>
    <row r="206" spans="1:14" hidden="1">
      <c r="A206" s="107"/>
      <c r="B206" s="195"/>
      <c r="C206" s="296" t="str">
        <f>IF(ISBLANK('Rocket Credit Post-Register'!J11)," ",'Rocket Credit Post-Register'!J11)</f>
        <v xml:space="preserve"> </v>
      </c>
      <c r="D206" s="297"/>
      <c r="E206" s="298"/>
      <c r="F206" s="304" t="str">
        <f>IF(ISBLANK('Rocket Credit Post-Register'!K11)," ",'Rocket Credit Post-Register'!K11)</f>
        <v xml:space="preserve"> </v>
      </c>
      <c r="G206" s="305"/>
      <c r="H206" s="170" t="str">
        <f>IF(ISBLANK('Rocket Credit Post-Register'!L11)," ",'Rocket Credit Post-Register'!L11)</f>
        <v xml:space="preserve"> </v>
      </c>
      <c r="I206" s="196"/>
      <c r="J206" s="107"/>
      <c r="K206" s="107"/>
      <c r="L206" s="107"/>
      <c r="M206" s="107"/>
      <c r="N206" s="107"/>
    </row>
    <row r="207" spans="1:14" hidden="1">
      <c r="A207" s="107"/>
      <c r="B207" s="195"/>
      <c r="C207" s="296" t="str">
        <f>IF(ISBLANK('Rocket Credit Post-Register'!J12)," ",'Rocket Credit Post-Register'!J12)</f>
        <v xml:space="preserve"> </v>
      </c>
      <c r="D207" s="297"/>
      <c r="E207" s="298"/>
      <c r="F207" s="304" t="str">
        <f>IF(ISBLANK('Rocket Credit Post-Register'!K12)," ",'Rocket Credit Post-Register'!K12)</f>
        <v xml:space="preserve"> </v>
      </c>
      <c r="G207" s="305"/>
      <c r="H207" s="170" t="str">
        <f>IF(ISBLANK('Rocket Credit Post-Register'!L12)," ",'Rocket Credit Post-Register'!L12)</f>
        <v xml:space="preserve"> </v>
      </c>
      <c r="I207" s="196"/>
      <c r="J207" s="107"/>
      <c r="K207" s="107"/>
      <c r="L207" s="107"/>
      <c r="M207" s="107"/>
      <c r="N207" s="107"/>
    </row>
    <row r="208" spans="1:14" hidden="1">
      <c r="A208" s="107"/>
      <c r="B208" s="195"/>
      <c r="C208" s="296" t="str">
        <f>IF(ISBLANK('Rocket Credit Post-Register'!J13)," ",'Rocket Credit Post-Register'!J13)</f>
        <v xml:space="preserve"> </v>
      </c>
      <c r="D208" s="297"/>
      <c r="E208" s="298"/>
      <c r="F208" s="304" t="str">
        <f>IF(ISBLANK('Rocket Credit Post-Register'!K13)," ",'Rocket Credit Post-Register'!K13)</f>
        <v xml:space="preserve"> </v>
      </c>
      <c r="G208" s="305"/>
      <c r="H208" s="170" t="str">
        <f>IF(ISBLANK('Rocket Credit Post-Register'!L13)," ",'Rocket Credit Post-Register'!L13)</f>
        <v xml:space="preserve"> </v>
      </c>
      <c r="I208" s="196"/>
      <c r="J208" s="107"/>
      <c r="K208" s="107"/>
      <c r="L208" s="107"/>
      <c r="M208" s="107"/>
      <c r="N208" s="107"/>
    </row>
    <row r="209" spans="1:14" hidden="1">
      <c r="A209" s="107"/>
      <c r="B209" s="195"/>
      <c r="C209" s="296" t="str">
        <f>IF(ISBLANK('Rocket Credit Post-Register'!J14)," ",'Rocket Credit Post-Register'!J14)</f>
        <v xml:space="preserve"> </v>
      </c>
      <c r="D209" s="297"/>
      <c r="E209" s="298"/>
      <c r="F209" s="304" t="str">
        <f>IF(ISBLANK('Rocket Credit Post-Register'!K14)," ",'Rocket Credit Post-Register'!K14)</f>
        <v xml:space="preserve"> </v>
      </c>
      <c r="G209" s="305"/>
      <c r="H209" s="170" t="str">
        <f>IF(ISBLANK('Rocket Credit Post-Register'!L14)," ",'Rocket Credit Post-Register'!L14)</f>
        <v xml:space="preserve"> </v>
      </c>
      <c r="I209" s="196"/>
      <c r="J209" s="107"/>
      <c r="K209" s="107"/>
      <c r="L209" s="107"/>
      <c r="M209" s="107"/>
      <c r="N209" s="107"/>
    </row>
    <row r="210" spans="1:14" hidden="1">
      <c r="A210" s="107"/>
      <c r="B210" s="195"/>
      <c r="C210" s="296" t="str">
        <f>IF(ISBLANK('Rocket Credit Post-Register'!J15)," ",'Rocket Credit Post-Register'!J15)</f>
        <v xml:space="preserve"> </v>
      </c>
      <c r="D210" s="297"/>
      <c r="E210" s="298"/>
      <c r="F210" s="304" t="str">
        <f>IF(ISBLANK('Rocket Credit Post-Register'!K15)," ",'Rocket Credit Post-Register'!K15)</f>
        <v xml:space="preserve"> </v>
      </c>
      <c r="G210" s="305"/>
      <c r="H210" s="170" t="str">
        <f>IF(ISBLANK('Rocket Credit Post-Register'!L15)," ",'Rocket Credit Post-Register'!L15)</f>
        <v xml:space="preserve"> </v>
      </c>
      <c r="I210" s="196"/>
      <c r="J210" s="107"/>
      <c r="K210" s="107"/>
      <c r="L210" s="107"/>
      <c r="M210" s="107"/>
      <c r="N210" s="107"/>
    </row>
    <row r="211" spans="1:14" hidden="1">
      <c r="A211" s="107"/>
      <c r="B211" s="195"/>
      <c r="C211" s="296" t="str">
        <f>IF(ISBLANK('Rocket Credit Post-Register'!J16)," ",'Rocket Credit Post-Register'!J16)</f>
        <v xml:space="preserve"> </v>
      </c>
      <c r="D211" s="297"/>
      <c r="E211" s="298"/>
      <c r="F211" s="304" t="str">
        <f>IF(ISBLANK('Rocket Credit Post-Register'!K16)," ",'Rocket Credit Post-Register'!K16)</f>
        <v xml:space="preserve"> </v>
      </c>
      <c r="G211" s="305"/>
      <c r="H211" s="170" t="str">
        <f>IF(ISBLANK('Rocket Credit Post-Register'!L16)," ",'Rocket Credit Post-Register'!L16)</f>
        <v xml:space="preserve"> </v>
      </c>
      <c r="I211" s="196"/>
      <c r="J211" s="107"/>
      <c r="K211" s="107"/>
      <c r="L211" s="107"/>
      <c r="M211" s="107"/>
      <c r="N211" s="107"/>
    </row>
    <row r="212" spans="1:14" hidden="1">
      <c r="A212" s="107"/>
      <c r="B212" s="195"/>
      <c r="C212" s="296" t="str">
        <f>IF(ISBLANK('Rocket Credit Post-Register'!J17)," ",'Rocket Credit Post-Register'!J17)</f>
        <v xml:space="preserve"> </v>
      </c>
      <c r="D212" s="297"/>
      <c r="E212" s="298"/>
      <c r="F212" s="304" t="str">
        <f>IF(ISBLANK('Rocket Credit Post-Register'!K17)," ",'Rocket Credit Post-Register'!K17)</f>
        <v xml:space="preserve"> </v>
      </c>
      <c r="G212" s="305"/>
      <c r="H212" s="170" t="str">
        <f>IF(ISBLANK('Rocket Credit Post-Register'!L17)," ",'Rocket Credit Post-Register'!L17)</f>
        <v xml:space="preserve"> </v>
      </c>
      <c r="I212" s="196"/>
      <c r="J212" s="107"/>
      <c r="K212" s="107"/>
      <c r="L212" s="107"/>
      <c r="M212" s="107"/>
      <c r="N212" s="107"/>
    </row>
    <row r="213" spans="1:14" hidden="1">
      <c r="B213" s="195"/>
      <c r="C213" s="296" t="str">
        <f>IF(ISBLANK('Rocket Credit Post-Register'!J18)," ",'Rocket Credit Post-Register'!J18)</f>
        <v xml:space="preserve"> </v>
      </c>
      <c r="D213" s="297"/>
      <c r="E213" s="298"/>
      <c r="F213" s="304" t="str">
        <f>IF(ISBLANK('Rocket Credit Post-Register'!K18)," ",'Rocket Credit Post-Register'!K18)</f>
        <v xml:space="preserve"> </v>
      </c>
      <c r="G213" s="305"/>
      <c r="H213" s="170" t="str">
        <f>IF(ISBLANK('Rocket Credit Post-Register'!L18)," ",'Rocket Credit Post-Register'!L18)</f>
        <v xml:space="preserve"> </v>
      </c>
      <c r="I213" s="196"/>
    </row>
    <row r="214" spans="1:14" hidden="1">
      <c r="B214" s="195"/>
      <c r="C214" s="296" t="str">
        <f>IF(ISBLANK('Rocket Credit Post-Register'!J19)," ",'Rocket Credit Post-Register'!J19)</f>
        <v xml:space="preserve"> </v>
      </c>
      <c r="D214" s="297"/>
      <c r="E214" s="298"/>
      <c r="F214" s="304" t="str">
        <f>IF(ISBLANK('Rocket Credit Post-Register'!K19)," ",'Rocket Credit Post-Register'!K19)</f>
        <v xml:space="preserve"> </v>
      </c>
      <c r="G214" s="305"/>
      <c r="H214" s="170" t="str">
        <f>IF(ISBLANK('Rocket Credit Post-Register'!L19)," ",'Rocket Credit Post-Register'!L19)</f>
        <v xml:space="preserve"> </v>
      </c>
      <c r="I214" s="196"/>
    </row>
    <row r="215" spans="1:14" hidden="1">
      <c r="B215" s="195"/>
      <c r="C215" s="296" t="str">
        <f>IF(ISBLANK('Rocket Credit Post-Register'!J20)," ",'Rocket Credit Post-Register'!J20)</f>
        <v xml:space="preserve"> </v>
      </c>
      <c r="D215" s="297"/>
      <c r="E215" s="298"/>
      <c r="F215" s="304" t="str">
        <f>IF(ISBLANK('Rocket Credit Post-Register'!K20)," ",'Rocket Credit Post-Register'!K20)</f>
        <v xml:space="preserve"> </v>
      </c>
      <c r="G215" s="305"/>
      <c r="H215" s="170" t="str">
        <f>IF(ISBLANK('Rocket Credit Post-Register'!L20)," ",'Rocket Credit Post-Register'!L20)</f>
        <v xml:space="preserve"> </v>
      </c>
      <c r="I215" s="196"/>
    </row>
    <row r="216" spans="1:14" hidden="1">
      <c r="B216" s="195"/>
      <c r="C216" s="296" t="str">
        <f>IF(ISBLANK('Rocket Credit Post-Register'!J21)," ",'Rocket Credit Post-Register'!J21)</f>
        <v xml:space="preserve"> </v>
      </c>
      <c r="D216" s="297"/>
      <c r="E216" s="298"/>
      <c r="F216" s="304" t="str">
        <f>IF(ISBLANK('Rocket Credit Post-Register'!K21)," ",'Rocket Credit Post-Register'!K21)</f>
        <v xml:space="preserve"> </v>
      </c>
      <c r="G216" s="305"/>
      <c r="H216" s="170" t="str">
        <f>IF(ISBLANK('Rocket Credit Post-Register'!L21)," ",'Rocket Credit Post-Register'!L21)</f>
        <v xml:space="preserve"> </v>
      </c>
      <c r="I216" s="196"/>
    </row>
    <row r="217" spans="1:14" hidden="1">
      <c r="B217" s="195"/>
      <c r="C217" s="296" t="str">
        <f>IF(ISBLANK('Rocket Credit Post-Register'!J22)," ",'Rocket Credit Post-Register'!J22)</f>
        <v xml:space="preserve"> </v>
      </c>
      <c r="D217" s="297"/>
      <c r="E217" s="298"/>
      <c r="F217" s="304" t="str">
        <f>IF(ISBLANK('Rocket Credit Post-Register'!K22)," ",'Rocket Credit Post-Register'!K22)</f>
        <v xml:space="preserve"> </v>
      </c>
      <c r="G217" s="305"/>
      <c r="H217" s="170" t="str">
        <f>IF(ISBLANK('Rocket Credit Post-Register'!L22)," ",'Rocket Credit Post-Register'!L22)</f>
        <v xml:space="preserve"> </v>
      </c>
      <c r="I217" s="196"/>
    </row>
    <row r="218" spans="1:14" hidden="1">
      <c r="B218" s="195"/>
      <c r="C218" s="296" t="str">
        <f>IF(ISBLANK('Rocket Credit Post-Register'!J23)," ",'Rocket Credit Post-Register'!J23)</f>
        <v xml:space="preserve"> </v>
      </c>
      <c r="D218" s="297"/>
      <c r="E218" s="298"/>
      <c r="F218" s="304" t="str">
        <f>IF(ISBLANK('Rocket Credit Post-Register'!K23)," ",'Rocket Credit Post-Register'!K23)</f>
        <v xml:space="preserve"> </v>
      </c>
      <c r="G218" s="305"/>
      <c r="H218" s="170" t="str">
        <f>IF(ISBLANK('Rocket Credit Post-Register'!L23)," ",'Rocket Credit Post-Register'!L23)</f>
        <v xml:space="preserve"> </v>
      </c>
      <c r="I218" s="196"/>
    </row>
    <row r="219" spans="1:14" hidden="1">
      <c r="B219" s="195"/>
      <c r="C219" s="296" t="str">
        <f>IF(ISBLANK('Rocket Credit Post-Register'!J24)," ",'Rocket Credit Post-Register'!J24)</f>
        <v xml:space="preserve"> </v>
      </c>
      <c r="D219" s="297"/>
      <c r="E219" s="298"/>
      <c r="F219" s="304" t="str">
        <f>IF(ISBLANK('Rocket Credit Post-Register'!K24)," ",'Rocket Credit Post-Register'!K24)</f>
        <v xml:space="preserve"> </v>
      </c>
      <c r="G219" s="305"/>
      <c r="H219" s="170" t="str">
        <f>IF(ISBLANK('Rocket Credit Post-Register'!L24)," ",'Rocket Credit Post-Register'!L24)</f>
        <v xml:space="preserve"> </v>
      </c>
      <c r="I219" s="196"/>
    </row>
    <row r="220" spans="1:14" hidden="1">
      <c r="B220" s="195"/>
      <c r="C220" s="296" t="str">
        <f>IF(ISBLANK('Rocket Credit Post-Register'!J25)," ",'Rocket Credit Post-Register'!J25)</f>
        <v xml:space="preserve"> </v>
      </c>
      <c r="D220" s="297"/>
      <c r="E220" s="298"/>
      <c r="F220" s="304" t="str">
        <f>IF(ISBLANK('Rocket Credit Post-Register'!K25)," ",'Rocket Credit Post-Register'!K25)</f>
        <v xml:space="preserve"> </v>
      </c>
      <c r="G220" s="305"/>
      <c r="H220" s="170" t="str">
        <f>IF(ISBLANK('Rocket Credit Post-Register'!L25)," ",'Rocket Credit Post-Register'!L25)</f>
        <v xml:space="preserve"> </v>
      </c>
      <c r="I220" s="196"/>
    </row>
    <row r="221" spans="1:14" hidden="1">
      <c r="B221" s="195"/>
      <c r="C221" s="296" t="str">
        <f>IF(ISBLANK('Rocket Credit Post-Register'!J26)," ",'Rocket Credit Post-Register'!J26)</f>
        <v xml:space="preserve"> </v>
      </c>
      <c r="D221" s="297"/>
      <c r="E221" s="298"/>
      <c r="F221" s="304" t="str">
        <f>IF(ISBLANK('Rocket Credit Post-Register'!K26)," ",'Rocket Credit Post-Register'!K26)</f>
        <v xml:space="preserve"> </v>
      </c>
      <c r="G221" s="305"/>
      <c r="H221" s="170" t="str">
        <f>IF(ISBLANK('Rocket Credit Post-Register'!L26)," ",'Rocket Credit Post-Register'!L26)</f>
        <v xml:space="preserve"> </v>
      </c>
      <c r="I221" s="196"/>
    </row>
    <row r="222" spans="1:14" hidden="1">
      <c r="B222" s="195"/>
      <c r="C222" s="296" t="str">
        <f>IF(ISBLANK('Rocket Credit Post-Register'!J27)," ",'Rocket Credit Post-Register'!J27)</f>
        <v xml:space="preserve"> </v>
      </c>
      <c r="D222" s="297"/>
      <c r="E222" s="298"/>
      <c r="F222" s="304" t="str">
        <f>IF(ISBLANK('Rocket Credit Post-Register'!K27)," ",'Rocket Credit Post-Register'!K27)</f>
        <v xml:space="preserve"> </v>
      </c>
      <c r="G222" s="305"/>
      <c r="H222" s="170" t="str">
        <f>IF(ISBLANK('Rocket Credit Post-Register'!L27)," ",'Rocket Credit Post-Register'!L27)</f>
        <v xml:space="preserve"> </v>
      </c>
      <c r="I222" s="196"/>
    </row>
    <row r="223" spans="1:14" hidden="1">
      <c r="B223" s="195"/>
      <c r="C223" s="296" t="str">
        <f>IF(ISBLANK('Rocket Credit Post-Register'!J28)," ",'Rocket Credit Post-Register'!J28)</f>
        <v xml:space="preserve"> </v>
      </c>
      <c r="D223" s="297"/>
      <c r="E223" s="298"/>
      <c r="F223" s="304" t="str">
        <f>IF(ISBLANK('Rocket Credit Post-Register'!K28)," ",'Rocket Credit Post-Register'!K28)</f>
        <v xml:space="preserve"> </v>
      </c>
      <c r="G223" s="305"/>
      <c r="H223" s="170" t="str">
        <f>IF(ISBLANK('Rocket Credit Post-Register'!L28)," ",'Rocket Credit Post-Register'!L28)</f>
        <v xml:space="preserve"> </v>
      </c>
      <c r="I223" s="196"/>
    </row>
    <row r="224" spans="1:14" hidden="1">
      <c r="B224" s="195"/>
      <c r="C224" s="296" t="str">
        <f>IF(ISBLANK('Rocket Credit Post-Register'!J29)," ",'Rocket Credit Post-Register'!J29)</f>
        <v xml:space="preserve"> </v>
      </c>
      <c r="D224" s="297"/>
      <c r="E224" s="298"/>
      <c r="F224" s="304" t="str">
        <f>IF(ISBLANK('Rocket Credit Post-Register'!K29)," ",'Rocket Credit Post-Register'!K29)</f>
        <v xml:space="preserve"> </v>
      </c>
      <c r="G224" s="305"/>
      <c r="H224" s="170" t="str">
        <f>IF(ISBLANK('Rocket Credit Post-Register'!L29)," ",'Rocket Credit Post-Register'!L29)</f>
        <v xml:space="preserve"> </v>
      </c>
      <c r="I224" s="196"/>
    </row>
    <row r="225" spans="2:9" hidden="1">
      <c r="B225" s="195"/>
      <c r="C225" s="296" t="str">
        <f>IF(ISBLANK('Rocket Credit Post-Register'!J30)," ",'Rocket Credit Post-Register'!J30)</f>
        <v xml:space="preserve"> </v>
      </c>
      <c r="D225" s="297"/>
      <c r="E225" s="298"/>
      <c r="F225" s="304" t="str">
        <f>IF(ISBLANK('Rocket Credit Post-Register'!K30)," ",'Rocket Credit Post-Register'!K30)</f>
        <v xml:space="preserve"> </v>
      </c>
      <c r="G225" s="305"/>
      <c r="H225" s="170" t="str">
        <f>IF(ISBLANK('Rocket Credit Post-Register'!L30)," ",'Rocket Credit Post-Register'!L30)</f>
        <v xml:space="preserve"> </v>
      </c>
      <c r="I225" s="196"/>
    </row>
    <row r="226" spans="2:9" hidden="1">
      <c r="B226" s="195"/>
      <c r="C226" s="296" t="str">
        <f>IF(ISBLANK('Rocket Credit Post-Register'!J31)," ",'Rocket Credit Post-Register'!J31)</f>
        <v xml:space="preserve"> </v>
      </c>
      <c r="D226" s="297"/>
      <c r="E226" s="298"/>
      <c r="F226" s="304" t="str">
        <f>IF(ISBLANK('Rocket Credit Post-Register'!K31)," ",'Rocket Credit Post-Register'!K31)</f>
        <v xml:space="preserve"> </v>
      </c>
      <c r="G226" s="305"/>
      <c r="H226" s="170" t="str">
        <f>IF(ISBLANK('Rocket Credit Post-Register'!L31)," ",'Rocket Credit Post-Register'!L31)</f>
        <v xml:space="preserve"> </v>
      </c>
      <c r="I226" s="196"/>
    </row>
    <row r="227" spans="2:9" hidden="1">
      <c r="B227" s="195"/>
      <c r="C227" s="296" t="str">
        <f>IF(ISBLANK('Rocket Credit Post-Register'!J32)," ",'Rocket Credit Post-Register'!J32)</f>
        <v xml:space="preserve"> </v>
      </c>
      <c r="D227" s="297"/>
      <c r="E227" s="298"/>
      <c r="F227" s="304" t="str">
        <f>IF(ISBLANK('Rocket Credit Post-Register'!K32)," ",'Rocket Credit Post-Register'!K32)</f>
        <v xml:space="preserve"> </v>
      </c>
      <c r="G227" s="305"/>
      <c r="H227" s="170" t="str">
        <f>IF(ISBLANK('Rocket Credit Post-Register'!L32)," ",'Rocket Credit Post-Register'!L32)</f>
        <v xml:space="preserve"> </v>
      </c>
      <c r="I227" s="196"/>
    </row>
    <row r="228" spans="2:9" hidden="1">
      <c r="B228" s="195"/>
      <c r="C228" s="296" t="str">
        <f>IF(ISBLANK('Rocket Credit Post-Register'!J33)," ",'Rocket Credit Post-Register'!J33)</f>
        <v xml:space="preserve"> </v>
      </c>
      <c r="D228" s="297"/>
      <c r="E228" s="298"/>
      <c r="F228" s="304" t="str">
        <f>IF(ISBLANK('Rocket Credit Post-Register'!K33)," ",'Rocket Credit Post-Register'!K33)</f>
        <v xml:space="preserve"> </v>
      </c>
      <c r="G228" s="305"/>
      <c r="H228" s="170" t="str">
        <f>IF(ISBLANK('Rocket Credit Post-Register'!L33)," ",'Rocket Credit Post-Register'!L33)</f>
        <v xml:space="preserve"> </v>
      </c>
      <c r="I228" s="196"/>
    </row>
    <row r="229" spans="2:9" hidden="1">
      <c r="B229" s="195"/>
      <c r="C229" s="296" t="str">
        <f>IF(ISBLANK('Rocket Credit Post-Register'!J34)," ",'Rocket Credit Post-Register'!J34)</f>
        <v xml:space="preserve"> </v>
      </c>
      <c r="D229" s="297"/>
      <c r="E229" s="298"/>
      <c r="F229" s="304" t="str">
        <f>IF(ISBLANK('Rocket Credit Post-Register'!K34)," ",'Rocket Credit Post-Register'!K34)</f>
        <v xml:space="preserve"> </v>
      </c>
      <c r="G229" s="305"/>
      <c r="H229" s="170" t="str">
        <f>IF(ISBLANK('Rocket Credit Post-Register'!L34)," ",'Rocket Credit Post-Register'!L34)</f>
        <v xml:space="preserve"> </v>
      </c>
      <c r="I229" s="196"/>
    </row>
    <row r="230" spans="2:9" hidden="1">
      <c r="B230" s="195"/>
      <c r="C230" s="296" t="str">
        <f>IF(ISBLANK('Rocket Credit Post-Register'!J35)," ",'Rocket Credit Post-Register'!J35)</f>
        <v xml:space="preserve"> </v>
      </c>
      <c r="D230" s="297"/>
      <c r="E230" s="298"/>
      <c r="F230" s="304" t="str">
        <f>IF(ISBLANK('Rocket Credit Post-Register'!K35)," ",'Rocket Credit Post-Register'!K35)</f>
        <v xml:space="preserve"> </v>
      </c>
      <c r="G230" s="305"/>
      <c r="H230" s="170" t="str">
        <f>IF(ISBLANK('Rocket Credit Post-Register'!L35)," ",'Rocket Credit Post-Register'!L35)</f>
        <v xml:space="preserve"> </v>
      </c>
      <c r="I230" s="196"/>
    </row>
    <row r="231" spans="2:9" hidden="1">
      <c r="B231" s="195"/>
      <c r="C231" s="296" t="str">
        <f>IF(ISBLANK('Rocket Credit Post-Register'!J36)," ",'Rocket Credit Post-Register'!J36)</f>
        <v xml:space="preserve"> </v>
      </c>
      <c r="D231" s="297"/>
      <c r="E231" s="298"/>
      <c r="F231" s="304" t="str">
        <f>IF(ISBLANK('Rocket Credit Post-Register'!K36)," ",'Rocket Credit Post-Register'!K36)</f>
        <v xml:space="preserve"> </v>
      </c>
      <c r="G231" s="305"/>
      <c r="H231" s="170" t="str">
        <f>IF(ISBLANK('Rocket Credit Post-Register'!L36)," ",'Rocket Credit Post-Register'!L36)</f>
        <v xml:space="preserve"> </v>
      </c>
      <c r="I231" s="196"/>
    </row>
    <row r="232" spans="2:9" hidden="1">
      <c r="B232" s="195"/>
      <c r="C232" s="296" t="str">
        <f>IF(ISBLANK('Rocket Credit Post-Register'!J37)," ",'Rocket Credit Post-Register'!J37)</f>
        <v xml:space="preserve"> </v>
      </c>
      <c r="D232" s="297"/>
      <c r="E232" s="298"/>
      <c r="F232" s="304" t="str">
        <f>IF(ISBLANK('Rocket Credit Post-Register'!K37)," ",'Rocket Credit Post-Register'!K37)</f>
        <v xml:space="preserve"> </v>
      </c>
      <c r="G232" s="305"/>
      <c r="H232" s="170" t="str">
        <f>IF(ISBLANK('Rocket Credit Post-Register'!L37)," ",'Rocket Credit Post-Register'!L37)</f>
        <v xml:space="preserve"> </v>
      </c>
      <c r="I232" s="196"/>
    </row>
    <row r="233" spans="2:9" hidden="1">
      <c r="B233" s="195"/>
      <c r="C233" s="296" t="str">
        <f>IF(ISBLANK('Rocket Credit Post-Register'!J38)," ",'Rocket Credit Post-Register'!J38)</f>
        <v xml:space="preserve"> </v>
      </c>
      <c r="D233" s="297"/>
      <c r="E233" s="298"/>
      <c r="F233" s="304" t="str">
        <f>IF(ISBLANK('Rocket Credit Post-Register'!K38)," ",'Rocket Credit Post-Register'!K38)</f>
        <v xml:space="preserve"> </v>
      </c>
      <c r="G233" s="305"/>
      <c r="H233" s="170" t="str">
        <f>IF(ISBLANK('Rocket Credit Post-Register'!L38)," ",'Rocket Credit Post-Register'!L38)</f>
        <v xml:space="preserve"> </v>
      </c>
      <c r="I233" s="196"/>
    </row>
    <row r="234" spans="2:9" hidden="1">
      <c r="B234" s="195"/>
      <c r="C234" s="296" t="str">
        <f>IF(ISBLANK('Rocket Credit Post-Register'!J39)," ",'Rocket Credit Post-Register'!J39)</f>
        <v xml:space="preserve"> </v>
      </c>
      <c r="D234" s="297"/>
      <c r="E234" s="298"/>
      <c r="F234" s="304" t="str">
        <f>IF(ISBLANK('Rocket Credit Post-Register'!K39)," ",'Rocket Credit Post-Register'!K39)</f>
        <v xml:space="preserve"> </v>
      </c>
      <c r="G234" s="305"/>
      <c r="H234" s="170" t="str">
        <f>IF(ISBLANK('Rocket Credit Post-Register'!L39)," ",'Rocket Credit Post-Register'!L39)</f>
        <v xml:space="preserve"> </v>
      </c>
      <c r="I234" s="196"/>
    </row>
    <row r="235" spans="2:9" hidden="1">
      <c r="B235" s="195"/>
      <c r="C235" s="296" t="str">
        <f>IF(ISBLANK('Rocket Credit Post-Register'!J40)," ",'Rocket Credit Post-Register'!J40)</f>
        <v xml:space="preserve"> </v>
      </c>
      <c r="D235" s="297"/>
      <c r="E235" s="298"/>
      <c r="F235" s="304" t="str">
        <f>IF(ISBLANK('Rocket Credit Post-Register'!K40)," ",'Rocket Credit Post-Register'!K40)</f>
        <v xml:space="preserve"> </v>
      </c>
      <c r="G235" s="305"/>
      <c r="H235" s="170" t="str">
        <f>IF(ISBLANK('Rocket Credit Post-Register'!L40)," ",'Rocket Credit Post-Register'!L40)</f>
        <v xml:space="preserve"> </v>
      </c>
      <c r="I235" s="196"/>
    </row>
    <row r="236" spans="2:9" hidden="1">
      <c r="B236" s="195"/>
      <c r="C236" s="296" t="str">
        <f>IF(ISBLANK('Rocket Credit Post-Register'!J41)," ",'Rocket Credit Post-Register'!J41)</f>
        <v xml:space="preserve"> </v>
      </c>
      <c r="D236" s="297"/>
      <c r="E236" s="298"/>
      <c r="F236" s="304" t="str">
        <f>IF(ISBLANK('Rocket Credit Post-Register'!K41)," ",'Rocket Credit Post-Register'!K41)</f>
        <v xml:space="preserve"> </v>
      </c>
      <c r="G236" s="305"/>
      <c r="H236" s="170" t="str">
        <f>IF(ISBLANK('Rocket Credit Post-Register'!L41)," ",'Rocket Credit Post-Register'!L41)</f>
        <v xml:space="preserve"> </v>
      </c>
      <c r="I236" s="196"/>
    </row>
    <row r="237" spans="2:9" hidden="1">
      <c r="B237" s="195"/>
      <c r="C237" s="296" t="str">
        <f>IF(ISBLANK('Rocket Credit Post-Register'!J42)," ",'Rocket Credit Post-Register'!J42)</f>
        <v xml:space="preserve"> </v>
      </c>
      <c r="D237" s="297"/>
      <c r="E237" s="298"/>
      <c r="F237" s="304" t="str">
        <f>IF(ISBLANK('Rocket Credit Post-Register'!K42)," ",'Rocket Credit Post-Register'!K42)</f>
        <v xml:space="preserve"> </v>
      </c>
      <c r="G237" s="305"/>
      <c r="H237" s="170" t="str">
        <f>IF(ISBLANK('Rocket Credit Post-Register'!L42)," ",'Rocket Credit Post-Register'!L42)</f>
        <v xml:space="preserve"> </v>
      </c>
      <c r="I237" s="196"/>
    </row>
    <row r="238" spans="2:9" hidden="1">
      <c r="B238" s="195"/>
      <c r="C238" s="296" t="str">
        <f>IF(ISBLANK('Rocket Credit Post-Register'!J43)," ",'Rocket Credit Post-Register'!J43)</f>
        <v xml:space="preserve"> </v>
      </c>
      <c r="D238" s="297"/>
      <c r="E238" s="298"/>
      <c r="F238" s="304" t="str">
        <f>IF(ISBLANK('Rocket Credit Post-Register'!K43)," ",'Rocket Credit Post-Register'!K43)</f>
        <v xml:space="preserve"> </v>
      </c>
      <c r="G238" s="305"/>
      <c r="H238" s="170" t="str">
        <f>IF(ISBLANK('Rocket Credit Post-Register'!L43)," ",'Rocket Credit Post-Register'!L43)</f>
        <v xml:space="preserve"> </v>
      </c>
      <c r="I238" s="196"/>
    </row>
    <row r="239" spans="2:9" hidden="1">
      <c r="B239" s="195"/>
      <c r="C239" s="296" t="str">
        <f>IF(ISBLANK('Rocket Credit Post-Register'!J44)," ",'Rocket Credit Post-Register'!J44)</f>
        <v xml:space="preserve"> </v>
      </c>
      <c r="D239" s="297"/>
      <c r="E239" s="298"/>
      <c r="F239" s="304" t="str">
        <f>IF(ISBLANK('Rocket Credit Post-Register'!K44)," ",'Rocket Credit Post-Register'!K44)</f>
        <v xml:space="preserve"> </v>
      </c>
      <c r="G239" s="305"/>
      <c r="H239" s="170" t="str">
        <f>IF(ISBLANK('Rocket Credit Post-Register'!L44)," ",'Rocket Credit Post-Register'!L44)</f>
        <v xml:space="preserve"> </v>
      </c>
      <c r="I239" s="196"/>
    </row>
    <row r="240" spans="2:9" hidden="1">
      <c r="B240" s="195"/>
      <c r="C240" s="296" t="str">
        <f>IF(ISBLANK('Rocket Credit Post-Register'!J45)," ",'Rocket Credit Post-Register'!J45)</f>
        <v xml:space="preserve"> </v>
      </c>
      <c r="D240" s="297"/>
      <c r="E240" s="298"/>
      <c r="F240" s="304" t="str">
        <f>IF(ISBLANK('Rocket Credit Post-Register'!K45)," ",'Rocket Credit Post-Register'!K45)</f>
        <v xml:space="preserve"> </v>
      </c>
      <c r="G240" s="305"/>
      <c r="H240" s="170" t="str">
        <f>IF(ISBLANK('Rocket Credit Post-Register'!L45)," ",'Rocket Credit Post-Register'!L45)</f>
        <v xml:space="preserve"> </v>
      </c>
      <c r="I240" s="196"/>
    </row>
    <row r="241" spans="2:9" hidden="1">
      <c r="B241" s="195"/>
      <c r="C241" s="296" t="str">
        <f>IF(ISBLANK('Rocket Credit Post-Register'!J46)," ",'Rocket Credit Post-Register'!J46)</f>
        <v xml:space="preserve"> </v>
      </c>
      <c r="D241" s="297"/>
      <c r="E241" s="298"/>
      <c r="F241" s="304" t="str">
        <f>IF(ISBLANK('Rocket Credit Post-Register'!K46)," ",'Rocket Credit Post-Register'!K46)</f>
        <v xml:space="preserve"> </v>
      </c>
      <c r="G241" s="305"/>
      <c r="H241" s="170" t="str">
        <f>IF(ISBLANK('Rocket Credit Post-Register'!L46)," ",'Rocket Credit Post-Register'!L46)</f>
        <v xml:space="preserve"> </v>
      </c>
      <c r="I241" s="196"/>
    </row>
    <row r="242" spans="2:9" hidden="1">
      <c r="B242" s="195"/>
      <c r="C242" s="296" t="str">
        <f>IF(ISBLANK('Rocket Credit Post-Register'!J47)," ",'Rocket Credit Post-Register'!J47)</f>
        <v xml:space="preserve"> </v>
      </c>
      <c r="D242" s="297"/>
      <c r="E242" s="298"/>
      <c r="F242" s="304" t="str">
        <f>IF(ISBLANK('Rocket Credit Post-Register'!K47)," ",'Rocket Credit Post-Register'!K47)</f>
        <v xml:space="preserve"> </v>
      </c>
      <c r="G242" s="305"/>
      <c r="H242" s="170" t="str">
        <f>IF(ISBLANK('Rocket Credit Post-Register'!L47)," ",'Rocket Credit Post-Register'!L47)</f>
        <v xml:space="preserve"> </v>
      </c>
      <c r="I242" s="196"/>
    </row>
    <row r="243" spans="2:9" hidden="1">
      <c r="B243" s="195"/>
      <c r="C243" s="296" t="str">
        <f>IF(ISBLANK('Rocket Credit Post-Register'!J48)," ",'Rocket Credit Post-Register'!J48)</f>
        <v xml:space="preserve"> </v>
      </c>
      <c r="D243" s="297"/>
      <c r="E243" s="298"/>
      <c r="F243" s="304" t="str">
        <f>IF(ISBLANK('Rocket Credit Post-Register'!K48)," ",'Rocket Credit Post-Register'!K48)</f>
        <v xml:space="preserve"> </v>
      </c>
      <c r="G243" s="305"/>
      <c r="H243" s="170" t="str">
        <f>IF(ISBLANK('Rocket Credit Post-Register'!L48)," ",'Rocket Credit Post-Register'!L48)</f>
        <v xml:space="preserve"> </v>
      </c>
      <c r="I243" s="196"/>
    </row>
    <row r="244" spans="2:9" hidden="1">
      <c r="B244" s="195"/>
      <c r="C244" s="296" t="str">
        <f>IF(ISBLANK('Rocket Credit Post-Register'!J49)," ",'Rocket Credit Post-Register'!J49)</f>
        <v xml:space="preserve"> </v>
      </c>
      <c r="D244" s="297"/>
      <c r="E244" s="298"/>
      <c r="F244" s="304" t="str">
        <f>IF(ISBLANK('Rocket Credit Post-Register'!K49)," ",'Rocket Credit Post-Register'!K49)</f>
        <v xml:space="preserve"> </v>
      </c>
      <c r="G244" s="305"/>
      <c r="H244" s="170" t="str">
        <f>IF(ISBLANK('Rocket Credit Post-Register'!L49)," ",'Rocket Credit Post-Register'!L49)</f>
        <v xml:space="preserve"> </v>
      </c>
      <c r="I244" s="196"/>
    </row>
    <row r="245" spans="2:9" hidden="1">
      <c r="B245" s="195"/>
      <c r="C245" s="296" t="str">
        <f>IF(ISBLANK('Rocket Credit Post-Register'!J50)," ",'Rocket Credit Post-Register'!J50)</f>
        <v xml:space="preserve"> </v>
      </c>
      <c r="D245" s="297"/>
      <c r="E245" s="298"/>
      <c r="F245" s="304" t="str">
        <f>IF(ISBLANK('Rocket Credit Post-Register'!K50)," ",'Rocket Credit Post-Register'!K50)</f>
        <v xml:space="preserve"> </v>
      </c>
      <c r="G245" s="305"/>
      <c r="H245" s="170" t="str">
        <f>IF(ISBLANK('Rocket Credit Post-Register'!L50)," ",'Rocket Credit Post-Register'!L50)</f>
        <v xml:space="preserve"> </v>
      </c>
      <c r="I245" s="196"/>
    </row>
    <row r="246" spans="2:9" hidden="1">
      <c r="B246" s="195"/>
      <c r="C246" s="296" t="str">
        <f>IF(ISBLANK('Rocket Credit Post-Register'!J51)," ",'Rocket Credit Post-Register'!J51)</f>
        <v xml:space="preserve"> </v>
      </c>
      <c r="D246" s="297"/>
      <c r="E246" s="298"/>
      <c r="F246" s="304" t="str">
        <f>IF(ISBLANK('Rocket Credit Post-Register'!K51)," ",'Rocket Credit Post-Register'!K51)</f>
        <v xml:space="preserve"> </v>
      </c>
      <c r="G246" s="305"/>
      <c r="H246" s="170" t="str">
        <f>IF(ISBLANK('Rocket Credit Post-Register'!L51)," ",'Rocket Credit Post-Register'!L51)</f>
        <v xml:space="preserve"> </v>
      </c>
      <c r="I246" s="196"/>
    </row>
    <row r="247" spans="2:9" hidden="1">
      <c r="B247" s="195"/>
      <c r="C247" s="296" t="str">
        <f>IF(ISBLANK('Rocket Credit Post-Register'!J52)," ",'Rocket Credit Post-Register'!J52)</f>
        <v xml:space="preserve"> </v>
      </c>
      <c r="D247" s="297"/>
      <c r="E247" s="298"/>
      <c r="F247" s="304" t="str">
        <f>IF(ISBLANK('Rocket Credit Post-Register'!K52)," ",'Rocket Credit Post-Register'!K52)</f>
        <v xml:space="preserve"> </v>
      </c>
      <c r="G247" s="305"/>
      <c r="H247" s="170" t="str">
        <f>IF(ISBLANK('Rocket Credit Post-Register'!L52)," ",'Rocket Credit Post-Register'!L52)</f>
        <v xml:space="preserve"> </v>
      </c>
      <c r="I247" s="196"/>
    </row>
    <row r="248" spans="2:9" hidden="1">
      <c r="B248" s="195"/>
      <c r="C248" s="296" t="str">
        <f>IF(ISBLANK('Rocket Credit Post-Register'!J53)," ",'Rocket Credit Post-Register'!J53)</f>
        <v xml:space="preserve"> </v>
      </c>
      <c r="D248" s="297"/>
      <c r="E248" s="298"/>
      <c r="F248" s="304" t="str">
        <f>IF(ISBLANK('Rocket Credit Post-Register'!K53)," ",'Rocket Credit Post-Register'!K53)</f>
        <v xml:space="preserve"> </v>
      </c>
      <c r="G248" s="305"/>
      <c r="H248" s="170" t="str">
        <f>IF(ISBLANK('Rocket Credit Post-Register'!L53)," ",'Rocket Credit Post-Register'!L53)</f>
        <v xml:space="preserve"> </v>
      </c>
      <c r="I248" s="196"/>
    </row>
    <row r="249" spans="2:9" hidden="1">
      <c r="B249" s="195"/>
      <c r="C249" s="296" t="str">
        <f>IF(ISBLANK('Rocket Credit Post-Register'!J54)," ",'Rocket Credit Post-Register'!J54)</f>
        <v xml:space="preserve"> </v>
      </c>
      <c r="D249" s="297"/>
      <c r="E249" s="298"/>
      <c r="F249" s="304" t="str">
        <f>IF(ISBLANK('Rocket Credit Post-Register'!K54)," ",'Rocket Credit Post-Register'!K54)</f>
        <v xml:space="preserve"> </v>
      </c>
      <c r="G249" s="305"/>
      <c r="H249" s="170" t="str">
        <f>IF(ISBLANK('Rocket Credit Post-Register'!L54)," ",'Rocket Credit Post-Register'!L54)</f>
        <v xml:space="preserve"> </v>
      </c>
      <c r="I249" s="196"/>
    </row>
    <row r="250" spans="2:9" hidden="1">
      <c r="B250" s="195"/>
      <c r="C250" s="296" t="str">
        <f>IF(ISBLANK('Rocket Credit Post-Register'!J55)," ",'Rocket Credit Post-Register'!J55)</f>
        <v xml:space="preserve"> </v>
      </c>
      <c r="D250" s="297"/>
      <c r="E250" s="298"/>
      <c r="F250" s="304" t="str">
        <f>IF(ISBLANK('Rocket Credit Post-Register'!K55)," ",'Rocket Credit Post-Register'!K55)</f>
        <v xml:space="preserve"> </v>
      </c>
      <c r="G250" s="305"/>
      <c r="H250" s="170" t="str">
        <f>IF(ISBLANK('Rocket Credit Post-Register'!L55)," ",'Rocket Credit Post-Register'!L55)</f>
        <v xml:space="preserve"> </v>
      </c>
      <c r="I250" s="196"/>
    </row>
    <row r="251" spans="2:9" hidden="1">
      <c r="B251" s="195"/>
      <c r="C251" s="296" t="str">
        <f>IF(ISBLANK('Rocket Credit Post-Register'!J56)," ",'Rocket Credit Post-Register'!J56)</f>
        <v xml:space="preserve"> </v>
      </c>
      <c r="D251" s="297"/>
      <c r="E251" s="298"/>
      <c r="F251" s="304" t="str">
        <f>IF(ISBLANK('Rocket Credit Post-Register'!K56)," ",'Rocket Credit Post-Register'!K56)</f>
        <v xml:space="preserve"> </v>
      </c>
      <c r="G251" s="305"/>
      <c r="H251" s="170" t="str">
        <f>IF(ISBLANK('Rocket Credit Post-Register'!L56)," ",'Rocket Credit Post-Register'!L56)</f>
        <v xml:space="preserve"> </v>
      </c>
      <c r="I251" s="196"/>
    </row>
    <row r="252" spans="2:9" hidden="1">
      <c r="B252" s="195"/>
      <c r="C252" s="296" t="str">
        <f>IF(ISBLANK('Rocket Credit Post-Register'!J57)," ",'Rocket Credit Post-Register'!J57)</f>
        <v xml:space="preserve"> </v>
      </c>
      <c r="D252" s="297"/>
      <c r="E252" s="298"/>
      <c r="F252" s="304" t="str">
        <f>IF(ISBLANK('Rocket Credit Post-Register'!K57)," ",'Rocket Credit Post-Register'!K57)</f>
        <v xml:space="preserve"> </v>
      </c>
      <c r="G252" s="305"/>
      <c r="H252" s="170" t="str">
        <f>IF(ISBLANK('Rocket Credit Post-Register'!L57)," ",'Rocket Credit Post-Register'!L57)</f>
        <v xml:space="preserve"> </v>
      </c>
      <c r="I252" s="196"/>
    </row>
    <row r="253" spans="2:9" hidden="1">
      <c r="B253" s="195"/>
      <c r="C253" s="296" t="str">
        <f>IF(ISBLANK('Rocket Credit Post-Register'!J58)," ",'Rocket Credit Post-Register'!J58)</f>
        <v xml:space="preserve"> </v>
      </c>
      <c r="D253" s="297"/>
      <c r="E253" s="298"/>
      <c r="F253" s="304" t="str">
        <f>IF(ISBLANK('Rocket Credit Post-Register'!K58)," ",'Rocket Credit Post-Register'!K58)</f>
        <v xml:space="preserve"> </v>
      </c>
      <c r="G253" s="305"/>
      <c r="H253" s="170" t="str">
        <f>IF(ISBLANK('Rocket Credit Post-Register'!L58)," ",'Rocket Credit Post-Register'!L58)</f>
        <v xml:space="preserve"> </v>
      </c>
      <c r="I253" s="196"/>
    </row>
    <row r="254" spans="2:9" hidden="1">
      <c r="B254" s="195"/>
      <c r="C254" s="296" t="str">
        <f>IF(ISBLANK('Rocket Credit Post-Register'!J59)," ",'Rocket Credit Post-Register'!J59)</f>
        <v xml:space="preserve"> </v>
      </c>
      <c r="D254" s="297"/>
      <c r="E254" s="298"/>
      <c r="F254" s="304" t="str">
        <f>IF(ISBLANK('Rocket Credit Post-Register'!K59)," ",'Rocket Credit Post-Register'!K59)</f>
        <v xml:space="preserve"> </v>
      </c>
      <c r="G254" s="305"/>
      <c r="H254" s="170" t="str">
        <f>IF(ISBLANK('Rocket Credit Post-Register'!L59)," ",'Rocket Credit Post-Register'!L59)</f>
        <v xml:space="preserve"> </v>
      </c>
      <c r="I254" s="196"/>
    </row>
    <row r="255" spans="2:9" hidden="1">
      <c r="B255" s="195"/>
      <c r="C255" s="296" t="str">
        <f>IF(ISBLANK('Rocket Credit Post-Register'!J60)," ",'Rocket Credit Post-Register'!J60)</f>
        <v xml:space="preserve"> </v>
      </c>
      <c r="D255" s="297"/>
      <c r="E255" s="298"/>
      <c r="F255" s="304" t="str">
        <f>IF(ISBLANK('Rocket Credit Post-Register'!K60)," ",'Rocket Credit Post-Register'!K60)</f>
        <v xml:space="preserve"> </v>
      </c>
      <c r="G255" s="305"/>
      <c r="H255" s="170" t="str">
        <f>IF(ISBLANK('Rocket Credit Post-Register'!L60)," ",'Rocket Credit Post-Register'!L60)</f>
        <v xml:space="preserve"> </v>
      </c>
      <c r="I255" s="196"/>
    </row>
    <row r="256" spans="2:9">
      <c r="B256" s="195"/>
      <c r="C256" s="296" t="str">
        <f>IF(ISBLANK('Rocket Credit Post-Register'!J61)," ",'Rocket Credit Post-Register'!J61)</f>
        <v xml:space="preserve"> </v>
      </c>
      <c r="D256" s="297"/>
      <c r="E256" s="298"/>
      <c r="F256" s="304" t="str">
        <f>IF(ISBLANK('Rocket Credit Post-Register'!K61)," ",'Rocket Credit Post-Register'!K61)</f>
        <v xml:space="preserve"> </v>
      </c>
      <c r="G256" s="305"/>
      <c r="H256" s="170" t="str">
        <f>IF(ISBLANK('Rocket Credit Post-Register'!L61)," ",'Rocket Credit Post-Register'!L61)</f>
        <v xml:space="preserve"> </v>
      </c>
      <c r="I256" s="196"/>
    </row>
    <row r="257" spans="2:9" ht="5.4" customHeight="1">
      <c r="B257" s="195"/>
      <c r="C257" s="303"/>
      <c r="D257" s="303"/>
      <c r="E257" s="303"/>
      <c r="F257" s="304" t="str">
        <f>IF(ISBLANK('Rocket Credit Post-Register'!K62)," ",'Rocket Credit Post-Register'!K62)</f>
        <v xml:space="preserve"> </v>
      </c>
      <c r="G257" s="305"/>
      <c r="H257" s="107"/>
      <c r="I257" s="196"/>
    </row>
    <row r="258" spans="2:9" ht="16.2" thickBot="1">
      <c r="B258" s="197"/>
      <c r="C258" s="200"/>
      <c r="D258" s="200"/>
      <c r="E258" s="200"/>
      <c r="F258" s="306">
        <f>SUM(F17:G256)</f>
        <v>612048</v>
      </c>
      <c r="G258" s="307"/>
      <c r="H258" s="201">
        <f>SUM(H17:H256)</f>
        <v>6097.29</v>
      </c>
      <c r="I258" s="199"/>
    </row>
    <row r="259" spans="2:9" ht="14.4" customHeight="1">
      <c r="I259" s="107"/>
    </row>
    <row r="260" spans="2:9">
      <c r="B260" s="107"/>
      <c r="C260" s="302"/>
      <c r="D260" s="302"/>
      <c r="E260" s="302"/>
      <c r="F260" s="302"/>
      <c r="G260" s="302"/>
      <c r="H260" s="302"/>
      <c r="I260" s="107"/>
    </row>
    <row r="261" spans="2:9">
      <c r="B261" s="107"/>
      <c r="C261" s="107"/>
      <c r="D261" s="107"/>
      <c r="E261" s="107"/>
      <c r="F261" s="107"/>
      <c r="G261" s="107"/>
      <c r="H261" s="107"/>
      <c r="I261" s="107"/>
    </row>
    <row r="262" spans="2:9">
      <c r="B262" s="107"/>
      <c r="C262" s="107"/>
      <c r="D262" s="107"/>
      <c r="E262" s="107"/>
      <c r="F262" s="107"/>
      <c r="G262" s="107"/>
      <c r="H262" s="107"/>
      <c r="I262" s="107"/>
    </row>
    <row r="263" spans="2:9">
      <c r="B263" s="107"/>
      <c r="C263" s="107"/>
      <c r="D263" s="107"/>
      <c r="E263" s="107"/>
      <c r="F263" s="107"/>
      <c r="G263" s="107"/>
      <c r="H263" s="107"/>
      <c r="I263" s="107"/>
    </row>
    <row r="264" spans="2:9">
      <c r="B264" s="107"/>
      <c r="C264" s="107"/>
      <c r="D264" s="107"/>
      <c r="E264" s="107"/>
      <c r="F264" s="107"/>
      <c r="G264" s="107"/>
      <c r="H264" s="107"/>
      <c r="I264" s="107"/>
    </row>
    <row r="265" spans="2:9">
      <c r="B265" s="107"/>
      <c r="C265" s="107"/>
      <c r="D265" s="107"/>
      <c r="E265" s="107"/>
      <c r="F265" s="107"/>
      <c r="G265" s="107"/>
      <c r="H265" s="107"/>
      <c r="I265" s="107"/>
    </row>
    <row r="266" spans="2:9">
      <c r="B266" s="107"/>
      <c r="C266" s="107"/>
      <c r="D266" s="107"/>
      <c r="E266" s="107"/>
      <c r="F266" s="107"/>
      <c r="G266" s="107"/>
      <c r="H266" s="107"/>
      <c r="I266" s="107"/>
    </row>
    <row r="267" spans="2:9">
      <c r="B267" s="107"/>
      <c r="C267" s="107"/>
      <c r="D267" s="107"/>
      <c r="E267" s="107"/>
      <c r="F267" s="107"/>
      <c r="G267" s="107"/>
      <c r="H267" s="107"/>
      <c r="I267" s="107"/>
    </row>
    <row r="268" spans="2:9">
      <c r="B268" s="107"/>
      <c r="C268" s="107"/>
      <c r="D268" s="107"/>
      <c r="E268" s="107"/>
      <c r="F268" s="107"/>
      <c r="G268" s="107"/>
      <c r="H268" s="107"/>
      <c r="I268" s="107"/>
    </row>
    <row r="269" spans="2:9">
      <c r="B269" s="107"/>
      <c r="C269" s="107"/>
      <c r="D269" s="107"/>
      <c r="E269" s="107"/>
      <c r="F269" s="107"/>
      <c r="G269" s="107"/>
      <c r="H269" s="107"/>
      <c r="I269" s="107"/>
    </row>
    <row r="270" spans="2:9">
      <c r="B270" s="107"/>
      <c r="C270" s="107"/>
      <c r="D270" s="107"/>
      <c r="E270" s="107"/>
      <c r="F270" s="107"/>
      <c r="G270" s="107"/>
      <c r="H270" s="107"/>
      <c r="I270" s="107"/>
    </row>
    <row r="271" spans="2:9">
      <c r="B271" s="107"/>
      <c r="C271" s="107"/>
      <c r="D271" s="107"/>
      <c r="E271" s="107"/>
      <c r="F271" s="107"/>
      <c r="G271" s="107"/>
      <c r="H271" s="107"/>
      <c r="I271" s="107"/>
    </row>
    <row r="272" spans="2:9">
      <c r="B272" s="107"/>
      <c r="C272" s="107"/>
      <c r="D272" s="107"/>
      <c r="E272" s="107"/>
      <c r="F272" s="107"/>
      <c r="G272" s="107"/>
      <c r="H272" s="107"/>
      <c r="I272" s="107"/>
    </row>
  </sheetData>
  <mergeCells count="487">
    <mergeCell ref="C252:E252"/>
    <mergeCell ref="F252:G252"/>
    <mergeCell ref="C253:E253"/>
    <mergeCell ref="F253:G253"/>
    <mergeCell ref="C254:E254"/>
    <mergeCell ref="F254:G254"/>
    <mergeCell ref="C255:E255"/>
    <mergeCell ref="F255:G255"/>
    <mergeCell ref="C256:E256"/>
    <mergeCell ref="F256:G256"/>
    <mergeCell ref="C247:E247"/>
    <mergeCell ref="F247:G247"/>
    <mergeCell ref="C248:E248"/>
    <mergeCell ref="F248:G248"/>
    <mergeCell ref="C249:E249"/>
    <mergeCell ref="F249:G249"/>
    <mergeCell ref="C250:E250"/>
    <mergeCell ref="F250:G250"/>
    <mergeCell ref="C251:E251"/>
    <mergeCell ref="F251:G251"/>
    <mergeCell ref="C242:E242"/>
    <mergeCell ref="F242:G242"/>
    <mergeCell ref="C243:E243"/>
    <mergeCell ref="F243:G243"/>
    <mergeCell ref="C244:E244"/>
    <mergeCell ref="F244:G244"/>
    <mergeCell ref="C245:E245"/>
    <mergeCell ref="F245:G245"/>
    <mergeCell ref="C246:E246"/>
    <mergeCell ref="F246:G246"/>
    <mergeCell ref="C237:E237"/>
    <mergeCell ref="F237:G237"/>
    <mergeCell ref="C238:E238"/>
    <mergeCell ref="F238:G238"/>
    <mergeCell ref="C239:E239"/>
    <mergeCell ref="F239:G239"/>
    <mergeCell ref="C240:E240"/>
    <mergeCell ref="F240:G240"/>
    <mergeCell ref="C241:E241"/>
    <mergeCell ref="F241:G241"/>
    <mergeCell ref="C232:E232"/>
    <mergeCell ref="F232:G232"/>
    <mergeCell ref="C233:E233"/>
    <mergeCell ref="F233:G233"/>
    <mergeCell ref="C234:E234"/>
    <mergeCell ref="F234:G234"/>
    <mergeCell ref="C235:E235"/>
    <mergeCell ref="F235:G235"/>
    <mergeCell ref="C236:E236"/>
    <mergeCell ref="F236:G236"/>
    <mergeCell ref="C227:E227"/>
    <mergeCell ref="F227:G227"/>
    <mergeCell ref="C228:E228"/>
    <mergeCell ref="F228:G228"/>
    <mergeCell ref="C229:E229"/>
    <mergeCell ref="F229:G229"/>
    <mergeCell ref="C230:E230"/>
    <mergeCell ref="F230:G230"/>
    <mergeCell ref="C231:E231"/>
    <mergeCell ref="F231:G231"/>
    <mergeCell ref="C222:E222"/>
    <mergeCell ref="F222:G222"/>
    <mergeCell ref="C223:E223"/>
    <mergeCell ref="F223:G223"/>
    <mergeCell ref="C224:E224"/>
    <mergeCell ref="F224:G224"/>
    <mergeCell ref="C225:E225"/>
    <mergeCell ref="F225:G225"/>
    <mergeCell ref="C226:E226"/>
    <mergeCell ref="F226:G226"/>
    <mergeCell ref="C217:E217"/>
    <mergeCell ref="F217:G217"/>
    <mergeCell ref="C218:E218"/>
    <mergeCell ref="F218:G218"/>
    <mergeCell ref="C219:E219"/>
    <mergeCell ref="F219:G219"/>
    <mergeCell ref="C220:E220"/>
    <mergeCell ref="F220:G220"/>
    <mergeCell ref="C221:E221"/>
    <mergeCell ref="F221:G221"/>
    <mergeCell ref="C212:E212"/>
    <mergeCell ref="F212:G212"/>
    <mergeCell ref="C213:E213"/>
    <mergeCell ref="F213:G213"/>
    <mergeCell ref="C214:E214"/>
    <mergeCell ref="F214:G214"/>
    <mergeCell ref="C215:E215"/>
    <mergeCell ref="F215:G215"/>
    <mergeCell ref="C216:E216"/>
    <mergeCell ref="F216:G216"/>
    <mergeCell ref="C207:E207"/>
    <mergeCell ref="F207:G207"/>
    <mergeCell ref="C208:E208"/>
    <mergeCell ref="F208:G208"/>
    <mergeCell ref="C209:E209"/>
    <mergeCell ref="F209:G209"/>
    <mergeCell ref="C210:E210"/>
    <mergeCell ref="F210:G210"/>
    <mergeCell ref="C211:E211"/>
    <mergeCell ref="F211:G211"/>
    <mergeCell ref="C202:E202"/>
    <mergeCell ref="F202:G202"/>
    <mergeCell ref="C203:E203"/>
    <mergeCell ref="F203:G203"/>
    <mergeCell ref="C204:E204"/>
    <mergeCell ref="F204:G204"/>
    <mergeCell ref="C205:E205"/>
    <mergeCell ref="F205:G205"/>
    <mergeCell ref="C206:E206"/>
    <mergeCell ref="F206:G206"/>
    <mergeCell ref="C197:E197"/>
    <mergeCell ref="F197:G197"/>
    <mergeCell ref="C198:E198"/>
    <mergeCell ref="F198:G198"/>
    <mergeCell ref="C199:E199"/>
    <mergeCell ref="F199:G199"/>
    <mergeCell ref="C200:E200"/>
    <mergeCell ref="F200:G200"/>
    <mergeCell ref="C201:E201"/>
    <mergeCell ref="F201:G201"/>
    <mergeCell ref="C10:F11"/>
    <mergeCell ref="G10:H11"/>
    <mergeCell ref="C12:F13"/>
    <mergeCell ref="C17:E17"/>
    <mergeCell ref="F17:G17"/>
    <mergeCell ref="F28:G28"/>
    <mergeCell ref="C18:E18"/>
    <mergeCell ref="F18:G18"/>
    <mergeCell ref="C19:E19"/>
    <mergeCell ref="F19:G19"/>
    <mergeCell ref="F24:G24"/>
    <mergeCell ref="C20:E20"/>
    <mergeCell ref="F20:G20"/>
    <mergeCell ref="C21:E21"/>
    <mergeCell ref="F21:G21"/>
    <mergeCell ref="C22:E22"/>
    <mergeCell ref="F22:G22"/>
    <mergeCell ref="C33:E33"/>
    <mergeCell ref="F33:G33"/>
    <mergeCell ref="C260:H260"/>
    <mergeCell ref="C23:E23"/>
    <mergeCell ref="C24:E24"/>
    <mergeCell ref="C25:E25"/>
    <mergeCell ref="C26:E26"/>
    <mergeCell ref="F25:G25"/>
    <mergeCell ref="F26:G26"/>
    <mergeCell ref="F23:G23"/>
    <mergeCell ref="C257:E257"/>
    <mergeCell ref="F257:G257"/>
    <mergeCell ref="F258:G258"/>
    <mergeCell ref="C31:E31"/>
    <mergeCell ref="F31:G31"/>
    <mergeCell ref="C32:E32"/>
    <mergeCell ref="F32:G32"/>
    <mergeCell ref="C29:E29"/>
    <mergeCell ref="F29:G29"/>
    <mergeCell ref="C30:E30"/>
    <mergeCell ref="F30:G30"/>
    <mergeCell ref="C27:E27"/>
    <mergeCell ref="F27:G27"/>
    <mergeCell ref="C28:E28"/>
    <mergeCell ref="C37:E37"/>
    <mergeCell ref="F37:G37"/>
    <mergeCell ref="C38:E38"/>
    <mergeCell ref="F38:G38"/>
    <mergeCell ref="C39:E39"/>
    <mergeCell ref="F39:G39"/>
    <mergeCell ref="C34:E34"/>
    <mergeCell ref="F34:G34"/>
    <mergeCell ref="C35:E35"/>
    <mergeCell ref="F35:G35"/>
    <mergeCell ref="C36:E36"/>
    <mergeCell ref="F36:G36"/>
    <mergeCell ref="C43:E43"/>
    <mergeCell ref="F43:G43"/>
    <mergeCell ref="C44:E44"/>
    <mergeCell ref="F44:G44"/>
    <mergeCell ref="C45:E45"/>
    <mergeCell ref="F45:G45"/>
    <mergeCell ref="C40:E40"/>
    <mergeCell ref="F40:G40"/>
    <mergeCell ref="C41:E41"/>
    <mergeCell ref="F41:G41"/>
    <mergeCell ref="C42:E42"/>
    <mergeCell ref="F42:G42"/>
    <mergeCell ref="C49:E49"/>
    <mergeCell ref="F49:G49"/>
    <mergeCell ref="C50:E50"/>
    <mergeCell ref="F50:G50"/>
    <mergeCell ref="C51:E51"/>
    <mergeCell ref="F51:G51"/>
    <mergeCell ref="C46:E46"/>
    <mergeCell ref="F46:G46"/>
    <mergeCell ref="C47:E47"/>
    <mergeCell ref="F47:G47"/>
    <mergeCell ref="C48:E48"/>
    <mergeCell ref="F48:G48"/>
    <mergeCell ref="C55:E55"/>
    <mergeCell ref="F55:G55"/>
    <mergeCell ref="C56:E56"/>
    <mergeCell ref="F56:G56"/>
    <mergeCell ref="C57:E57"/>
    <mergeCell ref="F57:G57"/>
    <mergeCell ref="C52:E52"/>
    <mergeCell ref="F52:G52"/>
    <mergeCell ref="C53:E53"/>
    <mergeCell ref="F53:G53"/>
    <mergeCell ref="C54:E54"/>
    <mergeCell ref="F54:G54"/>
    <mergeCell ref="C61:E61"/>
    <mergeCell ref="F61:G61"/>
    <mergeCell ref="C62:E62"/>
    <mergeCell ref="F62:G62"/>
    <mergeCell ref="C63:E63"/>
    <mergeCell ref="F63:G63"/>
    <mergeCell ref="C58:E58"/>
    <mergeCell ref="F58:G58"/>
    <mergeCell ref="C59:E59"/>
    <mergeCell ref="F59:G59"/>
    <mergeCell ref="C60:E60"/>
    <mergeCell ref="F60:G60"/>
    <mergeCell ref="C67:E67"/>
    <mergeCell ref="F67:G67"/>
    <mergeCell ref="C68:E68"/>
    <mergeCell ref="F68:G68"/>
    <mergeCell ref="C69:E69"/>
    <mergeCell ref="F69:G69"/>
    <mergeCell ref="C64:E64"/>
    <mergeCell ref="F64:G64"/>
    <mergeCell ref="C65:E65"/>
    <mergeCell ref="F65:G65"/>
    <mergeCell ref="C66:E66"/>
    <mergeCell ref="F66:G66"/>
    <mergeCell ref="C76:E76"/>
    <mergeCell ref="F76:G76"/>
    <mergeCell ref="C73:E73"/>
    <mergeCell ref="F73:G73"/>
    <mergeCell ref="C74:E74"/>
    <mergeCell ref="F74:G74"/>
    <mergeCell ref="C75:E75"/>
    <mergeCell ref="F75:G75"/>
    <mergeCell ref="C70:E70"/>
    <mergeCell ref="F70:G70"/>
    <mergeCell ref="C71:E71"/>
    <mergeCell ref="F71:G71"/>
    <mergeCell ref="C72:E72"/>
    <mergeCell ref="F72:G72"/>
    <mergeCell ref="C77:E77"/>
    <mergeCell ref="F77:G77"/>
    <mergeCell ref="C78:E78"/>
    <mergeCell ref="F78:G78"/>
    <mergeCell ref="C79:E79"/>
    <mergeCell ref="F79:G79"/>
    <mergeCell ref="C80:E80"/>
    <mergeCell ref="F80:G80"/>
    <mergeCell ref="C81:E81"/>
    <mergeCell ref="F81:G81"/>
    <mergeCell ref="C82:E82"/>
    <mergeCell ref="F82:G82"/>
    <mergeCell ref="C83:E83"/>
    <mergeCell ref="F83:G83"/>
    <mergeCell ref="C84:E84"/>
    <mergeCell ref="F84:G84"/>
    <mergeCell ref="C85:E85"/>
    <mergeCell ref="F85:G85"/>
    <mergeCell ref="C86:E86"/>
    <mergeCell ref="F86:G86"/>
    <mergeCell ref="C87:E87"/>
    <mergeCell ref="F87:G87"/>
    <mergeCell ref="C88:E88"/>
    <mergeCell ref="F88:G88"/>
    <mergeCell ref="C89:E89"/>
    <mergeCell ref="F89:G89"/>
    <mergeCell ref="C90:E90"/>
    <mergeCell ref="F90:G90"/>
    <mergeCell ref="C91:E91"/>
    <mergeCell ref="F91:G91"/>
    <mergeCell ref="C92:E92"/>
    <mergeCell ref="F92:G92"/>
    <mergeCell ref="C93:E93"/>
    <mergeCell ref="F93:G93"/>
    <mergeCell ref="C94:E94"/>
    <mergeCell ref="F94:G94"/>
    <mergeCell ref="C95:E95"/>
    <mergeCell ref="F95:G95"/>
    <mergeCell ref="C96:E96"/>
    <mergeCell ref="F96:G96"/>
    <mergeCell ref="C97:E97"/>
    <mergeCell ref="F97:G97"/>
    <mergeCell ref="C98:E98"/>
    <mergeCell ref="F98:G98"/>
    <mergeCell ref="C99:E99"/>
    <mergeCell ref="F99:G99"/>
    <mergeCell ref="C100:E100"/>
    <mergeCell ref="F100:G100"/>
    <mergeCell ref="C101:E101"/>
    <mergeCell ref="F101:G101"/>
    <mergeCell ref="C102:E102"/>
    <mergeCell ref="F102:G102"/>
    <mergeCell ref="C103:E103"/>
    <mergeCell ref="F103:G103"/>
    <mergeCell ref="C104:E104"/>
    <mergeCell ref="F104:G104"/>
    <mergeCell ref="C105:E105"/>
    <mergeCell ref="F105:G105"/>
    <mergeCell ref="C106:E106"/>
    <mergeCell ref="F106:G106"/>
    <mergeCell ref="C107:E107"/>
    <mergeCell ref="F107:G107"/>
    <mergeCell ref="C108:E108"/>
    <mergeCell ref="F108:G108"/>
    <mergeCell ref="C109:E109"/>
    <mergeCell ref="F109:G109"/>
    <mergeCell ref="C110:E110"/>
    <mergeCell ref="F110:G110"/>
    <mergeCell ref="C111:E111"/>
    <mergeCell ref="F111:G111"/>
    <mergeCell ref="C112:E112"/>
    <mergeCell ref="F112:G112"/>
    <mergeCell ref="C113:E113"/>
    <mergeCell ref="F113:G113"/>
    <mergeCell ref="C114:E114"/>
    <mergeCell ref="F114:G114"/>
    <mergeCell ref="C115:E115"/>
    <mergeCell ref="F115:G115"/>
    <mergeCell ref="C116:E116"/>
    <mergeCell ref="F116:G116"/>
    <mergeCell ref="C117:E117"/>
    <mergeCell ref="F117:G117"/>
    <mergeCell ref="C118:E118"/>
    <mergeCell ref="F118:G118"/>
    <mergeCell ref="C119:E119"/>
    <mergeCell ref="F119:G119"/>
    <mergeCell ref="C120:E120"/>
    <mergeCell ref="F120:G120"/>
    <mergeCell ref="C121:E121"/>
    <mergeCell ref="F121:G121"/>
    <mergeCell ref="C122:E122"/>
    <mergeCell ref="F122:G122"/>
    <mergeCell ref="C123:E123"/>
    <mergeCell ref="F123:G123"/>
    <mergeCell ref="C124:E124"/>
    <mergeCell ref="F124:G124"/>
    <mergeCell ref="C125:E125"/>
    <mergeCell ref="F125:G125"/>
    <mergeCell ref="C126:E126"/>
    <mergeCell ref="F126:G126"/>
    <mergeCell ref="C127:E127"/>
    <mergeCell ref="F127:G127"/>
    <mergeCell ref="C128:E128"/>
    <mergeCell ref="F128:G128"/>
    <mergeCell ref="C129:E129"/>
    <mergeCell ref="F129:G129"/>
    <mergeCell ref="C130:E130"/>
    <mergeCell ref="F130:G130"/>
    <mergeCell ref="C131:E131"/>
    <mergeCell ref="F131:G131"/>
    <mergeCell ref="C132:E132"/>
    <mergeCell ref="F132:G132"/>
    <mergeCell ref="C133:E133"/>
    <mergeCell ref="F133:G133"/>
    <mergeCell ref="C134:E134"/>
    <mergeCell ref="F134:G134"/>
    <mergeCell ref="C135:E135"/>
    <mergeCell ref="F135:G135"/>
    <mergeCell ref="C136:E136"/>
    <mergeCell ref="F136:G136"/>
    <mergeCell ref="C137:E137"/>
    <mergeCell ref="F137:G137"/>
    <mergeCell ref="C138:E138"/>
    <mergeCell ref="F138:G138"/>
    <mergeCell ref="C139:E139"/>
    <mergeCell ref="F139:G139"/>
    <mergeCell ref="C140:E140"/>
    <mergeCell ref="F140:G140"/>
    <mergeCell ref="C141:E141"/>
    <mergeCell ref="F141:G141"/>
    <mergeCell ref="C142:E142"/>
    <mergeCell ref="F142:G142"/>
    <mergeCell ref="C143:E143"/>
    <mergeCell ref="F143:G143"/>
    <mergeCell ref="C144:E144"/>
    <mergeCell ref="F144:G144"/>
    <mergeCell ref="C145:E145"/>
    <mergeCell ref="F145:G145"/>
    <mergeCell ref="C146:E146"/>
    <mergeCell ref="F146:G146"/>
    <mergeCell ref="C147:E147"/>
    <mergeCell ref="F147:G147"/>
    <mergeCell ref="C148:E148"/>
    <mergeCell ref="F148:G148"/>
    <mergeCell ref="C149:E149"/>
    <mergeCell ref="F149:G149"/>
    <mergeCell ref="C150:E150"/>
    <mergeCell ref="F150:G150"/>
    <mergeCell ref="C151:E151"/>
    <mergeCell ref="F151:G151"/>
    <mergeCell ref="C152:E152"/>
    <mergeCell ref="F152:G152"/>
    <mergeCell ref="C153:E153"/>
    <mergeCell ref="F153:G153"/>
    <mergeCell ref="C154:E154"/>
    <mergeCell ref="F154:G154"/>
    <mergeCell ref="C155:E155"/>
    <mergeCell ref="F155:G155"/>
    <mergeCell ref="C156:E156"/>
    <mergeCell ref="F156:G156"/>
    <mergeCell ref="C157:E157"/>
    <mergeCell ref="F157:G157"/>
    <mergeCell ref="C158:E158"/>
    <mergeCell ref="F158:G158"/>
    <mergeCell ref="C159:E159"/>
    <mergeCell ref="F159:G159"/>
    <mergeCell ref="C160:E160"/>
    <mergeCell ref="F160:G160"/>
    <mergeCell ref="C161:E161"/>
    <mergeCell ref="F161:G161"/>
    <mergeCell ref="C162:E162"/>
    <mergeCell ref="F162:G162"/>
    <mergeCell ref="C163:E163"/>
    <mergeCell ref="F163:G163"/>
    <mergeCell ref="C164:E164"/>
    <mergeCell ref="F164:G164"/>
    <mergeCell ref="C165:E165"/>
    <mergeCell ref="F165:G165"/>
    <mergeCell ref="C166:E166"/>
    <mergeCell ref="F166:G166"/>
    <mergeCell ref="C167:E167"/>
    <mergeCell ref="F167:G167"/>
    <mergeCell ref="C168:E168"/>
    <mergeCell ref="F168:G168"/>
    <mergeCell ref="C169:E169"/>
    <mergeCell ref="F169:G169"/>
    <mergeCell ref="C170:E170"/>
    <mergeCell ref="F170:G170"/>
    <mergeCell ref="C171:E171"/>
    <mergeCell ref="F171:G171"/>
    <mergeCell ref="C172:E172"/>
    <mergeCell ref="F172:G172"/>
    <mergeCell ref="C173:E173"/>
    <mergeCell ref="F173:G173"/>
    <mergeCell ref="C174:E174"/>
    <mergeCell ref="F174:G174"/>
    <mergeCell ref="C175:E175"/>
    <mergeCell ref="F175:G175"/>
    <mergeCell ref="C176:E176"/>
    <mergeCell ref="F176:G176"/>
    <mergeCell ref="C177:E177"/>
    <mergeCell ref="F177:G177"/>
    <mergeCell ref="C178:E178"/>
    <mergeCell ref="F178:G178"/>
    <mergeCell ref="C179:E179"/>
    <mergeCell ref="F179:G179"/>
    <mergeCell ref="C180:E180"/>
    <mergeCell ref="F180:G180"/>
    <mergeCell ref="C181:E181"/>
    <mergeCell ref="F181:G181"/>
    <mergeCell ref="C182:E182"/>
    <mergeCell ref="F182:G182"/>
    <mergeCell ref="C183:E183"/>
    <mergeCell ref="F183:G183"/>
    <mergeCell ref="C184:E184"/>
    <mergeCell ref="F184:G184"/>
    <mergeCell ref="C185:E185"/>
    <mergeCell ref="F185:G185"/>
    <mergeCell ref="C186:E186"/>
    <mergeCell ref="F186:G186"/>
    <mergeCell ref="C187:E187"/>
    <mergeCell ref="F187:G187"/>
    <mergeCell ref="C188:E188"/>
    <mergeCell ref="F188:G188"/>
    <mergeCell ref="C189:E189"/>
    <mergeCell ref="F189:G189"/>
    <mergeCell ref="C190:E190"/>
    <mergeCell ref="F190:G190"/>
    <mergeCell ref="C191:E191"/>
    <mergeCell ref="F191:G191"/>
    <mergeCell ref="C192:E192"/>
    <mergeCell ref="F192:G192"/>
    <mergeCell ref="C193:E193"/>
    <mergeCell ref="F193:G193"/>
    <mergeCell ref="C194:E194"/>
    <mergeCell ref="F194:G194"/>
    <mergeCell ref="C195:E195"/>
    <mergeCell ref="F195:G195"/>
    <mergeCell ref="C196:E196"/>
    <mergeCell ref="F196:G196"/>
  </mergeCell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tabColor rgb="FFFFFF00"/>
  </sheetPr>
  <dimension ref="B1:V50"/>
  <sheetViews>
    <sheetView topLeftCell="B2" zoomScale="80" zoomScaleNormal="80" workbookViewId="0">
      <selection activeCell="N4" sqref="N4"/>
    </sheetView>
  </sheetViews>
  <sheetFormatPr defaultRowHeight="14.4"/>
  <cols>
    <col min="1" max="1" width="0" hidden="1" customWidth="1"/>
    <col min="3" max="3" width="9.33203125" hidden="1" customWidth="1"/>
    <col min="4" max="4" width="26.5546875" bestFit="1" customWidth="1"/>
    <col min="5" max="5" width="10.88671875" hidden="1" customWidth="1"/>
    <col min="6" max="6" width="20.33203125" bestFit="1" customWidth="1"/>
    <col min="7" max="7" width="12.44140625" bestFit="1" customWidth="1"/>
    <col min="8" max="8" width="18.44140625" bestFit="1" customWidth="1"/>
    <col min="9" max="9" width="14.5546875" hidden="1" customWidth="1"/>
    <col min="10" max="10" width="40.6640625" hidden="1" customWidth="1"/>
    <col min="11" max="11" width="5.88671875" hidden="1" customWidth="1"/>
    <col min="12" max="12" width="7.33203125" hidden="1" customWidth="1"/>
    <col min="13" max="13" width="8.44140625" bestFit="1" customWidth="1"/>
    <col min="14" max="14" width="10.88671875" customWidth="1"/>
    <col min="18" max="18" width="32.109375" bestFit="1" customWidth="1"/>
    <col min="19" max="19" width="9.109375" hidden="1" customWidth="1"/>
    <col min="20" max="20" width="16" hidden="1" customWidth="1"/>
    <col min="21" max="21" width="13.5546875" bestFit="1" customWidth="1"/>
    <col min="22" max="22" width="11" bestFit="1" customWidth="1"/>
  </cols>
  <sheetData>
    <row r="1" spans="2:22" ht="15" hidden="1" thickBot="1">
      <c r="P1" t="s">
        <v>174</v>
      </c>
      <c r="Q1" t="s">
        <v>175</v>
      </c>
    </row>
    <row r="2" spans="2:22" ht="52.5" customHeight="1" thickBot="1">
      <c r="B2" s="313"/>
      <c r="C2" s="313"/>
      <c r="D2" s="313"/>
      <c r="E2" s="313"/>
      <c r="F2" s="313"/>
      <c r="G2" s="313"/>
      <c r="H2" s="313"/>
      <c r="I2" s="313"/>
      <c r="J2" s="313"/>
      <c r="K2" s="313"/>
      <c r="L2" s="313"/>
      <c r="M2" s="313"/>
      <c r="N2" s="314"/>
    </row>
    <row r="3" spans="2:22" ht="27.6" thickBot="1">
      <c r="B3" s="130" t="s">
        <v>0</v>
      </c>
      <c r="C3" s="130" t="s">
        <v>173</v>
      </c>
      <c r="D3" s="130" t="s">
        <v>162</v>
      </c>
      <c r="E3" s="130" t="s">
        <v>163</v>
      </c>
      <c r="F3" s="130" t="s">
        <v>164</v>
      </c>
      <c r="G3" s="130" t="s">
        <v>132</v>
      </c>
      <c r="H3" s="130" t="s">
        <v>165</v>
      </c>
      <c r="I3" s="130" t="s">
        <v>166</v>
      </c>
      <c r="J3" s="130" t="s">
        <v>167</v>
      </c>
      <c r="K3" s="130" t="s">
        <v>168</v>
      </c>
      <c r="L3" s="130" t="s">
        <v>169</v>
      </c>
      <c r="M3" s="130" t="s">
        <v>172</v>
      </c>
      <c r="N3" s="97" t="s">
        <v>133</v>
      </c>
      <c r="R3" s="104" t="s">
        <v>134</v>
      </c>
      <c r="S3" s="105"/>
      <c r="T3" s="105"/>
      <c r="U3" s="104" t="s">
        <v>132</v>
      </c>
      <c r="V3" s="104" t="s">
        <v>135</v>
      </c>
    </row>
    <row r="4" spans="2:22" ht="27" thickBot="1">
      <c r="B4" s="114">
        <v>1</v>
      </c>
      <c r="C4" s="115" t="s">
        <v>176</v>
      </c>
      <c r="D4" s="115" t="s">
        <v>177</v>
      </c>
      <c r="E4" s="115" t="s">
        <v>178</v>
      </c>
      <c r="F4" s="150">
        <v>501212000000</v>
      </c>
      <c r="G4" s="117">
        <v>325491</v>
      </c>
      <c r="H4" s="118">
        <v>2230</v>
      </c>
      <c r="I4" s="116"/>
      <c r="J4" s="115"/>
      <c r="K4" s="114"/>
      <c r="L4" s="119"/>
      <c r="M4" s="114"/>
      <c r="N4" s="98" t="s">
        <v>175</v>
      </c>
      <c r="R4" s="106" t="str">
        <f t="array" ref="R4">IFERROR(INDEX(D$2:D$100, SMALL(IF($N$2:$N$100="YES", ROW($N$2:$N$100)-MIN(ROW($N$2:$N$100))+1), ROW(1:1))), " ")</f>
        <v xml:space="preserve"> </v>
      </c>
      <c r="S4" s="106" t="str">
        <f t="array" ref="S4">IFERROR(INDEX(E$2:E$100, SMALL(IF($N$2:$N$100="YES", ROW($N$2:$N$100)-MIN(ROW($N$2:$N$100))+1), ROW(1:1))), " ")</f>
        <v xml:space="preserve"> </v>
      </c>
      <c r="T4" s="106" t="str">
        <f t="array" ref="T4">IFERROR(INDEX(F$2:F$100, SMALL(IF($N$2:$N$100="YES", ROW($N$2:$N$100)-MIN(ROW($N$2:$N$100))+1), ROW(1:1))), " ")</f>
        <v xml:space="preserve"> </v>
      </c>
      <c r="U4" s="106" t="str">
        <f t="array" ref="U4">IFERROR(INDEX(G$2:G$100, SMALL(IF($N$2:$N$100="YES", ROW($N$2:$N$100)-MIN(ROW($N$2:$N$100))+1), ROW(1:1))), " ")</f>
        <v xml:space="preserve"> </v>
      </c>
      <c r="V4" s="106" t="str">
        <f t="array" ref="V4">IFERROR(INDEX(H$2:H$100, SMALL(IF($N$2:$N$100="YES", ROW($N$2:$N$100)-MIN(ROW($N$2:$N$100))+1), ROW(1:1))), " ")</f>
        <v xml:space="preserve"> </v>
      </c>
    </row>
    <row r="5" spans="2:22" ht="27" thickBot="1">
      <c r="B5" s="114">
        <v>2</v>
      </c>
      <c r="C5" s="115" t="s">
        <v>179</v>
      </c>
      <c r="D5" s="115" t="s">
        <v>180</v>
      </c>
      <c r="E5" s="115" t="s">
        <v>147</v>
      </c>
      <c r="F5" s="116" t="s">
        <v>181</v>
      </c>
      <c r="G5" s="117">
        <v>222785</v>
      </c>
      <c r="H5" s="118">
        <v>2227.85</v>
      </c>
      <c r="I5" s="116"/>
      <c r="J5" s="115"/>
      <c r="K5" s="114"/>
      <c r="L5" s="114"/>
      <c r="M5" s="114"/>
      <c r="N5" s="98" t="s">
        <v>175</v>
      </c>
      <c r="R5" s="106" t="str">
        <f t="array" ref="R5">IFERROR(INDEX(D$2:D$100, SMALL(IF($N$2:$N$100="YES", ROW($N$2:$N$100)-MIN(ROW($N$2:$N$100))+1), ROW(2:2))), " ")</f>
        <v xml:space="preserve"> </v>
      </c>
      <c r="S5" s="106" t="str">
        <f t="array" ref="S5">IFERROR(INDEX(E$2:E$100, SMALL(IF($N$2:$N$100="YES", ROW($N$2:$N$100)-MIN(ROW($N$2:$N$100))+1), ROW(2:2))), " ")</f>
        <v xml:space="preserve"> </v>
      </c>
      <c r="T5" s="106" t="str">
        <f t="array" ref="T5">IFERROR(INDEX(F$2:F$100, SMALL(IF($N$2:$N$100="YES", ROW($N$2:$N$100)-MIN(ROW($N$2:$N$100))+1), ROW(2:2))), " ")</f>
        <v xml:space="preserve"> </v>
      </c>
      <c r="U5" s="106" t="str">
        <f t="array" ref="U5">IFERROR(INDEX(G$2:G$100, SMALL(IF($N$2:$N$100="YES", ROW($N$2:$N$100)-MIN(ROW($N$2:$N$100))+1), ROW(2:2))), " ")</f>
        <v xml:space="preserve"> </v>
      </c>
      <c r="V5" s="106" t="str">
        <f t="array" ref="V5">IFERROR(INDEX(H$2:H$100, SMALL(IF($N$2:$N$100="YES", ROW($N$2:$N$100)-MIN(ROW($N$2:$N$100))+1), ROW(2:2))), " ")</f>
        <v xml:space="preserve"> </v>
      </c>
    </row>
    <row r="6" spans="2:22" ht="27" thickBot="1">
      <c r="B6" s="114">
        <v>3</v>
      </c>
      <c r="C6" s="115" t="s">
        <v>176</v>
      </c>
      <c r="D6" s="115" t="s">
        <v>182</v>
      </c>
      <c r="E6" s="115" t="s">
        <v>147</v>
      </c>
      <c r="F6" s="150">
        <v>20240600000000</v>
      </c>
      <c r="G6" s="117">
        <v>134045</v>
      </c>
      <c r="H6" s="118">
        <v>2309</v>
      </c>
      <c r="I6" s="116"/>
      <c r="J6" s="115"/>
      <c r="K6" s="114"/>
      <c r="L6" s="114"/>
      <c r="M6" s="114"/>
      <c r="N6" s="98" t="s">
        <v>175</v>
      </c>
      <c r="R6" s="106" t="str">
        <f t="array" ref="R6">IFERROR(INDEX(D$2:D$100, SMALL(IF($N$2:$N$100="YES", ROW($N$2:$N$100)-MIN(ROW($N$2:$N$100))+1), ROW(3:3))), " ")</f>
        <v xml:space="preserve"> </v>
      </c>
      <c r="S6" s="106" t="str">
        <f t="array" ref="S6">IFERROR(INDEX(E$2:E$100, SMALL(IF($N$2:$N$100="YES", ROW($N$2:$N$100)-MIN(ROW($N$2:$N$100))+1), ROW(3:3))), " ")</f>
        <v xml:space="preserve"> </v>
      </c>
      <c r="T6" s="106" t="str">
        <f t="array" ref="T6">IFERROR(INDEX(F$2:F$100, SMALL(IF($N$2:$N$100="YES", ROW($N$2:$N$100)-MIN(ROW($N$2:$N$100))+1), ROW(3:3))), " ")</f>
        <v xml:space="preserve"> </v>
      </c>
      <c r="U6" s="106" t="str">
        <f t="array" ref="U6">IFERROR(INDEX(G$2:G$100, SMALL(IF($N$2:$N$100="YES", ROW($N$2:$N$100)-MIN(ROW($N$2:$N$100))+1), ROW(3:3))), " ")</f>
        <v xml:space="preserve"> </v>
      </c>
      <c r="V6" s="106" t="str">
        <f t="array" ref="V6">IFERROR(INDEX(H$2:H$100, SMALL(IF($N$2:$N$100="YES", ROW($N$2:$N$100)-MIN(ROW($N$2:$N$100))+1), ROW(3:3))), " ")</f>
        <v xml:space="preserve"> </v>
      </c>
    </row>
    <row r="7" spans="2:22" ht="27" thickBot="1">
      <c r="B7" s="114">
        <v>4</v>
      </c>
      <c r="C7" s="115" t="s">
        <v>176</v>
      </c>
      <c r="D7" s="115" t="s">
        <v>183</v>
      </c>
      <c r="E7" s="115" t="s">
        <v>147</v>
      </c>
      <c r="F7" s="116">
        <v>480317200</v>
      </c>
      <c r="G7" s="117">
        <v>23691</v>
      </c>
      <c r="H7" s="118">
        <v>551</v>
      </c>
      <c r="I7" s="116"/>
      <c r="J7" s="115"/>
      <c r="K7" s="114"/>
      <c r="L7" s="114"/>
      <c r="M7" s="114"/>
      <c r="N7" s="98" t="s">
        <v>175</v>
      </c>
      <c r="R7" s="106" t="str">
        <f t="array" ref="R7">IFERROR(INDEX(D$2:D$100, SMALL(IF($N$2:$N$100="YES", ROW($N$2:$N$100)-MIN(ROW($N$2:$N$100))+1), ROW(4:4))), " ")</f>
        <v xml:space="preserve"> </v>
      </c>
      <c r="S7" s="106" t="str">
        <f t="array" ref="S7">IFERROR(INDEX(E$2:E$100, SMALL(IF($N$2:$N$100="YES", ROW($N$2:$N$100)-MIN(ROW($N$2:$N$100))+1), ROW(4:4))), " ")</f>
        <v xml:space="preserve"> </v>
      </c>
      <c r="T7" s="106" t="str">
        <f t="array" ref="T7">IFERROR(INDEX(F$2:F$100, SMALL(IF($N$2:$N$100="YES", ROW($N$2:$N$100)-MIN(ROW($N$2:$N$100))+1), ROW(4:4))), " ")</f>
        <v xml:space="preserve"> </v>
      </c>
      <c r="U7" s="106" t="str">
        <f t="array" ref="U7">IFERROR(INDEX(G$2:G$100, SMALL(IF($N$2:$N$100="YES", ROW($N$2:$N$100)-MIN(ROW($N$2:$N$100))+1), ROW(4:4))), " ")</f>
        <v xml:space="preserve"> </v>
      </c>
      <c r="V7" s="106" t="str">
        <f t="array" ref="V7">IFERROR(INDEX(H$2:H$100, SMALL(IF($N$2:$N$100="YES", ROW($N$2:$N$100)-MIN(ROW($N$2:$N$100))+1), ROW(4:4))), " ")</f>
        <v xml:space="preserve"> </v>
      </c>
    </row>
    <row r="8" spans="2:22" ht="27" thickBot="1">
      <c r="B8" s="114">
        <v>5</v>
      </c>
      <c r="C8" s="115" t="s">
        <v>176</v>
      </c>
      <c r="D8" s="115" t="s">
        <v>184</v>
      </c>
      <c r="E8" s="115" t="s">
        <v>148</v>
      </c>
      <c r="F8" s="150">
        <v>601101000000</v>
      </c>
      <c r="G8" s="117">
        <v>19758</v>
      </c>
      <c r="H8" s="118">
        <v>790</v>
      </c>
      <c r="I8" s="116"/>
      <c r="J8" s="115"/>
      <c r="K8" s="114"/>
      <c r="L8" s="119"/>
      <c r="M8" s="114"/>
      <c r="N8" s="98" t="s">
        <v>175</v>
      </c>
      <c r="R8" s="106" t="str">
        <f t="array" ref="R8">IFERROR(INDEX(D$2:D$100, SMALL(IF($N$2:$N$100="YES", ROW($N$2:$N$100)-MIN(ROW($N$2:$N$100))+1), ROW(5:5))), " ")</f>
        <v xml:space="preserve"> </v>
      </c>
      <c r="S8" s="106" t="str">
        <f t="array" ref="S8">IFERROR(INDEX(E$2:E$100, SMALL(IF($N$2:$N$100="YES", ROW($N$2:$N$100)-MIN(ROW($N$2:$N$100))+1), ROW(5:5))), " ")</f>
        <v xml:space="preserve"> </v>
      </c>
      <c r="T8" s="106" t="str">
        <f t="array" ref="T8">IFERROR(INDEX(F$2:F$100, SMALL(IF($N$2:$N$100="YES", ROW($N$2:$N$100)-MIN(ROW($N$2:$N$100))+1), ROW(5:5))), " ")</f>
        <v xml:space="preserve"> </v>
      </c>
      <c r="U8" s="106" t="str">
        <f t="array" ref="U8">IFERROR(INDEX(G$2:G$100, SMALL(IF($N$2:$N$100="YES", ROW($N$2:$N$100)-MIN(ROW($N$2:$N$100))+1), ROW(5:5))), " ")</f>
        <v xml:space="preserve"> </v>
      </c>
      <c r="V8" s="106" t="str">
        <f t="array" ref="V8">IFERROR(INDEX(H$2:H$100, SMALL(IF($N$2:$N$100="YES", ROW($N$2:$N$100)-MIN(ROW($N$2:$N$100))+1), ROW(5:5))), " ")</f>
        <v xml:space="preserve"> </v>
      </c>
    </row>
    <row r="9" spans="2:22" ht="27" thickBot="1">
      <c r="B9" s="114">
        <v>6</v>
      </c>
      <c r="C9" s="115" t="s">
        <v>179</v>
      </c>
      <c r="D9" s="115" t="s">
        <v>185</v>
      </c>
      <c r="E9" s="115" t="s">
        <v>161</v>
      </c>
      <c r="F9" s="116">
        <v>112821517</v>
      </c>
      <c r="G9" s="117">
        <v>15885</v>
      </c>
      <c r="H9" s="118">
        <v>0</v>
      </c>
      <c r="I9" s="116"/>
      <c r="J9" s="115"/>
      <c r="K9" s="114"/>
      <c r="L9" s="114"/>
      <c r="M9" s="114"/>
      <c r="N9" s="98" t="s">
        <v>175</v>
      </c>
      <c r="R9" s="106" t="str">
        <f t="array" ref="R9">IFERROR(INDEX(D$2:D$100, SMALL(IF($N$2:$N$100="YES", ROW($N$2:$N$100)-MIN(ROW($N$2:$N$100))+1), ROW(6:6))), " ")</f>
        <v xml:space="preserve"> </v>
      </c>
      <c r="S9" s="106" t="str">
        <f t="array" ref="S9">IFERROR(INDEX(E$2:E$100, SMALL(IF($N$2:$N$100="YES", ROW($N$2:$N$100)-MIN(ROW($N$2:$N$100))+1), ROW(6:6))), " ")</f>
        <v xml:space="preserve"> </v>
      </c>
      <c r="T9" s="106" t="str">
        <f t="array" ref="T9">IFERROR(INDEX(F$2:F$100, SMALL(IF($N$2:$N$100="YES", ROW($N$2:$N$100)-MIN(ROW($N$2:$N$100))+1), ROW(6:6))), " ")</f>
        <v xml:space="preserve"> </v>
      </c>
      <c r="U9" s="106" t="str">
        <f t="array" ref="U9">IFERROR(INDEX(G$2:G$100, SMALL(IF($N$2:$N$100="YES", ROW($N$2:$N$100)-MIN(ROW($N$2:$N$100))+1), ROW(6:6))), " ")</f>
        <v xml:space="preserve"> </v>
      </c>
      <c r="V9" s="106" t="str">
        <f t="array" ref="V9">IFERROR(INDEX(H$2:H$100, SMALL(IF($N$2:$N$100="YES", ROW($N$2:$N$100)-MIN(ROW($N$2:$N$100))+1), ROW(6:6))), " ")</f>
        <v xml:space="preserve"> </v>
      </c>
    </row>
    <row r="10" spans="2:22" ht="27" thickBot="1">
      <c r="B10" s="114">
        <v>7</v>
      </c>
      <c r="C10" s="115" t="s">
        <v>176</v>
      </c>
      <c r="D10" s="115" t="s">
        <v>186</v>
      </c>
      <c r="E10" s="115" t="s">
        <v>161</v>
      </c>
      <c r="F10" s="150">
        <v>3534180000000000</v>
      </c>
      <c r="G10" s="117">
        <v>15018</v>
      </c>
      <c r="H10" s="118">
        <v>0</v>
      </c>
      <c r="I10" s="116"/>
      <c r="J10" s="115"/>
      <c r="K10" s="114"/>
      <c r="L10" s="114"/>
      <c r="M10" s="114"/>
      <c r="N10" s="98" t="s">
        <v>175</v>
      </c>
      <c r="R10" s="106" t="str">
        <f t="array" ref="R10">IFERROR(INDEX(D$2:D$100, SMALL(IF($N$2:$N$100="YES", ROW($N$2:$N$100)-MIN(ROW($N$2:$N$100))+1), ROW(7:7))), " ")</f>
        <v xml:space="preserve"> </v>
      </c>
      <c r="S10" s="106" t="str">
        <f t="array" ref="S10">IFERROR(INDEX(E$2:E$100, SMALL(IF($N$2:$N$100="YES", ROW($N$2:$N$100)-MIN(ROW($N$2:$N$100))+1), ROW(7:7))), " ")</f>
        <v xml:space="preserve"> </v>
      </c>
      <c r="T10" s="106" t="str">
        <f t="array" ref="T10">IFERROR(INDEX(F$2:F$100, SMALL(IF($N$2:$N$100="YES", ROW($N$2:$N$100)-MIN(ROW($N$2:$N$100))+1), ROW(7:7))), " ")</f>
        <v xml:space="preserve"> </v>
      </c>
      <c r="U10" s="106" t="str">
        <f t="array" ref="U10">IFERROR(INDEX(G$2:G$100, SMALL(IF($N$2:$N$100="YES", ROW($N$2:$N$100)-MIN(ROW($N$2:$N$100))+1), ROW(7:7))), " ")</f>
        <v xml:space="preserve"> </v>
      </c>
      <c r="V10" s="106" t="str">
        <f t="array" ref="V10">IFERROR(INDEX(H$2:H$100, SMALL(IF($N$2:$N$100="YES", ROW($N$2:$N$100)-MIN(ROW($N$2:$N$100))+1), ROW(7:7))), " ")</f>
        <v xml:space="preserve"> </v>
      </c>
    </row>
    <row r="11" spans="2:22" ht="27" thickBot="1">
      <c r="B11" s="114">
        <v>8</v>
      </c>
      <c r="C11" s="115" t="s">
        <v>176</v>
      </c>
      <c r="D11" s="115" t="s">
        <v>170</v>
      </c>
      <c r="E11" s="115" t="s">
        <v>148</v>
      </c>
      <c r="F11" s="150">
        <v>426684000000</v>
      </c>
      <c r="G11" s="117">
        <v>11451</v>
      </c>
      <c r="H11" s="118">
        <v>420</v>
      </c>
      <c r="I11" s="116"/>
      <c r="J11" s="115"/>
      <c r="K11" s="114"/>
      <c r="L11" s="119"/>
      <c r="M11" s="114"/>
      <c r="N11" s="98" t="s">
        <v>175</v>
      </c>
      <c r="R11" s="106" t="str">
        <f t="array" ref="R11">IFERROR(INDEX(D$2:D$100, SMALL(IF($N$2:$N$100="YES", ROW($N$2:$N$100)-MIN(ROW($N$2:$N$100))+1), ROW(8:8))), " ")</f>
        <v xml:space="preserve"> </v>
      </c>
      <c r="S11" s="106" t="str">
        <f t="array" ref="S11">IFERROR(INDEX(E$2:E$100, SMALL(IF($N$2:$N$100="YES", ROW($N$2:$N$100)-MIN(ROW($N$2:$N$100))+1), ROW(8:8))), " ")</f>
        <v xml:space="preserve"> </v>
      </c>
      <c r="T11" s="106" t="str">
        <f t="array" ref="T11">IFERROR(INDEX(F$2:F$100, SMALL(IF($N$2:$N$100="YES", ROW($N$2:$N$100)-MIN(ROW($N$2:$N$100))+1), ROW(8:8))), " ")</f>
        <v xml:space="preserve"> </v>
      </c>
      <c r="U11" s="106" t="str">
        <f t="array" ref="U11">IFERROR(INDEX(G$2:G$100, SMALL(IF($N$2:$N$100="YES", ROW($N$2:$N$100)-MIN(ROW($N$2:$N$100))+1), ROW(8:8))), " ")</f>
        <v xml:space="preserve"> </v>
      </c>
      <c r="V11" s="106" t="str">
        <f t="array" ref="V11">IFERROR(INDEX(H$2:H$100, SMALL(IF($N$2:$N$100="YES", ROW($N$2:$N$100)-MIN(ROW($N$2:$N$100))+1), ROW(8:8))), " ")</f>
        <v xml:space="preserve"> </v>
      </c>
    </row>
    <row r="12" spans="2:22" ht="27" thickBot="1">
      <c r="B12" s="114">
        <v>9</v>
      </c>
      <c r="C12" s="115" t="s">
        <v>176</v>
      </c>
      <c r="D12" s="115" t="s">
        <v>187</v>
      </c>
      <c r="E12" s="115" t="s">
        <v>147</v>
      </c>
      <c r="F12" s="150">
        <v>20210500000000</v>
      </c>
      <c r="G12" s="117">
        <v>10675</v>
      </c>
      <c r="H12" s="118">
        <v>354</v>
      </c>
      <c r="I12" s="116"/>
      <c r="J12" s="115"/>
      <c r="K12" s="114"/>
      <c r="L12" s="114"/>
      <c r="M12" s="114"/>
      <c r="N12" s="98" t="s">
        <v>175</v>
      </c>
      <c r="R12" s="106" t="str">
        <f t="array" ref="R12">IFERROR(INDEX(D$2:D$100, SMALL(IF($N$2:$N$100="YES", ROW($N$2:$N$100)-MIN(ROW($N$2:$N$100))+1), ROW(9:9))), " ")</f>
        <v xml:space="preserve"> </v>
      </c>
      <c r="S12" s="106" t="str">
        <f t="array" ref="S12">IFERROR(INDEX(E$2:E$100, SMALL(IF($N$2:$N$100="YES", ROW($N$2:$N$100)-MIN(ROW($N$2:$N$100))+1), ROW(9:9))), " ")</f>
        <v xml:space="preserve"> </v>
      </c>
      <c r="T12" s="106" t="str">
        <f t="array" ref="T12">IFERROR(INDEX(F$2:F$100, SMALL(IF($N$2:$N$100="YES", ROW($N$2:$N$100)-MIN(ROW($N$2:$N$100))+1), ROW(9:9))), " ")</f>
        <v xml:space="preserve"> </v>
      </c>
      <c r="U12" s="106" t="str">
        <f t="array" ref="U12">IFERROR(INDEX(G$2:G$100, SMALL(IF($N$2:$N$100="YES", ROW($N$2:$N$100)-MIN(ROW($N$2:$N$100))+1), ROW(9:9))), " ")</f>
        <v xml:space="preserve"> </v>
      </c>
      <c r="V12" s="106" t="str">
        <f t="array" ref="V12">IFERROR(INDEX(H$2:H$100, SMALL(IF($N$2:$N$100="YES", ROW($N$2:$N$100)-MIN(ROW($N$2:$N$100))+1), ROW(9:9))), " ")</f>
        <v xml:space="preserve"> </v>
      </c>
    </row>
    <row r="13" spans="2:22" ht="27" thickBot="1">
      <c r="B13" s="114">
        <v>10</v>
      </c>
      <c r="C13" s="115" t="s">
        <v>179</v>
      </c>
      <c r="D13" s="115" t="s">
        <v>184</v>
      </c>
      <c r="E13" s="115" t="s">
        <v>148</v>
      </c>
      <c r="F13" s="150">
        <v>601100000000</v>
      </c>
      <c r="G13" s="117">
        <v>7006</v>
      </c>
      <c r="H13" s="118">
        <v>280</v>
      </c>
      <c r="I13" s="116"/>
      <c r="J13" s="115"/>
      <c r="K13" s="114"/>
      <c r="L13" s="119"/>
      <c r="M13" s="114"/>
      <c r="N13" s="98" t="s">
        <v>175</v>
      </c>
      <c r="R13" s="106" t="str">
        <f t="array" ref="R13">IFERROR(INDEX(D$2:D$100, SMALL(IF($N$2:$N$100="YES", ROW($N$2:$N$100)-MIN(ROW($N$2:$N$100))+1), ROW(10:10))), " ")</f>
        <v xml:space="preserve"> </v>
      </c>
      <c r="S13" s="106" t="str">
        <f t="array" ref="S13">IFERROR(INDEX(E$2:E$100, SMALL(IF($N$2:$N$100="YES", ROW($N$2:$N$100)-MIN(ROW($N$2:$N$100))+1), ROW(10:10))), " ")</f>
        <v xml:space="preserve"> </v>
      </c>
      <c r="T13" s="106" t="str">
        <f t="array" ref="T13">IFERROR(INDEX(F$2:F$100, SMALL(IF($N$2:$N$100="YES", ROW($N$2:$N$100)-MIN(ROW($N$2:$N$100))+1), ROW(10:10))), " ")</f>
        <v xml:space="preserve"> </v>
      </c>
      <c r="U13" s="106" t="str">
        <f t="array" ref="U13">IFERROR(INDEX(G$2:G$100, SMALL(IF($N$2:$N$100="YES", ROW($N$2:$N$100)-MIN(ROW($N$2:$N$100))+1), ROW(10:10))), " ")</f>
        <v xml:space="preserve"> </v>
      </c>
      <c r="V13" s="106" t="str">
        <f t="array" ref="V13">IFERROR(INDEX(H$2:H$100, SMALL(IF($N$2:$N$100="YES", ROW($N$2:$N$100)-MIN(ROW($N$2:$N$100))+1), ROW(10:10))), " ")</f>
        <v xml:space="preserve"> </v>
      </c>
    </row>
    <row r="14" spans="2:22" ht="27" thickBot="1">
      <c r="B14" s="114">
        <v>11</v>
      </c>
      <c r="C14" s="115" t="s">
        <v>179</v>
      </c>
      <c r="D14" s="115" t="s">
        <v>188</v>
      </c>
      <c r="E14" s="115" t="s">
        <v>147</v>
      </c>
      <c r="F14" s="116">
        <v>1118</v>
      </c>
      <c r="G14" s="117">
        <v>6589</v>
      </c>
      <c r="H14" s="118">
        <v>0</v>
      </c>
      <c r="I14" s="116"/>
      <c r="J14" s="115"/>
      <c r="K14" s="114"/>
      <c r="L14" s="114"/>
      <c r="M14" s="114"/>
      <c r="N14" s="98" t="s">
        <v>175</v>
      </c>
      <c r="R14" s="106" t="str">
        <f t="array" ref="R14">IFERROR(INDEX(D$2:D$100, SMALL(IF($N$2:$N$100="YES", ROW($N$2:$N$100)-MIN(ROW($N$2:$N$100))+1), ROW(11:11))), " ")</f>
        <v xml:space="preserve"> </v>
      </c>
      <c r="S14" s="106" t="str">
        <f t="array" ref="S14">IFERROR(INDEX(E$2:E$100, SMALL(IF($N$2:$N$100="YES", ROW($N$2:$N$100)-MIN(ROW($N$2:$N$100))+1), ROW(11:11))), " ")</f>
        <v xml:space="preserve"> </v>
      </c>
      <c r="T14" s="106" t="str">
        <f t="array" ref="T14">IFERROR(INDEX(F$2:F$100, SMALL(IF($N$2:$N$100="YES", ROW($N$2:$N$100)-MIN(ROW($N$2:$N$100))+1), ROW(11:11))), " ")</f>
        <v xml:space="preserve"> </v>
      </c>
      <c r="U14" s="106" t="str">
        <f t="array" ref="U14">IFERROR(INDEX(G$2:G$100, SMALL(IF($N$2:$N$100="YES", ROW($N$2:$N$100)-MIN(ROW($N$2:$N$100))+1), ROW(11:11))), " ")</f>
        <v xml:space="preserve"> </v>
      </c>
      <c r="V14" s="106" t="str">
        <f t="array" ref="V14">IFERROR(INDEX(H$2:H$100, SMALL(IF($N$2:$N$100="YES", ROW($N$2:$N$100)-MIN(ROW($N$2:$N$100))+1), ROW(11:11))), " ")</f>
        <v xml:space="preserve"> </v>
      </c>
    </row>
    <row r="15" spans="2:22" ht="27" thickBot="1">
      <c r="B15" s="114">
        <v>12</v>
      </c>
      <c r="C15" s="115" t="s">
        <v>176</v>
      </c>
      <c r="D15" s="115" t="s">
        <v>171</v>
      </c>
      <c r="E15" s="115" t="s">
        <v>148</v>
      </c>
      <c r="F15" s="150">
        <v>4147180000000000</v>
      </c>
      <c r="G15" s="117">
        <v>6079</v>
      </c>
      <c r="H15" s="118">
        <v>214</v>
      </c>
      <c r="I15" s="116"/>
      <c r="J15" s="115"/>
      <c r="K15" s="114"/>
      <c r="L15" s="119"/>
      <c r="M15" s="114"/>
      <c r="N15" s="98" t="s">
        <v>175</v>
      </c>
      <c r="R15" s="106" t="str">
        <f t="array" ref="R15">IFERROR(INDEX(D$2:D$100, SMALL(IF($N$2:$N$100="YES", ROW($N$2:$N$100)-MIN(ROW($N$2:$N$100))+1), ROW(12:12))), " ")</f>
        <v xml:space="preserve"> </v>
      </c>
      <c r="S15" s="106" t="str">
        <f t="array" ref="S15">IFERROR(INDEX(E$2:E$100, SMALL(IF($N$2:$N$100="YES", ROW($N$2:$N$100)-MIN(ROW($N$2:$N$100))+1), ROW(12:12))), " ")</f>
        <v xml:space="preserve"> </v>
      </c>
      <c r="T15" s="106" t="str">
        <f t="array" ref="T15">IFERROR(INDEX(F$2:F$100, SMALL(IF($N$2:$N$100="YES", ROW($N$2:$N$100)-MIN(ROW($N$2:$N$100))+1), ROW(12:12))), " ")</f>
        <v xml:space="preserve"> </v>
      </c>
      <c r="U15" s="106" t="str">
        <f t="array" ref="U15">IFERROR(INDEX(G$2:G$100, SMALL(IF($N$2:$N$100="YES", ROW($N$2:$N$100)-MIN(ROW($N$2:$N$100))+1), ROW(12:12))), " ")</f>
        <v xml:space="preserve"> </v>
      </c>
      <c r="V15" s="106" t="str">
        <f t="array" ref="V15">IFERROR(INDEX(H$2:H$100, SMALL(IF($N$2:$N$100="YES", ROW($N$2:$N$100)-MIN(ROW($N$2:$N$100))+1), ROW(12:12))), " ")</f>
        <v xml:space="preserve"> </v>
      </c>
    </row>
    <row r="16" spans="2:22" ht="27" thickBot="1">
      <c r="B16" s="114">
        <v>13</v>
      </c>
      <c r="C16" s="115" t="s">
        <v>176</v>
      </c>
      <c r="D16" s="115" t="s">
        <v>189</v>
      </c>
      <c r="E16" s="115" t="s">
        <v>147</v>
      </c>
      <c r="F16" s="116">
        <v>20502018251</v>
      </c>
      <c r="G16" s="117">
        <v>4687</v>
      </c>
      <c r="H16" s="118">
        <v>456</v>
      </c>
      <c r="I16" s="116"/>
      <c r="J16" s="115"/>
      <c r="K16" s="114"/>
      <c r="L16" s="119"/>
      <c r="M16" s="114"/>
      <c r="N16" s="98" t="s">
        <v>175</v>
      </c>
      <c r="R16" s="106" t="str">
        <f t="array" ref="R16">IFERROR(INDEX(D$2:D$100, SMALL(IF($N$2:$N$100="YES", ROW($N$2:$N$100)-MIN(ROW($N$2:$N$100))+1), ROW(13:13))), " ")</f>
        <v xml:space="preserve"> </v>
      </c>
      <c r="S16" s="106" t="str">
        <f t="array" ref="S16">IFERROR(INDEX(E$2:E$100, SMALL(IF($N$2:$N$100="YES", ROW($N$2:$N$100)-MIN(ROW($N$2:$N$100))+1), ROW(13:13))), " ")</f>
        <v xml:space="preserve"> </v>
      </c>
      <c r="T16" s="106" t="str">
        <f t="array" ref="T16">IFERROR(INDEX(F$2:F$100, SMALL(IF($N$2:$N$100="YES", ROW($N$2:$N$100)-MIN(ROW($N$2:$N$100))+1), ROW(13:13))), " ")</f>
        <v xml:space="preserve"> </v>
      </c>
      <c r="U16" s="106" t="str">
        <f t="array" ref="U16">IFERROR(INDEX(G$2:G$100, SMALL(IF($N$2:$N$100="YES", ROW($N$2:$N$100)-MIN(ROW($N$2:$N$100))+1), ROW(13:13))), " ")</f>
        <v xml:space="preserve"> </v>
      </c>
      <c r="V16" s="106" t="str">
        <f t="array" ref="V16">IFERROR(INDEX(H$2:H$100, SMALL(IF($N$2:$N$100="YES", ROW($N$2:$N$100)-MIN(ROW($N$2:$N$100))+1), ROW(13:13))), " ")</f>
        <v xml:space="preserve"> </v>
      </c>
    </row>
    <row r="17" spans="2:22" ht="27" thickBot="1">
      <c r="B17" s="114">
        <v>14</v>
      </c>
      <c r="C17" s="115" t="s">
        <v>179</v>
      </c>
      <c r="D17" s="115" t="s">
        <v>190</v>
      </c>
      <c r="E17" s="115" t="s">
        <v>148</v>
      </c>
      <c r="F17" s="150">
        <v>604599000000</v>
      </c>
      <c r="G17" s="117">
        <v>4685</v>
      </c>
      <c r="H17" s="118">
        <v>187</v>
      </c>
      <c r="I17" s="116"/>
      <c r="J17" s="115"/>
      <c r="K17" s="114"/>
      <c r="L17" s="119"/>
      <c r="M17" s="114"/>
      <c r="N17" s="98" t="s">
        <v>175</v>
      </c>
      <c r="R17" s="106" t="str">
        <f t="array" ref="R17">IFERROR(INDEX(D$2:D$100, SMALL(IF($N$2:$N$100="YES", ROW($N$2:$N$100)-MIN(ROW($N$2:$N$100))+1), ROW(14:14))), " ")</f>
        <v xml:space="preserve"> </v>
      </c>
      <c r="S17" s="106" t="str">
        <f t="array" ref="S17">IFERROR(INDEX(E$2:E$100, SMALL(IF($N$2:$N$100="YES", ROW($N$2:$N$100)-MIN(ROW($N$2:$N$100))+1), ROW(14:14))), " ")</f>
        <v xml:space="preserve"> </v>
      </c>
      <c r="T17" s="106" t="str">
        <f t="array" ref="T17">IFERROR(INDEX(F$2:F$100, SMALL(IF($N$2:$N$100="YES", ROW($N$2:$N$100)-MIN(ROW($N$2:$N$100))+1), ROW(14:14))), " ")</f>
        <v xml:space="preserve"> </v>
      </c>
      <c r="U17" s="106" t="str">
        <f t="array" ref="U17">IFERROR(INDEX(G$2:G$100, SMALL(IF($N$2:$N$100="YES", ROW($N$2:$N$100)-MIN(ROW($N$2:$N$100))+1), ROW(14:14))), " ")</f>
        <v xml:space="preserve"> </v>
      </c>
      <c r="V17" s="106" t="str">
        <f t="array" ref="V17">IFERROR(INDEX(H$2:H$100, SMALL(IF($N$2:$N$100="YES", ROW($N$2:$N$100)-MIN(ROW($N$2:$N$100))+1), ROW(14:14))), " ")</f>
        <v xml:space="preserve"> </v>
      </c>
    </row>
    <row r="18" spans="2:22" ht="27" thickBot="1">
      <c r="B18" s="114">
        <v>15</v>
      </c>
      <c r="C18" s="115" t="s">
        <v>179</v>
      </c>
      <c r="D18" s="115" t="s">
        <v>191</v>
      </c>
      <c r="E18" s="115" t="s">
        <v>148</v>
      </c>
      <c r="F18" s="150">
        <v>4269370000000000</v>
      </c>
      <c r="G18" s="117">
        <v>3039</v>
      </c>
      <c r="H18" s="118">
        <v>100</v>
      </c>
      <c r="I18" s="116"/>
      <c r="J18" s="115"/>
      <c r="K18" s="114"/>
      <c r="L18" s="119"/>
      <c r="M18" s="114"/>
      <c r="N18" s="98" t="s">
        <v>175</v>
      </c>
      <c r="R18" s="106" t="str">
        <f t="array" ref="R18">IFERROR(INDEX(D$2:D$100, SMALL(IF($N$2:$N$100="YES", ROW($N$2:$N$100)-MIN(ROW($N$2:$N$100))+1), ROW(15:15))), " ")</f>
        <v xml:space="preserve"> </v>
      </c>
      <c r="S18" s="106" t="str">
        <f t="array" ref="S18">IFERROR(INDEX(E$2:E$100, SMALL(IF($N$2:$N$100="YES", ROW($N$2:$N$100)-MIN(ROW($N$2:$N$100))+1), ROW(15:15))), " ")</f>
        <v xml:space="preserve"> </v>
      </c>
      <c r="T18" s="106" t="str">
        <f t="array" ref="T18">IFERROR(INDEX(F$2:F$100, SMALL(IF($N$2:$N$100="YES", ROW($N$2:$N$100)-MIN(ROW($N$2:$N$100))+1), ROW(15:15))), " ")</f>
        <v xml:space="preserve"> </v>
      </c>
      <c r="U18" s="106" t="str">
        <f t="array" ref="U18">IFERROR(INDEX(G$2:G$100, SMALL(IF($N$2:$N$100="YES", ROW($N$2:$N$100)-MIN(ROW($N$2:$N$100))+1), ROW(15:15))), " ")</f>
        <v xml:space="preserve"> </v>
      </c>
      <c r="V18" s="106" t="str">
        <f t="array" ref="V18">IFERROR(INDEX(H$2:H$100, SMALL(IF($N$2:$N$100="YES", ROW($N$2:$N$100)-MIN(ROW($N$2:$N$100))+1), ROW(15:15))), " ")</f>
        <v xml:space="preserve"> </v>
      </c>
    </row>
    <row r="19" spans="2:22" ht="27" thickBot="1">
      <c r="B19" s="114">
        <v>16</v>
      </c>
      <c r="C19" s="115" t="s">
        <v>176</v>
      </c>
      <c r="D19" s="115" t="s">
        <v>192</v>
      </c>
      <c r="E19" s="115" t="s">
        <v>148</v>
      </c>
      <c r="F19" s="150">
        <v>542418000000</v>
      </c>
      <c r="G19" s="117">
        <v>3012</v>
      </c>
      <c r="H19" s="118">
        <v>98</v>
      </c>
      <c r="I19" s="116"/>
      <c r="J19" s="115"/>
      <c r="K19" s="114"/>
      <c r="L19" s="119"/>
      <c r="M19" s="114"/>
      <c r="N19" s="98" t="s">
        <v>175</v>
      </c>
      <c r="R19" s="106" t="str">
        <f t="array" ref="R19">IFERROR(INDEX(D$2:D$100, SMALL(IF($N$2:$N$100="YES", ROW($N$2:$N$100)-MIN(ROW($N$2:$N$100))+1), ROW(16:16))), " ")</f>
        <v xml:space="preserve"> </v>
      </c>
      <c r="S19" s="106" t="str">
        <f t="array" ref="S19">IFERROR(INDEX(E$2:E$100, SMALL(IF($N$2:$N$100="YES", ROW($N$2:$N$100)-MIN(ROW($N$2:$N$100))+1), ROW(16:16))), " ")</f>
        <v xml:space="preserve"> </v>
      </c>
      <c r="T19" s="106" t="str">
        <f t="array" ref="T19">IFERROR(INDEX(F$2:F$100, SMALL(IF($N$2:$N$100="YES", ROW($N$2:$N$100)-MIN(ROW($N$2:$N$100))+1), ROW(16:16))), " ")</f>
        <v xml:space="preserve"> </v>
      </c>
      <c r="U19" s="106" t="str">
        <f t="array" ref="U19">IFERROR(INDEX(G$2:G$100, SMALL(IF($N$2:$N$100="YES", ROW($N$2:$N$100)-MIN(ROW($N$2:$N$100))+1), ROW(16:16))), " ")</f>
        <v xml:space="preserve"> </v>
      </c>
      <c r="V19" s="106" t="str">
        <f t="array" ref="V19">IFERROR(INDEX(H$2:H$100, SMALL(IF($N$2:$N$100="YES", ROW($N$2:$N$100)-MIN(ROW($N$2:$N$100))+1), ROW(16:16))), " ")</f>
        <v xml:space="preserve"> </v>
      </c>
    </row>
    <row r="20" spans="2:22" ht="27" thickBot="1">
      <c r="B20" s="114">
        <v>17</v>
      </c>
      <c r="C20" s="115" t="s">
        <v>179</v>
      </c>
      <c r="D20" s="115" t="s">
        <v>193</v>
      </c>
      <c r="E20" s="115" t="s">
        <v>147</v>
      </c>
      <c r="F20" s="150">
        <v>3.00002E+16</v>
      </c>
      <c r="G20" s="117">
        <v>3008</v>
      </c>
      <c r="H20" s="118">
        <v>0</v>
      </c>
      <c r="I20" s="116"/>
      <c r="J20" s="115"/>
      <c r="K20" s="114"/>
      <c r="L20" s="114"/>
      <c r="M20" s="114"/>
      <c r="N20" s="98" t="s">
        <v>175</v>
      </c>
      <c r="R20" s="106" t="str">
        <f t="array" ref="R20">IFERROR(INDEX(D$2:D$100, SMALL(IF($N$2:$N$100="YES", ROW($N$2:$N$100)-MIN(ROW($N$2:$N$100))+1), ROW(17:17))), " ")</f>
        <v xml:space="preserve"> </v>
      </c>
      <c r="S20" s="106" t="str">
        <f t="array" ref="S20">IFERROR(INDEX(E$2:E$100, SMALL(IF($N$2:$N$100="YES", ROW($N$2:$N$100)-MIN(ROW($N$2:$N$100))+1), ROW(17:17))), " ")</f>
        <v xml:space="preserve"> </v>
      </c>
      <c r="T20" s="106" t="str">
        <f t="array" ref="T20">IFERROR(INDEX(F$2:F$100, SMALL(IF($N$2:$N$100="YES", ROW($N$2:$N$100)-MIN(ROW($N$2:$N$100))+1), ROW(17:17))), " ")</f>
        <v xml:space="preserve"> </v>
      </c>
      <c r="U20" s="106" t="str">
        <f t="array" ref="U20">IFERROR(INDEX(G$2:G$100, SMALL(IF($N$2:$N$100="YES", ROW($N$2:$N$100)-MIN(ROW($N$2:$N$100))+1), ROW(17:17))), " ")</f>
        <v xml:space="preserve"> </v>
      </c>
      <c r="V20" s="106" t="str">
        <f t="array" ref="V20">IFERROR(INDEX(H$2:H$100, SMALL(IF($N$2:$N$100="YES", ROW($N$2:$N$100)-MIN(ROW($N$2:$N$100))+1), ROW(17:17))), " ")</f>
        <v xml:space="preserve"> </v>
      </c>
    </row>
    <row r="21" spans="2:22" ht="40.200000000000003" thickBot="1">
      <c r="B21" s="114">
        <v>18</v>
      </c>
      <c r="C21" s="115" t="s">
        <v>179</v>
      </c>
      <c r="D21" s="115" t="s">
        <v>194</v>
      </c>
      <c r="E21" s="115" t="s">
        <v>195</v>
      </c>
      <c r="F21" s="150">
        <v>4447960000000000</v>
      </c>
      <c r="G21" s="117">
        <v>2901</v>
      </c>
      <c r="H21" s="118">
        <v>116</v>
      </c>
      <c r="I21" s="116"/>
      <c r="J21" s="115"/>
      <c r="K21" s="114"/>
      <c r="L21" s="114"/>
      <c r="M21" s="114"/>
      <c r="N21" s="98" t="s">
        <v>175</v>
      </c>
      <c r="R21" s="106" t="str">
        <f t="array" ref="R21">IFERROR(INDEX(D$2:D$100, SMALL(IF($N$2:$N$100="YES", ROW($N$2:$N$100)-MIN(ROW($N$2:$N$100))+1), ROW(18:18))), " ")</f>
        <v xml:space="preserve"> </v>
      </c>
      <c r="S21" s="106" t="str">
        <f t="array" ref="S21">IFERROR(INDEX(E$2:E$100, SMALL(IF($N$2:$N$100="YES", ROW($N$2:$N$100)-MIN(ROW($N$2:$N$100))+1), ROW(18:18))), " ")</f>
        <v xml:space="preserve"> </v>
      </c>
      <c r="T21" s="106" t="str">
        <f t="array" ref="T21">IFERROR(INDEX(F$2:F$100, SMALL(IF($N$2:$N$100="YES", ROW($N$2:$N$100)-MIN(ROW($N$2:$N$100))+1), ROW(18:18))), " ")</f>
        <v xml:space="preserve"> </v>
      </c>
      <c r="U21" s="106" t="str">
        <f t="array" ref="U21">IFERROR(INDEX(G$2:G$100, SMALL(IF($N$2:$N$100="YES", ROW($N$2:$N$100)-MIN(ROW($N$2:$N$100))+1), ROW(18:18))), " ")</f>
        <v xml:space="preserve"> </v>
      </c>
      <c r="V21" s="106" t="str">
        <f t="array" ref="V21">IFERROR(INDEX(H$2:H$100, SMALL(IF($N$2:$N$100="YES", ROW($N$2:$N$100)-MIN(ROW($N$2:$N$100))+1), ROW(18:18))), " ")</f>
        <v xml:space="preserve"> </v>
      </c>
    </row>
    <row r="22" spans="2:22" ht="27" thickBot="1">
      <c r="B22" s="114">
        <v>19</v>
      </c>
      <c r="C22" s="115" t="s">
        <v>179</v>
      </c>
      <c r="D22" s="115" t="s">
        <v>185</v>
      </c>
      <c r="E22" s="115" t="s">
        <v>161</v>
      </c>
      <c r="F22" s="116">
        <v>113072876</v>
      </c>
      <c r="G22" s="117">
        <v>2025</v>
      </c>
      <c r="H22" s="118">
        <v>0</v>
      </c>
      <c r="I22" s="116"/>
      <c r="J22" s="115"/>
      <c r="K22" s="114"/>
      <c r="L22" s="114"/>
      <c r="M22" s="114"/>
      <c r="N22" s="98" t="s">
        <v>175</v>
      </c>
      <c r="R22" s="106" t="str">
        <f t="array" ref="R22">IFERROR(INDEX(D$2:D$100, SMALL(IF($N$2:$N$100="YES", ROW($N$2:$N$100)-MIN(ROW($N$2:$N$100))+1), ROW(19:19))), " ")</f>
        <v xml:space="preserve"> </v>
      </c>
      <c r="S22" s="106" t="str">
        <f t="array" ref="S22">IFERROR(INDEX(E$2:E$100, SMALL(IF($N$2:$N$100="YES", ROW($N$2:$N$100)-MIN(ROW($N$2:$N$100))+1), ROW(19:19))), " ")</f>
        <v xml:space="preserve"> </v>
      </c>
      <c r="T22" s="106" t="str">
        <f t="array" ref="T22">IFERROR(INDEX(F$2:F$100, SMALL(IF($N$2:$N$100="YES", ROW($N$2:$N$100)-MIN(ROW($N$2:$N$100))+1), ROW(19:19))), " ")</f>
        <v xml:space="preserve"> </v>
      </c>
      <c r="U22" s="106" t="str">
        <f t="array" ref="U22">IFERROR(INDEX(G$2:G$100, SMALL(IF($N$2:$N$100="YES", ROW($N$2:$N$100)-MIN(ROW($N$2:$N$100))+1), ROW(19:19))), " ")</f>
        <v xml:space="preserve"> </v>
      </c>
      <c r="V22" s="106" t="str">
        <f t="array" ref="V22">IFERROR(INDEX(H$2:H$100, SMALL(IF($N$2:$N$100="YES", ROW($N$2:$N$100)-MIN(ROW($N$2:$N$100))+1), ROW(19:19))), " ")</f>
        <v xml:space="preserve"> </v>
      </c>
    </row>
    <row r="23" spans="2:22" ht="27" thickBot="1">
      <c r="B23" s="114">
        <v>20</v>
      </c>
      <c r="C23" s="115" t="s">
        <v>179</v>
      </c>
      <c r="D23" s="115" t="s">
        <v>149</v>
      </c>
      <c r="E23" s="115" t="s">
        <v>148</v>
      </c>
      <c r="F23" s="150">
        <v>515677000000</v>
      </c>
      <c r="G23" s="117">
        <v>2024</v>
      </c>
      <c r="H23" s="118">
        <v>71</v>
      </c>
      <c r="I23" s="116"/>
      <c r="J23" s="115"/>
      <c r="K23" s="114"/>
      <c r="L23" s="119"/>
      <c r="M23" s="114"/>
      <c r="N23" s="98" t="s">
        <v>175</v>
      </c>
      <c r="R23" s="106" t="str">
        <f t="array" ref="R23">IFERROR(INDEX(D$2:D$100, SMALL(IF($N$2:$N$100="YES", ROW($N$2:$N$100)-MIN(ROW($N$2:$N$100))+1), ROW(20:20))), " ")</f>
        <v xml:space="preserve"> </v>
      </c>
      <c r="S23" s="106" t="str">
        <f t="array" ref="S23">IFERROR(INDEX(E$2:E$100, SMALL(IF($N$2:$N$100="YES", ROW($N$2:$N$100)-MIN(ROW($N$2:$N$100))+1), ROW(20:20))), " ")</f>
        <v xml:space="preserve"> </v>
      </c>
      <c r="T23" s="106" t="str">
        <f t="array" ref="T23">IFERROR(INDEX(F$2:F$100, SMALL(IF($N$2:$N$100="YES", ROW($N$2:$N$100)-MIN(ROW($N$2:$N$100))+1), ROW(20:20))), " ")</f>
        <v xml:space="preserve"> </v>
      </c>
      <c r="U23" s="106" t="str">
        <f t="array" ref="U23">IFERROR(INDEX(G$2:G$100, SMALL(IF($N$2:$N$100="YES", ROW($N$2:$N$100)-MIN(ROW($N$2:$N$100))+1), ROW(20:20))), " ")</f>
        <v xml:space="preserve"> </v>
      </c>
      <c r="V23" s="106" t="str">
        <f t="array" ref="V23">IFERROR(INDEX(H$2:H$100, SMALL(IF($N$2:$N$100="YES", ROW($N$2:$N$100)-MIN(ROW($N$2:$N$100))+1), ROW(20:20))), " ")</f>
        <v xml:space="preserve"> </v>
      </c>
    </row>
    <row r="24" spans="2:22" ht="27" thickBot="1">
      <c r="B24" s="114">
        <v>21</v>
      </c>
      <c r="C24" s="115" t="s">
        <v>176</v>
      </c>
      <c r="D24" s="115" t="s">
        <v>196</v>
      </c>
      <c r="E24" s="115" t="s">
        <v>147</v>
      </c>
      <c r="F24" s="116" t="s">
        <v>197</v>
      </c>
      <c r="G24" s="117">
        <v>1833</v>
      </c>
      <c r="H24" s="118">
        <v>389</v>
      </c>
      <c r="I24" s="116"/>
      <c r="J24" s="115"/>
      <c r="K24" s="114"/>
      <c r="L24" s="119"/>
      <c r="M24" s="114"/>
      <c r="N24" s="98" t="s">
        <v>175</v>
      </c>
      <c r="R24" s="106" t="str">
        <f t="array" ref="R24">IFERROR(INDEX(D$2:D$100, SMALL(IF($N$2:$N$100="YES", ROW($N$2:$N$100)-MIN(ROW($N$2:$N$100))+1), ROW(21:21))), " ")</f>
        <v xml:space="preserve"> </v>
      </c>
      <c r="S24" s="106" t="str">
        <f t="array" ref="S24">IFERROR(INDEX(E$2:E$100, SMALL(IF($N$2:$N$100="YES", ROW($N$2:$N$100)-MIN(ROW($N$2:$N$100))+1), ROW(21:21))), " ")</f>
        <v xml:space="preserve"> </v>
      </c>
      <c r="T24" s="106" t="str">
        <f t="array" ref="T24">IFERROR(INDEX(F$2:F$100, SMALL(IF($N$2:$N$100="YES", ROW($N$2:$N$100)-MIN(ROW($N$2:$N$100))+1), ROW(21:21))), " ")</f>
        <v xml:space="preserve"> </v>
      </c>
      <c r="U24" s="106" t="str">
        <f t="array" ref="U24">IFERROR(INDEX(G$2:G$100, SMALL(IF($N$2:$N$100="YES", ROW($N$2:$N$100)-MIN(ROW($N$2:$N$100))+1), ROW(21:21))), " ")</f>
        <v xml:space="preserve"> </v>
      </c>
      <c r="V24" s="106" t="str">
        <f t="array" ref="V24">IFERROR(INDEX(H$2:H$100, SMALL(IF($N$2:$N$100="YES", ROW($N$2:$N$100)-MIN(ROW($N$2:$N$100))+1), ROW(21:21))), " ")</f>
        <v xml:space="preserve"> </v>
      </c>
    </row>
    <row r="25" spans="2:22" ht="27" thickBot="1">
      <c r="B25" s="114">
        <v>22</v>
      </c>
      <c r="C25" s="115" t="s">
        <v>176</v>
      </c>
      <c r="D25" s="115" t="s">
        <v>198</v>
      </c>
      <c r="E25" s="115" t="s">
        <v>148</v>
      </c>
      <c r="F25" s="150">
        <v>5780970000000000</v>
      </c>
      <c r="G25" s="117">
        <v>1641</v>
      </c>
      <c r="H25" s="118">
        <v>58</v>
      </c>
      <c r="I25" s="116"/>
      <c r="J25" s="115"/>
      <c r="K25" s="114"/>
      <c r="L25" s="119"/>
      <c r="M25" s="114"/>
      <c r="N25" s="98" t="s">
        <v>175</v>
      </c>
      <c r="R25" s="106" t="str">
        <f t="array" ref="R25">IFERROR(INDEX(D$2:D$100, SMALL(IF($N$2:$N$100="YES", ROW($N$2:$N$100)-MIN(ROW($N$2:$N$100))+1), ROW(22:22))), " ")</f>
        <v xml:space="preserve"> </v>
      </c>
      <c r="S25" s="106" t="str">
        <f t="array" ref="S25">IFERROR(INDEX(E$2:E$100, SMALL(IF($N$2:$N$100="YES", ROW($N$2:$N$100)-MIN(ROW($N$2:$N$100))+1), ROW(22:22))), " ")</f>
        <v xml:space="preserve"> </v>
      </c>
      <c r="T25" s="106" t="str">
        <f t="array" ref="T25">IFERROR(INDEX(F$2:F$100, SMALL(IF($N$2:$N$100="YES", ROW($N$2:$N$100)-MIN(ROW($N$2:$N$100))+1), ROW(22:22))), " ")</f>
        <v xml:space="preserve"> </v>
      </c>
      <c r="U25" s="106" t="str">
        <f t="array" ref="U25">IFERROR(INDEX(G$2:G$100, SMALL(IF($N$2:$N$100="YES", ROW($N$2:$N$100)-MIN(ROW($N$2:$N$100))+1), ROW(22:22))), " ")</f>
        <v xml:space="preserve"> </v>
      </c>
      <c r="V25" s="106" t="str">
        <f t="array" ref="V25">IFERROR(INDEX(H$2:H$100, SMALL(IF($N$2:$N$100="YES", ROW($N$2:$N$100)-MIN(ROW($N$2:$N$100))+1), ROW(22:22))), " ")</f>
        <v xml:space="preserve"> </v>
      </c>
    </row>
    <row r="26" spans="2:22" ht="27" thickBot="1">
      <c r="B26" s="114">
        <v>23</v>
      </c>
      <c r="C26" s="115" t="s">
        <v>179</v>
      </c>
      <c r="D26" s="115" t="s">
        <v>170</v>
      </c>
      <c r="E26" s="115" t="s">
        <v>148</v>
      </c>
      <c r="F26" s="150">
        <v>426684000000</v>
      </c>
      <c r="G26" s="117">
        <v>1388</v>
      </c>
      <c r="H26" s="118">
        <v>40</v>
      </c>
      <c r="I26" s="116"/>
      <c r="J26" s="115"/>
      <c r="K26" s="114"/>
      <c r="L26" s="119"/>
      <c r="M26" s="114"/>
      <c r="N26" s="98" t="s">
        <v>175</v>
      </c>
      <c r="R26" s="106" t="str">
        <f t="array" ref="R26">IFERROR(INDEX(D$2:D$100, SMALL(IF($N$2:$N$100="YES", ROW($N$2:$N$100)-MIN(ROW($N$2:$N$100))+1), ROW(23:23))), " ")</f>
        <v xml:space="preserve"> </v>
      </c>
      <c r="S26" s="106" t="str">
        <f t="array" ref="S26">IFERROR(INDEX(E$2:E$100, SMALL(IF($N$2:$N$100="YES", ROW($N$2:$N$100)-MIN(ROW($N$2:$N$100))+1), ROW(23:23))), " ")</f>
        <v xml:space="preserve"> </v>
      </c>
      <c r="T26" s="106" t="str">
        <f t="array" ref="T26">IFERROR(INDEX(F$2:F$100, SMALL(IF($N$2:$N$100="YES", ROW($N$2:$N$100)-MIN(ROW($N$2:$N$100))+1), ROW(23:23))), " ")</f>
        <v xml:space="preserve"> </v>
      </c>
      <c r="U26" s="106" t="str">
        <f t="array" ref="U26">IFERROR(INDEX(G$2:G$100, SMALL(IF($N$2:$N$100="YES", ROW($N$2:$N$100)-MIN(ROW($N$2:$N$100))+1), ROW(23:23))), " ")</f>
        <v xml:space="preserve"> </v>
      </c>
      <c r="V26" s="106" t="str">
        <f t="array" ref="V26">IFERROR(INDEX(H$2:H$100, SMALL(IF($N$2:$N$100="YES", ROW($N$2:$N$100)-MIN(ROW($N$2:$N$100))+1), ROW(23:23))), " ")</f>
        <v xml:space="preserve"> </v>
      </c>
    </row>
    <row r="27" spans="2:22" ht="27" thickBot="1">
      <c r="B27" s="114">
        <v>24</v>
      </c>
      <c r="C27" s="115" t="s">
        <v>179</v>
      </c>
      <c r="D27" s="115" t="s">
        <v>158</v>
      </c>
      <c r="E27" s="115" t="s">
        <v>148</v>
      </c>
      <c r="F27" s="150">
        <v>-3499930000000000</v>
      </c>
      <c r="G27" s="117">
        <v>1045</v>
      </c>
      <c r="H27" s="118">
        <v>41</v>
      </c>
      <c r="I27" s="116"/>
      <c r="J27" s="115"/>
      <c r="K27" s="114"/>
      <c r="L27" s="119"/>
      <c r="M27" s="114"/>
      <c r="N27" s="98" t="s">
        <v>175</v>
      </c>
      <c r="R27" s="106" t="str">
        <f t="array" ref="R27">IFERROR(INDEX(D$2:D$100, SMALL(IF($N$2:$N$100="YES", ROW($N$2:$N$100)-MIN(ROW($N$2:$N$100))+1), ROW(24:24))), " ")</f>
        <v xml:space="preserve"> </v>
      </c>
      <c r="S27" s="106" t="str">
        <f t="array" ref="S27">IFERROR(INDEX(E$2:E$100, SMALL(IF($N$2:$N$100="YES", ROW($N$2:$N$100)-MIN(ROW($N$2:$N$100))+1), ROW(24:24))), " ")</f>
        <v xml:space="preserve"> </v>
      </c>
      <c r="T27" s="106" t="str">
        <f t="array" ref="T27">IFERROR(INDEX(F$2:F$100, SMALL(IF($N$2:$N$100="YES", ROW($N$2:$N$100)-MIN(ROW($N$2:$N$100))+1), ROW(24:24))), " ")</f>
        <v xml:space="preserve"> </v>
      </c>
      <c r="U27" s="106" t="str">
        <f t="array" ref="U27">IFERROR(INDEX(G$2:G$100, SMALL(IF($N$2:$N$100="YES", ROW($N$2:$N$100)-MIN(ROW($N$2:$N$100))+1), ROW(24:24))), " ")</f>
        <v xml:space="preserve"> </v>
      </c>
      <c r="V27" s="106" t="str">
        <f t="array" ref="V27">IFERROR(INDEX(H$2:H$100, SMALL(IF($N$2:$N$100="YES", ROW($N$2:$N$100)-MIN(ROW($N$2:$N$100))+1), ROW(24:24))), " ")</f>
        <v xml:space="preserve"> </v>
      </c>
    </row>
    <row r="28" spans="2:22" ht="27" thickBot="1">
      <c r="B28" s="114">
        <v>25</v>
      </c>
      <c r="C28" s="115" t="s">
        <v>176</v>
      </c>
      <c r="D28" s="115" t="s">
        <v>158</v>
      </c>
      <c r="E28" s="115" t="s">
        <v>148</v>
      </c>
      <c r="F28" s="150">
        <v>-3499930000000000</v>
      </c>
      <c r="G28" s="117">
        <v>1045</v>
      </c>
      <c r="H28" s="118">
        <v>41</v>
      </c>
      <c r="I28" s="116"/>
      <c r="J28" s="115"/>
      <c r="K28" s="114"/>
      <c r="L28" s="119"/>
      <c r="M28" s="114"/>
      <c r="N28" s="98" t="s">
        <v>175</v>
      </c>
      <c r="R28" s="106" t="str">
        <f t="array" ref="R28">IFERROR(INDEX(D$2:D$100, SMALL(IF($N$2:$N$100="YES", ROW($N$2:$N$100)-MIN(ROW($N$2:$N$100))+1), ROW(25:25))), " ")</f>
        <v xml:space="preserve"> </v>
      </c>
      <c r="S28" s="106" t="str">
        <f t="array" ref="S28">IFERROR(INDEX(E$2:E$100, SMALL(IF($N$2:$N$100="YES", ROW($N$2:$N$100)-MIN(ROW($N$2:$N$100))+1), ROW(25:25))), " ")</f>
        <v xml:space="preserve"> </v>
      </c>
      <c r="T28" s="106" t="str">
        <f t="array" ref="T28">IFERROR(INDEX(F$2:F$100, SMALL(IF($N$2:$N$100="YES", ROW($N$2:$N$100)-MIN(ROW($N$2:$N$100))+1), ROW(25:25))), " ")</f>
        <v xml:space="preserve"> </v>
      </c>
      <c r="U28" s="106" t="str">
        <f t="array" ref="U28">IFERROR(INDEX(G$2:G$100, SMALL(IF($N$2:$N$100="YES", ROW($N$2:$N$100)-MIN(ROW($N$2:$N$100))+1), ROW(25:25))), " ")</f>
        <v xml:space="preserve"> </v>
      </c>
      <c r="V28" s="106" t="str">
        <f t="array" ref="V28">IFERROR(INDEX(H$2:H$100, SMALL(IF($N$2:$N$100="YES", ROW($N$2:$N$100)-MIN(ROW($N$2:$N$100))+1), ROW(25:25))), " ")</f>
        <v xml:space="preserve"> </v>
      </c>
    </row>
    <row r="29" spans="2:22" ht="27" thickBot="1">
      <c r="B29" s="114">
        <v>26</v>
      </c>
      <c r="C29" s="115" t="s">
        <v>176</v>
      </c>
      <c r="D29" s="115" t="s">
        <v>199</v>
      </c>
      <c r="E29" s="115" t="s">
        <v>148</v>
      </c>
      <c r="F29" s="150">
        <v>4270830000000000</v>
      </c>
      <c r="G29" s="117">
        <v>876</v>
      </c>
      <c r="H29" s="118">
        <v>15</v>
      </c>
      <c r="I29" s="116"/>
      <c r="J29" s="115"/>
      <c r="K29" s="114"/>
      <c r="L29" s="119"/>
      <c r="M29" s="114"/>
      <c r="N29" s="98" t="s">
        <v>175</v>
      </c>
      <c r="R29" s="106" t="str">
        <f t="array" ref="R29">IFERROR(INDEX(D$2:D$100, SMALL(IF($N$2:$N$100="YES", ROW($N$2:$N$100)-MIN(ROW($N$2:$N$100))+1), ROW(26:26))), " ")</f>
        <v xml:space="preserve"> </v>
      </c>
      <c r="S29" s="106" t="str">
        <f t="array" ref="S29">IFERROR(INDEX(E$2:E$100, SMALL(IF($N$2:$N$100="YES", ROW($N$2:$N$100)-MIN(ROW($N$2:$N$100))+1), ROW(26:26))), " ")</f>
        <v xml:space="preserve"> </v>
      </c>
      <c r="T29" s="106" t="str">
        <f t="array" ref="T29">IFERROR(INDEX(F$2:F$100, SMALL(IF($N$2:$N$100="YES", ROW($N$2:$N$100)-MIN(ROW($N$2:$N$100))+1), ROW(26:26))), " ")</f>
        <v xml:space="preserve"> </v>
      </c>
      <c r="U29" s="106" t="str">
        <f t="array" ref="U29">IFERROR(INDEX(G$2:G$100, SMALL(IF($N$2:$N$100="YES", ROW($N$2:$N$100)-MIN(ROW($N$2:$N$100))+1), ROW(26:26))), " ")</f>
        <v xml:space="preserve"> </v>
      </c>
      <c r="V29" s="106" t="str">
        <f t="array" ref="V29">IFERROR(INDEX(H$2:H$100, SMALL(IF($N$2:$N$100="YES", ROW($N$2:$N$100)-MIN(ROW($N$2:$N$100))+1), ROW(26:26))), " ")</f>
        <v xml:space="preserve"> </v>
      </c>
    </row>
    <row r="30" spans="2:22" ht="27" thickBot="1">
      <c r="B30" s="114">
        <v>27</v>
      </c>
      <c r="C30" s="115" t="s">
        <v>176</v>
      </c>
      <c r="D30" s="115" t="s">
        <v>149</v>
      </c>
      <c r="E30" s="115" t="s">
        <v>148</v>
      </c>
      <c r="F30" s="150">
        <v>400345000000</v>
      </c>
      <c r="G30" s="117">
        <v>491</v>
      </c>
      <c r="H30" s="118">
        <v>25</v>
      </c>
      <c r="I30" s="116"/>
      <c r="J30" s="115"/>
      <c r="K30" s="114"/>
      <c r="L30" s="119"/>
      <c r="M30" s="114"/>
      <c r="N30" s="98" t="s">
        <v>175</v>
      </c>
      <c r="R30" s="106" t="str">
        <f t="array" ref="R30">IFERROR(INDEX(D$2:D$100, SMALL(IF($N$2:$N$100="YES", ROW($N$2:$N$100)-MIN(ROW($N$2:$N$100))+1), ROW(27:27))), " ")</f>
        <v xml:space="preserve"> </v>
      </c>
      <c r="S30" s="106" t="str">
        <f t="array" ref="S30">IFERROR(INDEX(E$2:E$100, SMALL(IF($N$2:$N$100="YES", ROW($N$2:$N$100)-MIN(ROW($N$2:$N$100))+1), ROW(27:27))), " ")</f>
        <v xml:space="preserve"> </v>
      </c>
      <c r="T30" s="106" t="str">
        <f t="array" ref="T30">IFERROR(INDEX(F$2:F$100, SMALL(IF($N$2:$N$100="YES", ROW($N$2:$N$100)-MIN(ROW($N$2:$N$100))+1), ROW(27:27))), " ")</f>
        <v xml:space="preserve"> </v>
      </c>
      <c r="U30" s="106" t="str">
        <f t="array" ref="U30">IFERROR(INDEX(G$2:G$100, SMALL(IF($N$2:$N$100="YES", ROW($N$2:$N$100)-MIN(ROW($N$2:$N$100))+1), ROW(27:27))), " ")</f>
        <v xml:space="preserve"> </v>
      </c>
      <c r="V30" s="106" t="str">
        <f t="array" ref="V30">IFERROR(INDEX(H$2:H$100, SMALL(IF($N$2:$N$100="YES", ROW($N$2:$N$100)-MIN(ROW($N$2:$N$100))+1), ROW(27:27))), " ")</f>
        <v xml:space="preserve"> </v>
      </c>
    </row>
    <row r="31" spans="2:22" ht="27" thickBot="1">
      <c r="B31" s="114">
        <v>28</v>
      </c>
      <c r="C31" s="115" t="s">
        <v>176</v>
      </c>
      <c r="D31" s="115" t="s">
        <v>171</v>
      </c>
      <c r="E31" s="115" t="s">
        <v>148</v>
      </c>
      <c r="F31" s="150">
        <v>5796740000000000</v>
      </c>
      <c r="G31" s="117">
        <v>471</v>
      </c>
      <c r="H31" s="118">
        <v>59</v>
      </c>
      <c r="I31" s="116"/>
      <c r="J31" s="115"/>
      <c r="K31" s="114"/>
      <c r="L31" s="119"/>
      <c r="M31" s="114"/>
      <c r="N31" s="98" t="s">
        <v>175</v>
      </c>
      <c r="R31" s="106" t="str">
        <f t="array" ref="R31">IFERROR(INDEX(D$2:D$100, SMALL(IF($N$2:$N$100="YES", ROW($N$2:$N$100)-MIN(ROW($N$2:$N$100))+1), ROW(28:28))), " ")</f>
        <v xml:space="preserve"> </v>
      </c>
      <c r="S31" s="106" t="str">
        <f t="array" ref="S31">IFERROR(INDEX(E$2:E$100, SMALL(IF($N$2:$N$100="YES", ROW($N$2:$N$100)-MIN(ROW($N$2:$N$100))+1), ROW(28:28))), " ")</f>
        <v xml:space="preserve"> </v>
      </c>
      <c r="T31" s="106" t="str">
        <f t="array" ref="T31">IFERROR(INDEX(F$2:F$100, SMALL(IF($N$2:$N$100="YES", ROW($N$2:$N$100)-MIN(ROW($N$2:$N$100))+1), ROW(28:28))), " ")</f>
        <v xml:space="preserve"> </v>
      </c>
      <c r="U31" s="106" t="str">
        <f t="array" ref="U31">IFERROR(INDEX(G$2:G$100, SMALL(IF($N$2:$N$100="YES", ROW($N$2:$N$100)-MIN(ROW($N$2:$N$100))+1), ROW(28:28))), " ")</f>
        <v xml:space="preserve"> </v>
      </c>
      <c r="V31" s="106" t="str">
        <f t="array" ref="V31">IFERROR(INDEX(H$2:H$100, SMALL(IF($N$2:$N$100="YES", ROW($N$2:$N$100)-MIN(ROW($N$2:$N$100))+1), ROW(28:28))), " ")</f>
        <v xml:space="preserve"> </v>
      </c>
    </row>
    <row r="32" spans="2:22" ht="27" thickBot="1">
      <c r="B32" s="114">
        <v>29</v>
      </c>
      <c r="C32" s="115" t="s">
        <v>179</v>
      </c>
      <c r="D32" s="115" t="s">
        <v>200</v>
      </c>
      <c r="E32" s="115" t="s">
        <v>148</v>
      </c>
      <c r="F32" s="150">
        <v>6035340000000000</v>
      </c>
      <c r="G32" s="117">
        <v>29</v>
      </c>
      <c r="H32" s="118">
        <v>29</v>
      </c>
      <c r="I32" s="116"/>
      <c r="J32" s="115"/>
      <c r="K32" s="114"/>
      <c r="L32" s="114"/>
      <c r="N32" s="98" t="s">
        <v>175</v>
      </c>
      <c r="R32" s="106" t="str">
        <f t="array" ref="R32">IFERROR(INDEX(D$2:D$100, SMALL(IF($N$2:$N$100="YES", ROW($N$2:$N$100)-MIN(ROW($N$2:$N$100))+1), ROW(29:29))), " ")</f>
        <v xml:space="preserve"> </v>
      </c>
      <c r="S32" s="106" t="str">
        <f t="array" ref="S32">IFERROR(INDEX(E$2:E$100, SMALL(IF($N$2:$N$100="YES", ROW($N$2:$N$100)-MIN(ROW($N$2:$N$100))+1), ROW(29:29))), " ")</f>
        <v xml:space="preserve"> </v>
      </c>
      <c r="T32" s="106" t="str">
        <f t="array" ref="T32">IFERROR(INDEX(F$2:F$100, SMALL(IF($N$2:$N$100="YES", ROW($N$2:$N$100)-MIN(ROW($N$2:$N$100))+1), ROW(29:29))), " ")</f>
        <v xml:space="preserve"> </v>
      </c>
      <c r="U32" s="106" t="str">
        <f t="array" ref="U32">IFERROR(INDEX(G$2:G$100, SMALL(IF($N$2:$N$100="YES", ROW($N$2:$N$100)-MIN(ROW($N$2:$N$100))+1), ROW(29:29))), " ")</f>
        <v xml:space="preserve"> </v>
      </c>
      <c r="V32" s="106" t="str">
        <f t="array" ref="V32">IFERROR(INDEX(H$2:H$100, SMALL(IF($N$2:$N$100="YES", ROW($N$2:$N$100)-MIN(ROW($N$2:$N$100))+1), ROW(29:29))), " ")</f>
        <v xml:space="preserve"> </v>
      </c>
    </row>
    <row r="33" spans="2:22" ht="16.2" thickBot="1">
      <c r="B33" s="114"/>
      <c r="C33" s="115"/>
      <c r="D33" s="115"/>
      <c r="E33" s="115"/>
      <c r="F33" s="116"/>
      <c r="G33" s="117"/>
      <c r="H33" s="118"/>
      <c r="I33" s="116"/>
      <c r="J33" s="115"/>
      <c r="K33" s="114"/>
      <c r="L33" s="114"/>
      <c r="M33" s="114"/>
      <c r="N33" s="98"/>
      <c r="R33" s="106" t="str">
        <f t="array" ref="R33">IFERROR(INDEX(D$2:D$100, SMALL(IF($N$2:$N$100="YES", ROW($N$2:$N$100)-MIN(ROW($N$2:$N$100))+1), ROW(30:30))), " ")</f>
        <v xml:space="preserve"> </v>
      </c>
      <c r="S33" s="106" t="str">
        <f t="array" ref="S33">IFERROR(INDEX(E$2:E$100, SMALL(IF($N$2:$N$100="YES", ROW($N$2:$N$100)-MIN(ROW($N$2:$N$100))+1), ROW(30:30))), " ")</f>
        <v xml:space="preserve"> </v>
      </c>
      <c r="T33" s="106" t="str">
        <f t="array" ref="T33">IFERROR(INDEX(F$2:F$100, SMALL(IF($N$2:$N$100="YES", ROW($N$2:$N$100)-MIN(ROW($N$2:$N$100))+1), ROW(30:30))), " ")</f>
        <v xml:space="preserve"> </v>
      </c>
      <c r="U33" s="106" t="str">
        <f t="array" ref="U33">IFERROR(INDEX(G$2:G$100, SMALL(IF($N$2:$N$100="YES", ROW($N$2:$N$100)-MIN(ROW($N$2:$N$100))+1), ROW(30:30))), " ")</f>
        <v xml:space="preserve"> </v>
      </c>
      <c r="V33" s="106" t="str">
        <f t="array" ref="V33">IFERROR(INDEX(H$2:H$100, SMALL(IF($N$2:$N$100="YES", ROW($N$2:$N$100)-MIN(ROW($N$2:$N$100))+1), ROW(30:30))), " ")</f>
        <v xml:space="preserve"> </v>
      </c>
    </row>
    <row r="34" spans="2:22" ht="16.2" thickBot="1">
      <c r="B34" s="114"/>
      <c r="C34" s="115"/>
      <c r="D34" s="115"/>
      <c r="E34" s="115"/>
      <c r="F34" s="116"/>
      <c r="G34" s="117"/>
      <c r="H34" s="118"/>
      <c r="I34" s="116"/>
      <c r="J34" s="115"/>
      <c r="K34" s="114"/>
      <c r="L34" s="114"/>
      <c r="M34" s="114"/>
      <c r="N34" s="98"/>
      <c r="R34" s="106" t="str">
        <f t="array" ref="R34">IFERROR(INDEX(D$2:D$100, SMALL(IF($N$2:$N$100="YES", ROW($N$2:$N$100)-MIN(ROW($N$2:$N$100))+1), ROW(31:31))), " ")</f>
        <v xml:space="preserve"> </v>
      </c>
      <c r="S34" s="106" t="str">
        <f t="array" ref="S34">IFERROR(INDEX(E$2:E$100, SMALL(IF($N$2:$N$100="YES", ROW($N$2:$N$100)-MIN(ROW($N$2:$N$100))+1), ROW(31:31))), " ")</f>
        <v xml:space="preserve"> </v>
      </c>
      <c r="T34" s="106" t="str">
        <f t="array" ref="T34">IFERROR(INDEX(F$2:F$100, SMALL(IF($N$2:$N$100="YES", ROW($N$2:$N$100)-MIN(ROW($N$2:$N$100))+1), ROW(31:31))), " ")</f>
        <v xml:space="preserve"> </v>
      </c>
      <c r="U34" s="106" t="str">
        <f t="array" ref="U34">IFERROR(INDEX(G$2:G$100, SMALL(IF($N$2:$N$100="YES", ROW($N$2:$N$100)-MIN(ROW($N$2:$N$100))+1), ROW(31:31))), " ")</f>
        <v xml:space="preserve"> </v>
      </c>
      <c r="V34" s="106" t="str">
        <f t="array" ref="V34">IFERROR(INDEX(H$2:H$100, SMALL(IF($N$2:$N$100="YES", ROW($N$2:$N$100)-MIN(ROW($N$2:$N$100))+1), ROW(31:31))), " ")</f>
        <v xml:space="preserve"> </v>
      </c>
    </row>
    <row r="35" spans="2:22" ht="16.2" thickBot="1">
      <c r="B35" s="114"/>
      <c r="C35" s="115"/>
      <c r="D35" s="115"/>
      <c r="E35" s="115"/>
      <c r="F35" s="116"/>
      <c r="G35" s="117"/>
      <c r="H35" s="118"/>
      <c r="I35" s="116"/>
      <c r="J35" s="115"/>
      <c r="K35" s="114"/>
      <c r="L35" s="114"/>
      <c r="M35" s="114"/>
      <c r="N35" s="98"/>
      <c r="R35" s="106" t="str">
        <f t="array" ref="R35">IFERROR(INDEX(D$2:D$100, SMALL(IF($N$2:$N$100="YES", ROW($N$2:$N$100)-MIN(ROW($N$2:$N$100))+1), ROW(32:32))), " ")</f>
        <v xml:space="preserve"> </v>
      </c>
      <c r="S35" s="106" t="str">
        <f t="array" ref="S35">IFERROR(INDEX(E$2:E$100, SMALL(IF($N$2:$N$100="YES", ROW($N$2:$N$100)-MIN(ROW($N$2:$N$100))+1), ROW(32:32))), " ")</f>
        <v xml:space="preserve"> </v>
      </c>
      <c r="T35" s="106" t="str">
        <f t="array" ref="T35">IFERROR(INDEX(F$2:F$100, SMALL(IF($N$2:$N$100="YES", ROW($N$2:$N$100)-MIN(ROW($N$2:$N$100))+1), ROW(32:32))), " ")</f>
        <v xml:space="preserve"> </v>
      </c>
      <c r="U35" s="106" t="str">
        <f t="array" ref="U35">IFERROR(INDEX(G$2:G$100, SMALL(IF($N$2:$N$100="YES", ROW($N$2:$N$100)-MIN(ROW($N$2:$N$100))+1), ROW(32:32))), " ")</f>
        <v xml:space="preserve"> </v>
      </c>
      <c r="V35" s="106" t="str">
        <f t="array" ref="V35">IFERROR(INDEX(H$2:H$100, SMALL(IF($N$2:$N$100="YES", ROW($N$2:$N$100)-MIN(ROW($N$2:$N$100))+1), ROW(32:32))), " ")</f>
        <v xml:space="preserve"> </v>
      </c>
    </row>
    <row r="36" spans="2:22" ht="16.2" thickBot="1">
      <c r="B36" s="114"/>
      <c r="C36" s="115"/>
      <c r="D36" s="115"/>
      <c r="E36" s="115"/>
      <c r="F36" s="116"/>
      <c r="G36" s="117"/>
      <c r="H36" s="118"/>
      <c r="I36" s="116"/>
      <c r="J36" s="115"/>
      <c r="K36" s="114"/>
      <c r="L36" s="114"/>
      <c r="M36" s="114"/>
      <c r="N36" s="98"/>
      <c r="R36" s="106" t="str">
        <f t="array" ref="R36">IFERROR(INDEX(D$2:D$100, SMALL(IF($N$2:$N$100="YES", ROW($N$2:$N$100)-MIN(ROW($N$2:$N$100))+1), ROW(33:33))), " ")</f>
        <v xml:space="preserve"> </v>
      </c>
      <c r="S36" s="106" t="str">
        <f t="array" ref="S36">IFERROR(INDEX(E$2:E$100, SMALL(IF($N$2:$N$100="YES", ROW($N$2:$N$100)-MIN(ROW($N$2:$N$100))+1), ROW(33:33))), " ")</f>
        <v xml:space="preserve"> </v>
      </c>
      <c r="T36" s="106" t="str">
        <f t="array" ref="T36">IFERROR(INDEX(F$2:F$100, SMALL(IF($N$2:$N$100="YES", ROW($N$2:$N$100)-MIN(ROW($N$2:$N$100))+1), ROW(33:33))), " ")</f>
        <v xml:space="preserve"> </v>
      </c>
      <c r="U36" s="106" t="str">
        <f t="array" ref="U36">IFERROR(INDEX(G$2:G$100, SMALL(IF($N$2:$N$100="YES", ROW($N$2:$N$100)-MIN(ROW($N$2:$N$100))+1), ROW(33:33))), " ")</f>
        <v xml:space="preserve"> </v>
      </c>
      <c r="V36" s="106" t="str">
        <f t="array" ref="V36">IFERROR(INDEX(H$2:H$100, SMALL(IF($N$2:$N$100="YES", ROW($N$2:$N$100)-MIN(ROW($N$2:$N$100))+1), ROW(33:33))), " ")</f>
        <v xml:space="preserve"> </v>
      </c>
    </row>
    <row r="37" spans="2:22" ht="16.2" thickBot="1">
      <c r="B37" s="114"/>
      <c r="C37" s="115"/>
      <c r="D37" s="115"/>
      <c r="E37" s="115"/>
      <c r="F37" s="116"/>
      <c r="G37" s="117"/>
      <c r="H37" s="118"/>
      <c r="I37" s="116"/>
      <c r="J37" s="115"/>
      <c r="K37" s="114"/>
      <c r="L37" s="114"/>
      <c r="M37" s="114"/>
      <c r="N37" s="98"/>
      <c r="R37" s="106" t="str">
        <f t="array" ref="R37">IFERROR(INDEX(D$2:D$100, SMALL(IF($N$2:$N$100="YES", ROW($N$2:$N$100)-MIN(ROW($N$2:$N$100))+1), ROW(34:34))), " ")</f>
        <v xml:space="preserve"> </v>
      </c>
      <c r="S37" s="106" t="str">
        <f t="array" ref="S37">IFERROR(INDEX(E$2:E$100, SMALL(IF($N$2:$N$100="YES", ROW($N$2:$N$100)-MIN(ROW($N$2:$N$100))+1), ROW(34:34))), " ")</f>
        <v xml:space="preserve"> </v>
      </c>
      <c r="T37" s="106" t="str">
        <f t="array" ref="T37">IFERROR(INDEX(F$2:F$100, SMALL(IF($N$2:$N$100="YES", ROW($N$2:$N$100)-MIN(ROW($N$2:$N$100))+1), ROW(34:34))), " ")</f>
        <v xml:space="preserve"> </v>
      </c>
      <c r="U37" s="106" t="str">
        <f t="array" ref="U37">IFERROR(INDEX(G$2:G$100, SMALL(IF($N$2:$N$100="YES", ROW($N$2:$N$100)-MIN(ROW($N$2:$N$100))+1), ROW(34:34))), " ")</f>
        <v xml:space="preserve"> </v>
      </c>
      <c r="V37" s="106" t="str">
        <f t="array" ref="V37">IFERROR(INDEX(H$2:H$100, SMALL(IF($N$2:$N$100="YES", ROW($N$2:$N$100)-MIN(ROW($N$2:$N$100))+1), ROW(34:34))), " ")</f>
        <v xml:space="preserve"> </v>
      </c>
    </row>
    <row r="38" spans="2:22" ht="16.2" thickBot="1">
      <c r="B38" s="114"/>
      <c r="C38" s="115"/>
      <c r="D38" s="115"/>
      <c r="E38" s="115"/>
      <c r="F38" s="116"/>
      <c r="G38" s="117"/>
      <c r="H38" s="118"/>
      <c r="I38" s="116"/>
      <c r="J38" s="115"/>
      <c r="K38" s="114"/>
      <c r="L38" s="114"/>
      <c r="M38" s="114"/>
      <c r="N38" s="98"/>
      <c r="R38" s="106" t="str">
        <f t="array" ref="R38">IFERROR(INDEX(D$2:D$100, SMALL(IF($N$2:$N$100="YES", ROW($N$2:$N$100)-MIN(ROW($N$2:$N$100))+1), ROW(35:35))), " ")</f>
        <v xml:space="preserve"> </v>
      </c>
      <c r="S38" s="106" t="str">
        <f t="array" ref="S38">IFERROR(INDEX(E$2:E$100, SMALL(IF($N$2:$N$100="YES", ROW($N$2:$N$100)-MIN(ROW($N$2:$N$100))+1), ROW(35:35))), " ")</f>
        <v xml:space="preserve"> </v>
      </c>
      <c r="T38" s="106" t="str">
        <f t="array" ref="T38">IFERROR(INDEX(F$2:F$100, SMALL(IF($N$2:$N$100="YES", ROW($N$2:$N$100)-MIN(ROW($N$2:$N$100))+1), ROW(35:35))), " ")</f>
        <v xml:space="preserve"> </v>
      </c>
      <c r="U38" s="106" t="str">
        <f t="array" ref="U38">IFERROR(INDEX(G$2:G$100, SMALL(IF($N$2:$N$100="YES", ROW($N$2:$N$100)-MIN(ROW($N$2:$N$100))+1), ROW(35:35))), " ")</f>
        <v xml:space="preserve"> </v>
      </c>
      <c r="V38" s="106" t="str">
        <f t="array" ref="V38">IFERROR(INDEX(H$2:H$100, SMALL(IF($N$2:$N$100="YES", ROW($N$2:$N$100)-MIN(ROW($N$2:$N$100))+1), ROW(35:35))), " ")</f>
        <v xml:space="preserve"> </v>
      </c>
    </row>
    <row r="39" spans="2:22" ht="16.2" thickBot="1">
      <c r="B39" s="114"/>
      <c r="C39" s="115"/>
      <c r="D39" s="115"/>
      <c r="E39" s="115"/>
      <c r="F39" s="116"/>
      <c r="G39" s="117"/>
      <c r="H39" s="118"/>
      <c r="I39" s="116"/>
      <c r="J39" s="115"/>
      <c r="K39" s="114"/>
      <c r="L39" s="114"/>
      <c r="M39" s="114"/>
      <c r="N39" s="98"/>
      <c r="R39" s="106" t="str">
        <f t="array" ref="R39">IFERROR(INDEX(D$2:D$100, SMALL(IF($N$2:$N$100="YES", ROW($N$2:$N$100)-MIN(ROW($N$2:$N$100))+1), ROW(36:36))), " ")</f>
        <v xml:space="preserve"> </v>
      </c>
      <c r="S39" s="106" t="str">
        <f t="array" ref="S39">IFERROR(INDEX(E$2:E$100, SMALL(IF($N$2:$N$100="YES", ROW($N$2:$N$100)-MIN(ROW($N$2:$N$100))+1), ROW(36:36))), " ")</f>
        <v xml:space="preserve"> </v>
      </c>
      <c r="T39" s="106" t="str">
        <f t="array" ref="T39">IFERROR(INDEX(F$2:F$100, SMALL(IF($N$2:$N$100="YES", ROW($N$2:$N$100)-MIN(ROW($N$2:$N$100))+1), ROW(36:36))), " ")</f>
        <v xml:space="preserve"> </v>
      </c>
      <c r="U39" s="106" t="str">
        <f t="array" ref="U39">IFERROR(INDEX(G$2:G$100, SMALL(IF($N$2:$N$100="YES", ROW($N$2:$N$100)-MIN(ROW($N$2:$N$100))+1), ROW(36:36))), " ")</f>
        <v xml:space="preserve"> </v>
      </c>
      <c r="V39" s="106" t="str">
        <f t="array" ref="V39">IFERROR(INDEX(H$2:H$100, SMALL(IF($N$2:$N$100="YES", ROW($N$2:$N$100)-MIN(ROW($N$2:$N$100))+1), ROW(36:36))), " ")</f>
        <v xml:space="preserve"> </v>
      </c>
    </row>
    <row r="40" spans="2:22" ht="16.2" thickBot="1">
      <c r="B40" s="114"/>
      <c r="C40" s="115"/>
      <c r="D40" s="115"/>
      <c r="E40" s="115"/>
      <c r="F40" s="116"/>
      <c r="G40" s="117"/>
      <c r="H40" s="118"/>
      <c r="I40" s="116"/>
      <c r="J40" s="115"/>
      <c r="K40" s="114"/>
      <c r="L40" s="114"/>
      <c r="M40" s="114"/>
      <c r="N40" s="98"/>
      <c r="R40" s="106" t="str">
        <f t="array" ref="R40">IFERROR(INDEX(D$2:D$100, SMALL(IF($N$2:$N$100="YES", ROW($N$2:$N$100)-MIN(ROW($N$2:$N$100))+1), ROW(37:37))), " ")</f>
        <v xml:space="preserve"> </v>
      </c>
      <c r="S40" s="106" t="str">
        <f t="array" ref="S40">IFERROR(INDEX(E$2:E$100, SMALL(IF($N$2:$N$100="YES", ROW($N$2:$N$100)-MIN(ROW($N$2:$N$100))+1), ROW(37:37))), " ")</f>
        <v xml:space="preserve"> </v>
      </c>
      <c r="T40" s="106" t="str">
        <f t="array" ref="T40">IFERROR(INDEX(F$2:F$100, SMALL(IF($N$2:$N$100="YES", ROW($N$2:$N$100)-MIN(ROW($N$2:$N$100))+1), ROW(37:37))), " ")</f>
        <v xml:space="preserve"> </v>
      </c>
      <c r="U40" s="106" t="str">
        <f t="array" ref="U40">IFERROR(INDEX(G$2:G$100, SMALL(IF($N$2:$N$100="YES", ROW($N$2:$N$100)-MIN(ROW($N$2:$N$100))+1), ROW(37:37))), " ")</f>
        <v xml:space="preserve"> </v>
      </c>
      <c r="V40" s="106" t="str">
        <f t="array" ref="V40">IFERROR(INDEX(H$2:H$100, SMALL(IF($N$2:$N$100="YES", ROW($N$2:$N$100)-MIN(ROW($N$2:$N$100))+1), ROW(37:37))), " ")</f>
        <v xml:space="preserve"> </v>
      </c>
    </row>
    <row r="41" spans="2:22" ht="16.2" thickBot="1">
      <c r="B41" s="114"/>
      <c r="C41" s="115"/>
      <c r="D41" s="115"/>
      <c r="E41" s="115"/>
      <c r="F41" s="116"/>
      <c r="G41" s="117"/>
      <c r="H41" s="118"/>
      <c r="I41" s="116"/>
      <c r="J41" s="115"/>
      <c r="K41" s="114"/>
      <c r="L41" s="114"/>
      <c r="M41" s="114"/>
      <c r="N41" s="98"/>
      <c r="R41" s="106" t="str">
        <f t="array" ref="R41">IFERROR(INDEX(D$2:D$100, SMALL(IF($N$2:$N$100="YES", ROW($N$2:$N$100)-MIN(ROW($N$2:$N$100))+1), ROW(38:38))), " ")</f>
        <v xml:space="preserve"> </v>
      </c>
      <c r="S41" s="106" t="str">
        <f t="array" ref="S41">IFERROR(INDEX(E$2:E$100, SMALL(IF($N$2:$N$100="YES", ROW($N$2:$N$100)-MIN(ROW($N$2:$N$100))+1), ROW(38:38))), " ")</f>
        <v xml:space="preserve"> </v>
      </c>
      <c r="T41" s="106" t="str">
        <f t="array" ref="T41">IFERROR(INDEX(F$2:F$100, SMALL(IF($N$2:$N$100="YES", ROW($N$2:$N$100)-MIN(ROW($N$2:$N$100))+1), ROW(38:38))), " ")</f>
        <v xml:space="preserve"> </v>
      </c>
      <c r="U41" s="106" t="str">
        <f t="array" ref="U41">IFERROR(INDEX(G$2:G$100, SMALL(IF($N$2:$N$100="YES", ROW($N$2:$N$100)-MIN(ROW($N$2:$N$100))+1), ROW(38:38))), " ")</f>
        <v xml:space="preserve"> </v>
      </c>
      <c r="V41" s="106" t="str">
        <f t="array" ref="V41">IFERROR(INDEX(H$2:H$100, SMALL(IF($N$2:$N$100="YES", ROW($N$2:$N$100)-MIN(ROW($N$2:$N$100))+1), ROW(38:38))), " ")</f>
        <v xml:space="preserve"> </v>
      </c>
    </row>
    <row r="42" spans="2:22" ht="16.2" thickBot="1">
      <c r="B42" s="114"/>
      <c r="C42" s="115"/>
      <c r="D42" s="115"/>
      <c r="E42" s="115"/>
      <c r="F42" s="116"/>
      <c r="G42" s="117"/>
      <c r="H42" s="118"/>
      <c r="I42" s="116"/>
      <c r="J42" s="115"/>
      <c r="K42" s="114"/>
      <c r="L42" s="114"/>
      <c r="M42" s="114"/>
      <c r="N42" s="98"/>
      <c r="R42" s="106" t="str">
        <f t="array" ref="R42">IFERROR(INDEX(D$2:D$100, SMALL(IF($N$2:$N$100="YES", ROW($N$2:$N$100)-MIN(ROW($N$2:$N$100))+1), ROW(39:39))), " ")</f>
        <v xml:space="preserve"> </v>
      </c>
      <c r="S42" s="106" t="str">
        <f t="array" ref="S42">IFERROR(INDEX(E$2:E$100, SMALL(IF($N$2:$N$100="YES", ROW($N$2:$N$100)-MIN(ROW($N$2:$N$100))+1), ROW(39:39))), " ")</f>
        <v xml:space="preserve"> </v>
      </c>
      <c r="T42" s="106" t="str">
        <f t="array" ref="T42">IFERROR(INDEX(F$2:F$100, SMALL(IF($N$2:$N$100="YES", ROW($N$2:$N$100)-MIN(ROW($N$2:$N$100))+1), ROW(39:39))), " ")</f>
        <v xml:space="preserve"> </v>
      </c>
      <c r="U42" s="106" t="str">
        <f t="array" ref="U42">IFERROR(INDEX(G$2:G$100, SMALL(IF($N$2:$N$100="YES", ROW($N$2:$N$100)-MIN(ROW($N$2:$N$100))+1), ROW(39:39))), " ")</f>
        <v xml:space="preserve"> </v>
      </c>
      <c r="V42" s="106" t="str">
        <f t="array" ref="V42">IFERROR(INDEX(H$2:H$100, SMALL(IF($N$2:$N$100="YES", ROW($N$2:$N$100)-MIN(ROW($N$2:$N$100))+1), ROW(39:39))), " ")</f>
        <v xml:space="preserve"> </v>
      </c>
    </row>
    <row r="43" spans="2:22" ht="16.2" thickBot="1">
      <c r="B43" s="114"/>
      <c r="C43" s="115"/>
      <c r="D43" s="115"/>
      <c r="E43" s="115"/>
      <c r="F43" s="116"/>
      <c r="G43" s="117"/>
      <c r="H43" s="118"/>
      <c r="I43" s="116"/>
      <c r="J43" s="115"/>
      <c r="K43" s="114"/>
      <c r="L43" s="114"/>
      <c r="M43" s="114"/>
      <c r="N43" s="98"/>
      <c r="R43" s="106" t="str">
        <f t="array" ref="R43">IFERROR(INDEX(D$2:D$100, SMALL(IF($N$2:$N$100="YES", ROW($N$2:$N$100)-MIN(ROW($N$2:$N$100))+1), ROW(40:40))), " ")</f>
        <v xml:space="preserve"> </v>
      </c>
      <c r="S43" s="106" t="str">
        <f t="array" ref="S43">IFERROR(INDEX(E$2:E$100, SMALL(IF($N$2:$N$100="YES", ROW($N$2:$N$100)-MIN(ROW($N$2:$N$100))+1), ROW(40:40))), " ")</f>
        <v xml:space="preserve"> </v>
      </c>
      <c r="T43" s="106" t="str">
        <f t="array" ref="T43">IFERROR(INDEX(F$2:F$100, SMALL(IF($N$2:$N$100="YES", ROW($N$2:$N$100)-MIN(ROW($N$2:$N$100))+1), ROW(40:40))), " ")</f>
        <v xml:space="preserve"> </v>
      </c>
      <c r="U43" s="106" t="str">
        <f t="array" ref="U43">IFERROR(INDEX(G$2:G$100, SMALL(IF($N$2:$N$100="YES", ROW($N$2:$N$100)-MIN(ROW($N$2:$N$100))+1), ROW(40:40))), " ")</f>
        <v xml:space="preserve"> </v>
      </c>
      <c r="V43" s="106" t="str">
        <f t="array" ref="V43">IFERROR(INDEX(H$2:H$100, SMALL(IF($N$2:$N$100="YES", ROW($N$2:$N$100)-MIN(ROW($N$2:$N$100))+1), ROW(40:40))), " ")</f>
        <v xml:space="preserve"> </v>
      </c>
    </row>
    <row r="44" spans="2:22" ht="16.2" thickBot="1">
      <c r="B44" s="114"/>
      <c r="C44" s="115"/>
      <c r="D44" s="115"/>
      <c r="E44" s="115"/>
      <c r="F44" s="116"/>
      <c r="G44" s="117"/>
      <c r="H44" s="118"/>
      <c r="I44" s="116"/>
      <c r="J44" s="115"/>
      <c r="K44" s="114"/>
      <c r="L44" s="114"/>
      <c r="M44" s="114"/>
      <c r="N44" s="98"/>
      <c r="R44" s="106" t="str">
        <f t="array" ref="R44">IFERROR(INDEX(D$2:D$100, SMALL(IF($N$2:$N$100="YES", ROW($N$2:$N$100)-MIN(ROW($N$2:$N$100))+1), ROW(41:41))), " ")</f>
        <v xml:space="preserve"> </v>
      </c>
      <c r="S44" s="106" t="str">
        <f t="array" ref="S44">IFERROR(INDEX(E$2:E$100, SMALL(IF($N$2:$N$100="YES", ROW($N$2:$N$100)-MIN(ROW($N$2:$N$100))+1), ROW(41:41))), " ")</f>
        <v xml:space="preserve"> </v>
      </c>
      <c r="T44" s="106" t="str">
        <f t="array" ref="T44">IFERROR(INDEX(F$2:F$100, SMALL(IF($N$2:$N$100="YES", ROW($N$2:$N$100)-MIN(ROW($N$2:$N$100))+1), ROW(41:41))), " ")</f>
        <v xml:space="preserve"> </v>
      </c>
      <c r="U44" s="106" t="str">
        <f t="array" ref="U44">IFERROR(INDEX(G$2:G$100, SMALL(IF($N$2:$N$100="YES", ROW($N$2:$N$100)-MIN(ROW($N$2:$N$100))+1), ROW(41:41))), " ")</f>
        <v xml:space="preserve"> </v>
      </c>
      <c r="V44" s="106" t="str">
        <f t="array" ref="V44">IFERROR(INDEX(H$2:H$100, SMALL(IF($N$2:$N$100="YES", ROW($N$2:$N$100)-MIN(ROW($N$2:$N$100))+1), ROW(41:41))), " ")</f>
        <v xml:space="preserve"> </v>
      </c>
    </row>
    <row r="45" spans="2:22" ht="16.2" thickBot="1">
      <c r="B45" s="114"/>
      <c r="C45" s="115"/>
      <c r="D45" s="115"/>
      <c r="E45" s="115"/>
      <c r="F45" s="116"/>
      <c r="G45" s="117"/>
      <c r="H45" s="118"/>
      <c r="I45" s="116"/>
      <c r="J45" s="115"/>
      <c r="K45" s="114"/>
      <c r="L45" s="114"/>
      <c r="M45" s="114"/>
      <c r="N45" s="98"/>
      <c r="R45" s="106" t="str">
        <f t="array" ref="R45">IFERROR(INDEX(D$2:D$100, SMALL(IF($N$2:$N$100="YES", ROW($N$2:$N$100)-MIN(ROW($N$2:$N$100))+1), ROW(42:42))), " ")</f>
        <v xml:space="preserve"> </v>
      </c>
      <c r="S45" s="106" t="str">
        <f t="array" ref="S45">IFERROR(INDEX(E$2:E$100, SMALL(IF($N$2:$N$100="YES", ROW($N$2:$N$100)-MIN(ROW($N$2:$N$100))+1), ROW(42:42))), " ")</f>
        <v xml:space="preserve"> </v>
      </c>
      <c r="T45" s="106" t="str">
        <f t="array" ref="T45">IFERROR(INDEX(F$2:F$100, SMALL(IF($N$2:$N$100="YES", ROW($N$2:$N$100)-MIN(ROW($N$2:$N$100))+1), ROW(42:42))), " ")</f>
        <v xml:space="preserve"> </v>
      </c>
      <c r="U45" s="106" t="str">
        <f t="array" ref="U45">IFERROR(INDEX(G$2:G$100, SMALL(IF($N$2:$N$100="YES", ROW($N$2:$N$100)-MIN(ROW($N$2:$N$100))+1), ROW(42:42))), " ")</f>
        <v xml:space="preserve"> </v>
      </c>
      <c r="V45" s="106" t="str">
        <f t="array" ref="V45">IFERROR(INDEX(H$2:H$100, SMALL(IF($N$2:$N$100="YES", ROW($N$2:$N$100)-MIN(ROW($N$2:$N$100))+1), ROW(42:42))), " ")</f>
        <v xml:space="preserve"> </v>
      </c>
    </row>
    <row r="46" spans="2:22" ht="16.2" thickBot="1">
      <c r="B46" s="114"/>
      <c r="C46" s="115"/>
      <c r="D46" s="115"/>
      <c r="E46" s="115"/>
      <c r="F46" s="116"/>
      <c r="G46" s="117"/>
      <c r="H46" s="118"/>
      <c r="N46" s="98"/>
      <c r="R46" s="106" t="str">
        <f t="array" ref="R46">IFERROR(INDEX(D$2:D$100, SMALL(IF($N$2:$N$100="YES", ROW($N$2:$N$100)-MIN(ROW($N$2:$N$100))+1), ROW(43:43))), " ")</f>
        <v xml:space="preserve"> </v>
      </c>
      <c r="S46" s="106" t="str">
        <f t="array" ref="S46">IFERROR(INDEX(E$2:E$100, SMALL(IF($N$2:$N$100="YES", ROW($N$2:$N$100)-MIN(ROW($N$2:$N$100))+1), ROW(43:43))), " ")</f>
        <v xml:space="preserve"> </v>
      </c>
      <c r="T46" s="106" t="str">
        <f t="array" ref="T46">IFERROR(INDEX(F$2:F$100, SMALL(IF($N$2:$N$100="YES", ROW($N$2:$N$100)-MIN(ROW($N$2:$N$100))+1), ROW(43:43))), " ")</f>
        <v xml:space="preserve"> </v>
      </c>
      <c r="U46" s="106" t="str">
        <f t="array" ref="U46">IFERROR(INDEX(G$2:G$100, SMALL(IF($N$2:$N$100="YES", ROW($N$2:$N$100)-MIN(ROW($N$2:$N$100))+1), ROW(43:43))), " ")</f>
        <v xml:space="preserve"> </v>
      </c>
      <c r="V46" s="106" t="str">
        <f t="array" ref="V46">IFERROR(INDEX(H$2:H$100, SMALL(IF($N$2:$N$100="YES", ROW($N$2:$N$100)-MIN(ROW($N$2:$N$100))+1), ROW(43:43))), " ")</f>
        <v xml:space="preserve"> </v>
      </c>
    </row>
    <row r="47" spans="2:22" ht="16.2" thickBot="1">
      <c r="B47" s="131"/>
      <c r="C47" s="109"/>
      <c r="D47" s="109"/>
      <c r="E47" s="109"/>
      <c r="F47" s="110"/>
      <c r="G47" s="111"/>
      <c r="H47" s="112"/>
      <c r="I47" s="110"/>
      <c r="J47" s="109"/>
      <c r="K47" s="113"/>
      <c r="L47" s="113"/>
      <c r="M47" s="131"/>
      <c r="N47" s="98"/>
      <c r="R47" s="106" t="str">
        <f t="array" ref="R47">IFERROR(INDEX(D$2:D$100, SMALL(IF($N$2:$N$100="YES", ROW($N$2:$N$100)-MIN(ROW($N$2:$N$100))+1), ROW(44:44))), " ")</f>
        <v xml:space="preserve"> </v>
      </c>
      <c r="S47" s="106" t="str">
        <f t="array" ref="S47">IFERROR(INDEX(E$2:E$100, SMALL(IF($N$2:$N$100="YES", ROW($N$2:$N$100)-MIN(ROW($N$2:$N$100))+1), ROW(44:44))), " ")</f>
        <v xml:space="preserve"> </v>
      </c>
      <c r="T47" s="106" t="str">
        <f t="array" ref="T47">IFERROR(INDEX(F$2:F$100, SMALL(IF($N$2:$N$100="YES", ROW($N$2:$N$100)-MIN(ROW($N$2:$N$100))+1), ROW(44:44))), " ")</f>
        <v xml:space="preserve"> </v>
      </c>
      <c r="U47" s="106" t="str">
        <f t="array" ref="U47">IFERROR(INDEX(G$2:G$100, SMALL(IF($N$2:$N$100="YES", ROW($N$2:$N$100)-MIN(ROW($N$2:$N$100))+1), ROW(44:44))), " ")</f>
        <v xml:space="preserve"> </v>
      </c>
      <c r="V47" s="106" t="str">
        <f t="array" ref="V47">IFERROR(INDEX(H$2:H$100, SMALL(IF($N$2:$N$100="YES", ROW($N$2:$N$100)-MIN(ROW($N$2:$N$100))+1), ROW(44:44))), " ")</f>
        <v xml:space="preserve"> </v>
      </c>
    </row>
    <row r="48" spans="2:22" ht="16.2" thickBot="1">
      <c r="B48" s="114"/>
      <c r="C48" s="115"/>
      <c r="D48" s="115"/>
      <c r="E48" s="115"/>
      <c r="F48" s="116"/>
      <c r="G48" s="117"/>
      <c r="H48" s="118"/>
      <c r="I48" s="116"/>
      <c r="J48" s="115"/>
      <c r="K48" s="119"/>
      <c r="L48" s="119"/>
      <c r="N48" s="98"/>
      <c r="R48" s="106" t="str">
        <f t="array" ref="R48">IFERROR(INDEX(D$2:D$100, SMALL(IF($N$2:$N$100="YES", ROW($N$2:$N$100)-MIN(ROW($N$2:$N$100))+1), ROW(45:45))), " ")</f>
        <v xml:space="preserve"> </v>
      </c>
      <c r="S48" s="106" t="str">
        <f t="array" ref="S48">IFERROR(INDEX(E$2:E$100, SMALL(IF($N$2:$N$100="YES", ROW($N$2:$N$100)-MIN(ROW($N$2:$N$100))+1), ROW(45:45))), " ")</f>
        <v xml:space="preserve"> </v>
      </c>
      <c r="T48" s="106" t="str">
        <f t="array" ref="T48">IFERROR(INDEX(F$2:F$100, SMALL(IF($N$2:$N$100="YES", ROW($N$2:$N$100)-MIN(ROW($N$2:$N$100))+1), ROW(45:45))), " ")</f>
        <v xml:space="preserve"> </v>
      </c>
      <c r="U48" s="106" t="str">
        <f t="array" ref="U48">IFERROR(INDEX(G$2:G$100, SMALL(IF($N$2:$N$100="YES", ROW($N$2:$N$100)-MIN(ROW($N$2:$N$100))+1), ROW(45:45))), " ")</f>
        <v xml:space="preserve"> </v>
      </c>
      <c r="V48" s="106" t="str">
        <f t="array" ref="V48">IFERROR(INDEX(H$2:H$100, SMALL(IF($N$2:$N$100="YES", ROW($N$2:$N$100)-MIN(ROW($N$2:$N$100))+1), ROW(45:45))), " ")</f>
        <v xml:space="preserve"> </v>
      </c>
    </row>
    <row r="49" spans="2:22" ht="16.2" thickBot="1">
      <c r="B49" s="114"/>
      <c r="C49" s="115"/>
      <c r="D49" s="115"/>
      <c r="E49" s="115"/>
      <c r="F49" s="116"/>
      <c r="G49" s="117"/>
      <c r="H49" s="118"/>
      <c r="I49" s="116"/>
      <c r="J49" s="115"/>
      <c r="K49" s="119"/>
      <c r="L49" s="119"/>
      <c r="N49" s="98"/>
      <c r="R49" s="106" t="str">
        <f t="array" ref="R49">IFERROR(INDEX(D$2:D$100, SMALL(IF($N$2:$N$100="YES", ROW($N$2:$N$100)-MIN(ROW($N$2:$N$100))+1), ROW(46:46))), " ")</f>
        <v xml:space="preserve"> </v>
      </c>
      <c r="S49" s="106" t="str">
        <f t="array" ref="S49">IFERROR(INDEX(E$2:E$100, SMALL(IF($N$2:$N$100="YES", ROW($N$2:$N$100)-MIN(ROW($N$2:$N$100))+1), ROW(46:46))), " ")</f>
        <v xml:space="preserve"> </v>
      </c>
      <c r="T49" s="106" t="str">
        <f t="array" ref="T49">IFERROR(INDEX(F$2:F$100, SMALL(IF($N$2:$N$100="YES", ROW($N$2:$N$100)-MIN(ROW($N$2:$N$100))+1), ROW(46:46))), " ")</f>
        <v xml:space="preserve"> </v>
      </c>
      <c r="U49" s="106" t="str">
        <f t="array" ref="U49">IFERROR(INDEX(G$2:G$100, SMALL(IF($N$2:$N$100="YES", ROW($N$2:$N$100)-MIN(ROW($N$2:$N$100))+1), ROW(46:46))), " ")</f>
        <v xml:space="preserve"> </v>
      </c>
      <c r="V49" s="106" t="str">
        <f t="array" ref="V49">IFERROR(INDEX(H$2:H$100, SMALL(IF($N$2:$N$100="YES", ROW($N$2:$N$100)-MIN(ROW($N$2:$N$100))+1), ROW(46:46))), " ")</f>
        <v xml:space="preserve"> </v>
      </c>
    </row>
    <row r="50" spans="2:22" ht="16.2" thickBot="1">
      <c r="B50" s="132"/>
      <c r="C50" s="99"/>
      <c r="D50" s="99"/>
      <c r="E50" s="99"/>
      <c r="F50" s="99"/>
      <c r="G50" s="100"/>
      <c r="H50" s="101"/>
      <c r="I50" s="102"/>
      <c r="J50" s="102"/>
      <c r="K50" s="102"/>
      <c r="L50" s="102"/>
      <c r="M50" s="102"/>
      <c r="N50" s="103"/>
      <c r="R50" s="106" t="str">
        <f t="array" ref="R50">IFERROR(INDEX(D$2:D$100, SMALL(IF($N$2:$N$100="YES", ROW($N$2:$N$100)-MIN(ROW($N$2:$N$100))+1), ROW(47:47))), " ")</f>
        <v xml:space="preserve"> </v>
      </c>
      <c r="S50" s="106" t="str">
        <f t="array" ref="S50">IFERROR(INDEX(E$2:E$100, SMALL(IF($N$2:$N$100="YES", ROW($N$2:$N$100)-MIN(ROW($N$2:$N$100))+1), ROW(47:47))), " ")</f>
        <v xml:space="preserve"> </v>
      </c>
      <c r="T50" s="106" t="str">
        <f t="array" ref="T50">IFERROR(INDEX(F$2:F$100, SMALL(IF($N$2:$N$100="YES", ROW($N$2:$N$100)-MIN(ROW($N$2:$N$100))+1), ROW(47:47))), " ")</f>
        <v xml:space="preserve"> </v>
      </c>
      <c r="U50" s="106" t="str">
        <f t="array" ref="U50">IFERROR(INDEX(G$2:G$100, SMALL(IF($N$2:$N$100="YES", ROW($N$2:$N$100)-MIN(ROW($N$2:$N$100))+1), ROW(47:47))), " ")</f>
        <v xml:space="preserve"> </v>
      </c>
      <c r="V50" s="106" t="str">
        <f t="array" ref="V50">IFERROR(INDEX(H$2:H$100, SMALL(IF($N$2:$N$100="YES", ROW($N$2:$N$100)-MIN(ROW($N$2:$N$100))+1), ROW(47:47))), " ")</f>
        <v xml:space="preserve"> </v>
      </c>
    </row>
  </sheetData>
  <protectedRanges>
    <protectedRange sqref="B2:N50" name="INPUT LIABILITIES_1_3"/>
  </protectedRanges>
  <mergeCells count="1">
    <mergeCell ref="B2:N2"/>
  </mergeCells>
  <conditionalFormatting sqref="N1 N3:N50">
    <cfRule type="cellIs" dxfId="74" priority="1" operator="equal">
      <formula>"YES"</formula>
    </cfRule>
  </conditionalFormatting>
  <dataValidations count="1">
    <dataValidation type="list" allowBlank="1" showInputMessage="1" showErrorMessage="1" sqref="N4:N50" xr:uid="{00000000-0002-0000-0900-000000000000}">
      <formula1>$P$1:$Q$1</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7" r:id="rId3" name="Button 3">
              <controlPr defaultSize="0" print="0" autoFill="0" autoPict="0" macro="[0]!Paste2021LPC">
                <anchor moveWithCells="1" sizeWithCells="1">
                  <from>
                    <xdr:col>1</xdr:col>
                    <xdr:colOff>45720</xdr:colOff>
                    <xdr:row>1</xdr:row>
                    <xdr:rowOff>45720</xdr:rowOff>
                  </from>
                  <to>
                    <xdr:col>13</xdr:col>
                    <xdr:colOff>571500</xdr:colOff>
                    <xdr:row>1</xdr:row>
                    <xdr:rowOff>617220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dimension ref="A1:V52"/>
  <sheetViews>
    <sheetView topLeftCell="B2" zoomScale="80" zoomScaleNormal="80" workbookViewId="0">
      <selection activeCell="N5" sqref="N5"/>
    </sheetView>
  </sheetViews>
  <sheetFormatPr defaultRowHeight="14.4"/>
  <cols>
    <col min="1" max="1" width="3.44140625" hidden="1" customWidth="1"/>
    <col min="2" max="2" width="3.44140625" bestFit="1" customWidth="1"/>
    <col min="3" max="3" width="16.5546875" bestFit="1" customWidth="1"/>
    <col min="4" max="4" width="27" bestFit="1" customWidth="1"/>
    <col min="5" max="5" width="10.109375" hidden="1" customWidth="1"/>
    <col min="6" max="6" width="20.33203125" bestFit="1" customWidth="1"/>
    <col min="7" max="7" width="12.44140625" bestFit="1" customWidth="1"/>
    <col min="8" max="8" width="12" bestFit="1" customWidth="1"/>
    <col min="9" max="9" width="8.5546875" hidden="1" customWidth="1"/>
    <col min="10" max="10" width="21.5546875" hidden="1" customWidth="1"/>
    <col min="11" max="12" width="0" hidden="1" customWidth="1"/>
    <col min="14" max="14" width="10.5546875" bestFit="1" customWidth="1"/>
    <col min="18" max="18" width="32.109375" bestFit="1" customWidth="1"/>
    <col min="19" max="19" width="8.6640625" hidden="1" customWidth="1"/>
    <col min="20" max="20" width="7.33203125" hidden="1" customWidth="1"/>
    <col min="21" max="21" width="12.44140625" bestFit="1" customWidth="1"/>
    <col min="22" max="22" width="10.33203125" bestFit="1" customWidth="1"/>
  </cols>
  <sheetData>
    <row r="1" spans="1:22" hidden="1">
      <c r="O1" t="s">
        <v>174</v>
      </c>
      <c r="P1" t="s">
        <v>175</v>
      </c>
    </row>
    <row r="2" spans="1:22" ht="52.5" customHeight="1" thickBot="1">
      <c r="B2" s="313"/>
      <c r="C2" s="313"/>
      <c r="D2" s="313"/>
      <c r="E2" s="313"/>
      <c r="F2" s="313"/>
      <c r="G2" s="313"/>
      <c r="H2" s="313"/>
      <c r="I2" s="313"/>
      <c r="J2" s="313"/>
      <c r="K2" s="313"/>
      <c r="L2" s="313"/>
      <c r="M2" s="313"/>
      <c r="N2" s="313"/>
    </row>
    <row r="3" spans="1:22" ht="27.6" thickBot="1">
      <c r="B3" s="130" t="s">
        <v>0</v>
      </c>
      <c r="C3" s="130" t="s">
        <v>173</v>
      </c>
      <c r="D3" s="130" t="s">
        <v>162</v>
      </c>
      <c r="E3" s="130" t="s">
        <v>163</v>
      </c>
      <c r="F3" s="130" t="s">
        <v>164</v>
      </c>
      <c r="G3" s="130" t="s">
        <v>132</v>
      </c>
      <c r="H3" s="130" t="s">
        <v>165</v>
      </c>
      <c r="I3" s="130" t="s">
        <v>166</v>
      </c>
      <c r="J3" s="130" t="s">
        <v>167</v>
      </c>
      <c r="K3" s="130" t="s">
        <v>168</v>
      </c>
      <c r="L3" s="130" t="s">
        <v>169</v>
      </c>
      <c r="M3" s="130" t="s">
        <v>172</v>
      </c>
      <c r="N3" s="97" t="s">
        <v>133</v>
      </c>
      <c r="R3" s="104" t="s">
        <v>134</v>
      </c>
      <c r="S3" s="105"/>
      <c r="T3" s="105"/>
      <c r="U3" s="104" t="s">
        <v>132</v>
      </c>
      <c r="V3" s="104" t="s">
        <v>135</v>
      </c>
    </row>
    <row r="4" spans="1:22" ht="27" thickBot="1">
      <c r="A4">
        <v>1</v>
      </c>
      <c r="B4" s="114">
        <v>1</v>
      </c>
      <c r="C4" s="115" t="s">
        <v>176</v>
      </c>
      <c r="D4" s="148" t="s">
        <v>177</v>
      </c>
      <c r="E4" s="148" t="s">
        <v>178</v>
      </c>
      <c r="F4" s="150">
        <v>501212000000</v>
      </c>
      <c r="G4" s="117">
        <v>325491</v>
      </c>
      <c r="H4" s="118">
        <v>2230</v>
      </c>
      <c r="I4" s="116"/>
      <c r="J4" s="115"/>
      <c r="K4" s="114"/>
      <c r="L4" s="119"/>
      <c r="M4" s="114"/>
      <c r="N4" s="98" t="s">
        <v>174</v>
      </c>
      <c r="R4" t="str">
        <f t="array" ref="R4">IFERROR(INDEX(D$2:D$100, SMALL(IF($N$2:$N$100="YES", ROW($N$2:$N$100)-MIN(ROW($N$2:$N$100))+1), ROW(1:1))), " ")</f>
        <v>SUN WEST MORTGAGE CO I</v>
      </c>
      <c r="S4" t="str">
        <f t="array" ref="S4">IFERROR(INDEX(E$2:E$100, SMALL(IF($N$2:$N$100="YES", ROW($N$2:$N$100)-MIN(ROW($N$2:$N$100))+1), ROW(1:1))), " ")</f>
        <v>Mortgage Loan</v>
      </c>
      <c r="T4">
        <f t="array" ref="T4">IFERROR(INDEX(F$2:F$100, SMALL(IF($N$2:$N$100="YES", ROW($N$2:$N$100)-MIN(ROW($N$2:$N$100))+1), ROW(1:1))), " ")</f>
        <v>501212000000</v>
      </c>
      <c r="U4">
        <f t="array" ref="U4">IFERROR(INDEX(G$2:G$100, SMALL(IF($N$2:$N$100="YES", ROW($N$2:$N$100)-MIN(ROW($N$2:$N$100))+1), ROW(1:1))), " ")</f>
        <v>325491</v>
      </c>
      <c r="V4">
        <f t="array" ref="V4">IFERROR(INDEX(H$2:H$100, SMALL(IF($N$2:$N$100="YES", ROW($N$2:$N$100)-MIN(ROW($N$2:$N$100))+1), ROW(1:1))), " ")</f>
        <v>2230</v>
      </c>
    </row>
    <row r="5" spans="1:22" ht="16.2" thickBot="1">
      <c r="A5">
        <v>2</v>
      </c>
      <c r="B5" s="114">
        <v>2</v>
      </c>
      <c r="C5" s="115" t="s">
        <v>179</v>
      </c>
      <c r="D5" s="115" t="s">
        <v>180</v>
      </c>
      <c r="E5" s="149" t="s">
        <v>147</v>
      </c>
      <c r="F5" s="117" t="s">
        <v>181</v>
      </c>
      <c r="G5" s="117">
        <v>222785</v>
      </c>
      <c r="H5" s="118">
        <v>2227.85</v>
      </c>
      <c r="I5" s="116"/>
      <c r="J5" s="115"/>
      <c r="K5" s="114"/>
      <c r="L5" s="119"/>
      <c r="M5" s="114"/>
      <c r="N5" s="98" t="s">
        <v>174</v>
      </c>
      <c r="R5" t="str">
        <f t="array" ref="R5">IFERROR(INDEX(D$2:D$100, SMALL(IF($N$2:$N$100="YES", ROW($N$2:$N$100)-MIN(ROW($N$2:$N$100))+1), ROW(2:2))), " ")</f>
        <v>MOHELA/DEPT OF ED</v>
      </c>
      <c r="S5" t="str">
        <f t="array" ref="S5">IFERROR(INDEX(E$2:E$100, SMALL(IF($N$2:$N$100="YES", ROW($N$2:$N$100)-MIN(ROW($N$2:$N$100))+1), ROW(2:2))), " ")</f>
        <v>Installment</v>
      </c>
      <c r="T5" t="str">
        <f t="array" ref="T5">IFERROR(INDEX(F$2:F$100, SMALL(IF($N$2:$N$100="YES", ROW($N$2:$N$100)-MIN(ROW($N$2:$N$100))+1), ROW(2:2))), " ")</f>
        <v>6772516997KM00002</v>
      </c>
      <c r="U5">
        <f t="array" ref="U5">IFERROR(INDEX(G$2:G$100, SMALL(IF($N$2:$N$100="YES", ROW($N$2:$N$100)-MIN(ROW($N$2:$N$100))+1), ROW(2:2))), " ")</f>
        <v>222785</v>
      </c>
      <c r="V5">
        <f t="array" ref="V5">IFERROR(INDEX(H$2:H$100, SMALL(IF($N$2:$N$100="YES", ROW($N$2:$N$100)-MIN(ROW($N$2:$N$100))+1), ROW(2:2))), " ")</f>
        <v>2227.85</v>
      </c>
    </row>
    <row r="6" spans="1:22" ht="16.5" customHeight="1" thickBot="1">
      <c r="A6">
        <v>3</v>
      </c>
      <c r="B6" s="114">
        <v>3</v>
      </c>
      <c r="C6" s="115" t="s">
        <v>176</v>
      </c>
      <c r="D6" s="148" t="s">
        <v>182</v>
      </c>
      <c r="E6" s="148" t="s">
        <v>147</v>
      </c>
      <c r="F6" s="150">
        <v>20240600000000</v>
      </c>
      <c r="G6" s="117">
        <v>134045</v>
      </c>
      <c r="H6" s="118">
        <v>2309</v>
      </c>
      <c r="I6" s="116"/>
      <c r="J6" s="115"/>
      <c r="K6" s="114"/>
      <c r="L6" s="119"/>
      <c r="M6" s="114"/>
      <c r="N6" s="98" t="s">
        <v>175</v>
      </c>
      <c r="R6" t="str">
        <f t="array" ref="R6">IFERROR(INDEX(D$2:D$100, SMALL(IF($N$2:$N$100="YES", ROW($N$2:$N$100)-MIN(ROW($N$2:$N$100))+1), ROW(3:3))), " ")</f>
        <v xml:space="preserve"> </v>
      </c>
      <c r="S6" t="str">
        <f t="array" ref="S6">IFERROR(INDEX(E$2:E$100, SMALL(IF($N$2:$N$100="YES", ROW($N$2:$N$100)-MIN(ROW($N$2:$N$100))+1), ROW(3:3))), " ")</f>
        <v xml:space="preserve"> </v>
      </c>
      <c r="T6" t="str">
        <f t="array" ref="T6">IFERROR(INDEX(F$2:F$100, SMALL(IF($N$2:$N$100="YES", ROW($N$2:$N$100)-MIN(ROW($N$2:$N$100))+1), ROW(3:3))), " ")</f>
        <v xml:space="preserve"> </v>
      </c>
      <c r="U6" t="str">
        <f t="array" ref="U6">IFERROR(INDEX(G$2:G$100, SMALL(IF($N$2:$N$100="YES", ROW($N$2:$N$100)-MIN(ROW($N$2:$N$100))+1), ROW(3:3))), " ")</f>
        <v xml:space="preserve"> </v>
      </c>
      <c r="V6" t="str">
        <f t="array" ref="V6">IFERROR(INDEX(H$2:H$100, SMALL(IF($N$2:$N$100="YES", ROW($N$2:$N$100)-MIN(ROW($N$2:$N$100))+1), ROW(3:3))), " ")</f>
        <v xml:space="preserve"> </v>
      </c>
    </row>
    <row r="7" spans="1:22" ht="16.5" customHeight="1" thickBot="1">
      <c r="A7">
        <v>4</v>
      </c>
      <c r="B7" s="114">
        <v>4</v>
      </c>
      <c r="C7" s="115" t="s">
        <v>176</v>
      </c>
      <c r="D7" s="115" t="s">
        <v>183</v>
      </c>
      <c r="E7" s="149" t="s">
        <v>147</v>
      </c>
      <c r="F7" s="117">
        <v>480317200</v>
      </c>
      <c r="G7" s="117">
        <v>23691</v>
      </c>
      <c r="H7" s="118">
        <v>551</v>
      </c>
      <c r="I7" s="116"/>
      <c r="J7" s="115"/>
      <c r="K7" s="114"/>
      <c r="L7" s="119"/>
      <c r="M7" s="114"/>
      <c r="N7" s="98" t="s">
        <v>175</v>
      </c>
      <c r="R7" t="str">
        <f t="array" ref="R7">IFERROR(INDEX(D$2:D$100, SMALL(IF($N$2:$N$100="YES", ROW($N$2:$N$100)-MIN(ROW($N$2:$N$100))+1), ROW(4:4))), " ")</f>
        <v xml:space="preserve"> </v>
      </c>
      <c r="S7" t="str">
        <f t="array" ref="S7">IFERROR(INDEX(E$2:E$100, SMALL(IF($N$2:$N$100="YES", ROW($N$2:$N$100)-MIN(ROW($N$2:$N$100))+1), ROW(4:4))), " ")</f>
        <v xml:space="preserve"> </v>
      </c>
      <c r="T7" t="str">
        <f t="array" ref="T7">IFERROR(INDEX(F$2:F$100, SMALL(IF($N$2:$N$100="YES", ROW($N$2:$N$100)-MIN(ROW($N$2:$N$100))+1), ROW(4:4))), " ")</f>
        <v xml:space="preserve"> </v>
      </c>
      <c r="U7" t="str">
        <f t="array" ref="U7">IFERROR(INDEX(G$2:G$100, SMALL(IF($N$2:$N$100="YES", ROW($N$2:$N$100)-MIN(ROW($N$2:$N$100))+1), ROW(4:4))), " ")</f>
        <v xml:space="preserve"> </v>
      </c>
      <c r="V7" t="str">
        <f t="array" ref="V7">IFERROR(INDEX(H$2:H$100, SMALL(IF($N$2:$N$100="YES", ROW($N$2:$N$100)-MIN(ROW($N$2:$N$100))+1), ROW(4:4))), " ")</f>
        <v xml:space="preserve"> </v>
      </c>
    </row>
    <row r="8" spans="1:22" ht="16.5" customHeight="1" thickBot="1">
      <c r="A8">
        <v>5</v>
      </c>
      <c r="B8" s="114">
        <v>5</v>
      </c>
      <c r="C8" s="115" t="s">
        <v>176</v>
      </c>
      <c r="D8" s="115" t="s">
        <v>184</v>
      </c>
      <c r="E8" s="148" t="s">
        <v>148</v>
      </c>
      <c r="F8" s="150">
        <v>601101000000</v>
      </c>
      <c r="G8" s="117">
        <v>19758</v>
      </c>
      <c r="H8" s="118">
        <v>790</v>
      </c>
      <c r="I8" s="116"/>
      <c r="J8" s="115"/>
      <c r="K8" s="114"/>
      <c r="L8" s="119"/>
      <c r="M8" s="114"/>
      <c r="N8" s="98" t="s">
        <v>175</v>
      </c>
      <c r="R8" t="str">
        <f t="array" ref="R8">IFERROR(INDEX(D$2:D$100, SMALL(IF($N$2:$N$100="YES", ROW($N$2:$N$100)-MIN(ROW($N$2:$N$100))+1), ROW(5:5))), " ")</f>
        <v xml:space="preserve"> </v>
      </c>
      <c r="S8" t="str">
        <f t="array" ref="S8">IFERROR(INDEX(E$2:E$100, SMALL(IF($N$2:$N$100="YES", ROW($N$2:$N$100)-MIN(ROW($N$2:$N$100))+1), ROW(5:5))), " ")</f>
        <v xml:space="preserve"> </v>
      </c>
      <c r="T8" t="str">
        <f t="array" ref="T8">IFERROR(INDEX(F$2:F$100, SMALL(IF($N$2:$N$100="YES", ROW($N$2:$N$100)-MIN(ROW($N$2:$N$100))+1), ROW(5:5))), " ")</f>
        <v xml:space="preserve"> </v>
      </c>
      <c r="U8" t="str">
        <f t="array" ref="U8">IFERROR(INDEX(G$2:G$100, SMALL(IF($N$2:$N$100="YES", ROW($N$2:$N$100)-MIN(ROW($N$2:$N$100))+1), ROW(5:5))), " ")</f>
        <v xml:space="preserve"> </v>
      </c>
      <c r="V8" t="str">
        <f t="array" ref="V8">IFERROR(INDEX(H$2:H$100, SMALL(IF($N$2:$N$100="YES", ROW($N$2:$N$100)-MIN(ROW($N$2:$N$100))+1), ROW(5:5))), " ")</f>
        <v xml:space="preserve"> </v>
      </c>
    </row>
    <row r="9" spans="1:22" ht="16.5" customHeight="1" thickBot="1">
      <c r="A9">
        <v>6</v>
      </c>
      <c r="B9" s="114">
        <v>6</v>
      </c>
      <c r="C9" s="115" t="s">
        <v>179</v>
      </c>
      <c r="D9" s="148" t="s">
        <v>185</v>
      </c>
      <c r="E9" s="149" t="s">
        <v>161</v>
      </c>
      <c r="F9" s="117">
        <v>112821517</v>
      </c>
      <c r="G9" s="117">
        <v>15885</v>
      </c>
      <c r="H9" s="118">
        <v>0</v>
      </c>
      <c r="I9" s="116"/>
      <c r="J9" s="115"/>
      <c r="K9" s="114"/>
      <c r="L9" s="119"/>
      <c r="M9" s="114"/>
      <c r="N9" s="98" t="s">
        <v>175</v>
      </c>
      <c r="R9" t="str">
        <f t="array" ref="R9">IFERROR(INDEX(D$2:D$100, SMALL(IF($N$2:$N$100="YES", ROW($N$2:$N$100)-MIN(ROW($N$2:$N$100))+1), ROW(6:6))), " ")</f>
        <v xml:space="preserve"> </v>
      </c>
      <c r="S9" t="str">
        <f t="array" ref="S9">IFERROR(INDEX(E$2:E$100, SMALL(IF($N$2:$N$100="YES", ROW($N$2:$N$100)-MIN(ROW($N$2:$N$100))+1), ROW(6:6))), " ")</f>
        <v xml:space="preserve"> </v>
      </c>
      <c r="T9" t="str">
        <f t="array" ref="T9">IFERROR(INDEX(F$2:F$100, SMALL(IF($N$2:$N$100="YES", ROW($N$2:$N$100)-MIN(ROW($N$2:$N$100))+1), ROW(6:6))), " ")</f>
        <v xml:space="preserve"> </v>
      </c>
      <c r="U9" t="str">
        <f t="array" ref="U9">IFERROR(INDEX(G$2:G$100, SMALL(IF($N$2:$N$100="YES", ROW($N$2:$N$100)-MIN(ROW($N$2:$N$100))+1), ROW(6:6))), " ")</f>
        <v xml:space="preserve"> </v>
      </c>
      <c r="V9" t="str">
        <f t="array" ref="V9">IFERROR(INDEX(H$2:H$100, SMALL(IF($N$2:$N$100="YES", ROW($N$2:$N$100)-MIN(ROW($N$2:$N$100))+1), ROW(6:6))), " ")</f>
        <v xml:space="preserve"> </v>
      </c>
    </row>
    <row r="10" spans="1:22" ht="16.5" customHeight="1" thickBot="1">
      <c r="A10">
        <v>7</v>
      </c>
      <c r="B10" s="114">
        <v>7</v>
      </c>
      <c r="C10" s="115" t="s">
        <v>176</v>
      </c>
      <c r="D10" s="148" t="s">
        <v>186</v>
      </c>
      <c r="E10" s="148" t="s">
        <v>161</v>
      </c>
      <c r="F10" s="150">
        <v>3534180000000000</v>
      </c>
      <c r="G10" s="117">
        <v>15018</v>
      </c>
      <c r="H10" s="118">
        <v>0</v>
      </c>
      <c r="I10" s="116"/>
      <c r="J10" s="115"/>
      <c r="K10" s="114"/>
      <c r="L10" s="119"/>
      <c r="M10" s="114"/>
      <c r="N10" s="98" t="s">
        <v>175</v>
      </c>
      <c r="R10" t="str">
        <f t="array" ref="R10">IFERROR(INDEX(D$2:D$100, SMALL(IF($N$2:$N$100="YES", ROW($N$2:$N$100)-MIN(ROW($N$2:$N$100))+1), ROW(7:7))), " ")</f>
        <v xml:space="preserve"> </v>
      </c>
      <c r="S10" t="str">
        <f t="array" ref="S10">IFERROR(INDEX(E$2:E$100, SMALL(IF($N$2:$N$100="YES", ROW($N$2:$N$100)-MIN(ROW($N$2:$N$100))+1), ROW(7:7))), " ")</f>
        <v xml:space="preserve"> </v>
      </c>
      <c r="T10" t="str">
        <f t="array" ref="T10">IFERROR(INDEX(F$2:F$100, SMALL(IF($N$2:$N$100="YES", ROW($N$2:$N$100)-MIN(ROW($N$2:$N$100))+1), ROW(7:7))), " ")</f>
        <v xml:space="preserve"> </v>
      </c>
      <c r="U10" t="str">
        <f t="array" ref="U10">IFERROR(INDEX(G$2:G$100, SMALL(IF($N$2:$N$100="YES", ROW($N$2:$N$100)-MIN(ROW($N$2:$N$100))+1), ROW(7:7))), " ")</f>
        <v xml:space="preserve"> </v>
      </c>
      <c r="V10" t="str">
        <f t="array" ref="V10">IFERROR(INDEX(H$2:H$100, SMALL(IF($N$2:$N$100="YES", ROW($N$2:$N$100)-MIN(ROW($N$2:$N$100))+1), ROW(7:7))), " ")</f>
        <v xml:space="preserve"> </v>
      </c>
    </row>
    <row r="11" spans="1:22" ht="16.5" customHeight="1" thickBot="1">
      <c r="A11">
        <v>8</v>
      </c>
      <c r="B11" s="114">
        <v>8</v>
      </c>
      <c r="C11" s="115" t="s">
        <v>176</v>
      </c>
      <c r="D11" s="115" t="s">
        <v>170</v>
      </c>
      <c r="E11" s="148" t="s">
        <v>148</v>
      </c>
      <c r="F11" s="150">
        <v>426684000000</v>
      </c>
      <c r="G11" s="117">
        <v>11451</v>
      </c>
      <c r="H11" s="118">
        <v>420</v>
      </c>
      <c r="I11" s="116"/>
      <c r="J11" s="115"/>
      <c r="K11" s="114"/>
      <c r="L11" s="119"/>
      <c r="M11" s="114"/>
      <c r="N11" s="98" t="s">
        <v>175</v>
      </c>
      <c r="R11" t="str">
        <f t="array" ref="R11">IFERROR(INDEX(D$2:D$100, SMALL(IF($N$2:$N$100="YES", ROW($N$2:$N$100)-MIN(ROW($N$2:$N$100))+1), ROW(8:8))), " ")</f>
        <v xml:space="preserve"> </v>
      </c>
      <c r="S11" t="str">
        <f t="array" ref="S11">IFERROR(INDEX(E$2:E$100, SMALL(IF($N$2:$N$100="YES", ROW($N$2:$N$100)-MIN(ROW($N$2:$N$100))+1), ROW(8:8))), " ")</f>
        <v xml:space="preserve"> </v>
      </c>
      <c r="T11" t="str">
        <f t="array" ref="T11">IFERROR(INDEX(F$2:F$100, SMALL(IF($N$2:$N$100="YES", ROW($N$2:$N$100)-MIN(ROW($N$2:$N$100))+1), ROW(8:8))), " ")</f>
        <v xml:space="preserve"> </v>
      </c>
      <c r="U11" t="str">
        <f t="array" ref="U11">IFERROR(INDEX(G$2:G$100, SMALL(IF($N$2:$N$100="YES", ROW($N$2:$N$100)-MIN(ROW($N$2:$N$100))+1), ROW(8:8))), " ")</f>
        <v xml:space="preserve"> </v>
      </c>
      <c r="V11" t="str">
        <f t="array" ref="V11">IFERROR(INDEX(H$2:H$100, SMALL(IF($N$2:$N$100="YES", ROW($N$2:$N$100)-MIN(ROW($N$2:$N$100))+1), ROW(8:8))), " ")</f>
        <v xml:space="preserve"> </v>
      </c>
    </row>
    <row r="12" spans="1:22" ht="16.5" customHeight="1" thickBot="1">
      <c r="A12">
        <v>9</v>
      </c>
      <c r="B12" s="114">
        <v>9</v>
      </c>
      <c r="C12" s="115" t="s">
        <v>176</v>
      </c>
      <c r="D12" s="148" t="s">
        <v>187</v>
      </c>
      <c r="E12" s="148" t="s">
        <v>147</v>
      </c>
      <c r="F12" s="150">
        <v>20210500000000</v>
      </c>
      <c r="G12" s="117">
        <v>10675</v>
      </c>
      <c r="H12" s="118">
        <v>354</v>
      </c>
      <c r="I12" s="116"/>
      <c r="J12" s="115"/>
      <c r="K12" s="114"/>
      <c r="L12" s="119"/>
      <c r="M12" s="114"/>
      <c r="N12" s="98" t="s">
        <v>175</v>
      </c>
      <c r="R12" t="str">
        <f t="array" ref="R12">IFERROR(INDEX(D$2:D$100, SMALL(IF($N$2:$N$100="YES", ROW($N$2:$N$100)-MIN(ROW($N$2:$N$100))+1), ROW(9:9))), " ")</f>
        <v xml:space="preserve"> </v>
      </c>
      <c r="S12" t="str">
        <f t="array" ref="S12">IFERROR(INDEX(E$2:E$100, SMALL(IF($N$2:$N$100="YES", ROW($N$2:$N$100)-MIN(ROW($N$2:$N$100))+1), ROW(9:9))), " ")</f>
        <v xml:space="preserve"> </v>
      </c>
      <c r="T12" t="str">
        <f t="array" ref="T12">IFERROR(INDEX(F$2:F$100, SMALL(IF($N$2:$N$100="YES", ROW($N$2:$N$100)-MIN(ROW($N$2:$N$100))+1), ROW(9:9))), " ")</f>
        <v xml:space="preserve"> </v>
      </c>
      <c r="U12" t="str">
        <f t="array" ref="U12">IFERROR(INDEX(G$2:G$100, SMALL(IF($N$2:$N$100="YES", ROW($N$2:$N$100)-MIN(ROW($N$2:$N$100))+1), ROW(9:9))), " ")</f>
        <v xml:space="preserve"> </v>
      </c>
      <c r="V12" t="str">
        <f t="array" ref="V12">IFERROR(INDEX(H$2:H$100, SMALL(IF($N$2:$N$100="YES", ROW($N$2:$N$100)-MIN(ROW($N$2:$N$100))+1), ROW(9:9))), " ")</f>
        <v xml:space="preserve"> </v>
      </c>
    </row>
    <row r="13" spans="1:22" ht="16.5" customHeight="1" thickBot="1">
      <c r="A13">
        <v>10</v>
      </c>
      <c r="B13" s="114">
        <v>10</v>
      </c>
      <c r="C13" s="115" t="s">
        <v>179</v>
      </c>
      <c r="D13" s="148" t="s">
        <v>184</v>
      </c>
      <c r="E13" s="148" t="s">
        <v>148</v>
      </c>
      <c r="F13" s="150">
        <v>601100000000</v>
      </c>
      <c r="G13" s="117">
        <v>7006</v>
      </c>
      <c r="H13" s="118">
        <v>280</v>
      </c>
      <c r="I13" s="116"/>
      <c r="J13" s="115"/>
      <c r="K13" s="114"/>
      <c r="L13" s="119"/>
      <c r="M13" s="114"/>
      <c r="N13" s="98" t="s">
        <v>175</v>
      </c>
      <c r="R13" t="str">
        <f t="array" ref="R13">IFERROR(INDEX(D$2:D$100, SMALL(IF($N$2:$N$100="YES", ROW($N$2:$N$100)-MIN(ROW($N$2:$N$100))+1), ROW(10:10))), " ")</f>
        <v xml:space="preserve"> </v>
      </c>
      <c r="S13" t="str">
        <f t="array" ref="S13">IFERROR(INDEX(E$2:E$100, SMALL(IF($N$2:$N$100="YES", ROW($N$2:$N$100)-MIN(ROW($N$2:$N$100))+1), ROW(10:10))), " ")</f>
        <v xml:space="preserve"> </v>
      </c>
      <c r="T13" t="str">
        <f t="array" ref="T13">IFERROR(INDEX(F$2:F$100, SMALL(IF($N$2:$N$100="YES", ROW($N$2:$N$100)-MIN(ROW($N$2:$N$100))+1), ROW(10:10))), " ")</f>
        <v xml:space="preserve"> </v>
      </c>
      <c r="U13" t="str">
        <f t="array" ref="U13">IFERROR(INDEX(G$2:G$100, SMALL(IF($N$2:$N$100="YES", ROW($N$2:$N$100)-MIN(ROW($N$2:$N$100))+1), ROW(10:10))), " ")</f>
        <v xml:space="preserve"> </v>
      </c>
      <c r="V13" t="str">
        <f t="array" ref="V13">IFERROR(INDEX(H$2:H$100, SMALL(IF($N$2:$N$100="YES", ROW($N$2:$N$100)-MIN(ROW($N$2:$N$100))+1), ROW(10:10))), " ")</f>
        <v xml:space="preserve"> </v>
      </c>
    </row>
    <row r="14" spans="1:22" ht="16.5" customHeight="1" thickBot="1">
      <c r="A14">
        <v>11</v>
      </c>
      <c r="B14" s="114">
        <v>11</v>
      </c>
      <c r="C14" s="115" t="s">
        <v>179</v>
      </c>
      <c r="D14" s="148" t="s">
        <v>188</v>
      </c>
      <c r="E14" s="149" t="s">
        <v>147</v>
      </c>
      <c r="F14" s="117">
        <v>1118</v>
      </c>
      <c r="G14" s="117">
        <v>6589</v>
      </c>
      <c r="H14" s="118">
        <v>0</v>
      </c>
      <c r="I14" s="116"/>
      <c r="J14" s="115"/>
      <c r="K14" s="114"/>
      <c r="L14" s="119"/>
      <c r="M14" s="114"/>
      <c r="N14" s="98" t="s">
        <v>175</v>
      </c>
      <c r="R14" t="str">
        <f t="array" ref="R14">IFERROR(INDEX(D$2:D$100, SMALL(IF($N$2:$N$100="YES", ROW($N$2:$N$100)-MIN(ROW($N$2:$N$100))+1), ROW(11:11))), " ")</f>
        <v xml:space="preserve"> </v>
      </c>
      <c r="S14" t="str">
        <f t="array" ref="S14">IFERROR(INDEX(E$2:E$100, SMALL(IF($N$2:$N$100="YES", ROW($N$2:$N$100)-MIN(ROW($N$2:$N$100))+1), ROW(11:11))), " ")</f>
        <v xml:space="preserve"> </v>
      </c>
      <c r="T14" t="str">
        <f t="array" ref="T14">IFERROR(INDEX(F$2:F$100, SMALL(IF($N$2:$N$100="YES", ROW($N$2:$N$100)-MIN(ROW($N$2:$N$100))+1), ROW(11:11))), " ")</f>
        <v xml:space="preserve"> </v>
      </c>
      <c r="U14" t="str">
        <f t="array" ref="U14">IFERROR(INDEX(G$2:G$100, SMALL(IF($N$2:$N$100="YES", ROW($N$2:$N$100)-MIN(ROW($N$2:$N$100))+1), ROW(11:11))), " ")</f>
        <v xml:space="preserve"> </v>
      </c>
      <c r="V14" t="str">
        <f t="array" ref="V14">IFERROR(INDEX(H$2:H$100, SMALL(IF($N$2:$N$100="YES", ROW($N$2:$N$100)-MIN(ROW($N$2:$N$100))+1), ROW(11:11))), " ")</f>
        <v xml:space="preserve"> </v>
      </c>
    </row>
    <row r="15" spans="1:22" ht="16.5" customHeight="1" thickBot="1">
      <c r="A15">
        <v>12</v>
      </c>
      <c r="B15" s="114">
        <v>12</v>
      </c>
      <c r="C15" s="115" t="s">
        <v>176</v>
      </c>
      <c r="D15" s="148" t="s">
        <v>171</v>
      </c>
      <c r="E15" s="148" t="s">
        <v>148</v>
      </c>
      <c r="F15" s="150">
        <v>4147180000000000</v>
      </c>
      <c r="G15" s="117">
        <v>6079</v>
      </c>
      <c r="H15" s="118">
        <v>214</v>
      </c>
      <c r="I15" s="116"/>
      <c r="J15" s="115"/>
      <c r="K15" s="114"/>
      <c r="L15" s="119"/>
      <c r="M15" s="114"/>
      <c r="N15" s="98" t="s">
        <v>175</v>
      </c>
      <c r="R15" t="str">
        <f t="array" ref="R15">IFERROR(INDEX(D$2:D$100, SMALL(IF($N$2:$N$100="YES", ROW($N$2:$N$100)-MIN(ROW($N$2:$N$100))+1), ROW(12:12))), " ")</f>
        <v xml:space="preserve"> </v>
      </c>
      <c r="S15" t="str">
        <f t="array" ref="S15">IFERROR(INDEX(E$2:E$100, SMALL(IF($N$2:$N$100="YES", ROW($N$2:$N$100)-MIN(ROW($N$2:$N$100))+1), ROW(12:12))), " ")</f>
        <v xml:space="preserve"> </v>
      </c>
      <c r="T15" t="str">
        <f t="array" ref="T15">IFERROR(INDEX(F$2:F$100, SMALL(IF($N$2:$N$100="YES", ROW($N$2:$N$100)-MIN(ROW($N$2:$N$100))+1), ROW(12:12))), " ")</f>
        <v xml:space="preserve"> </v>
      </c>
      <c r="U15" t="str">
        <f t="array" ref="U15">IFERROR(INDEX(G$2:G$100, SMALL(IF($N$2:$N$100="YES", ROW($N$2:$N$100)-MIN(ROW($N$2:$N$100))+1), ROW(12:12))), " ")</f>
        <v xml:space="preserve"> </v>
      </c>
      <c r="V15" t="str">
        <f t="array" ref="V15">IFERROR(INDEX(H$2:H$100, SMALL(IF($N$2:$N$100="YES", ROW($N$2:$N$100)-MIN(ROW($N$2:$N$100))+1), ROW(12:12))), " ")</f>
        <v xml:space="preserve"> </v>
      </c>
    </row>
    <row r="16" spans="1:22" ht="16.5" customHeight="1" thickBot="1">
      <c r="A16">
        <v>13</v>
      </c>
      <c r="B16" s="114">
        <v>13</v>
      </c>
      <c r="C16" s="115" t="s">
        <v>176</v>
      </c>
      <c r="D16" s="148" t="s">
        <v>189</v>
      </c>
      <c r="E16" s="149" t="s">
        <v>147</v>
      </c>
      <c r="F16" s="117">
        <v>20502018251</v>
      </c>
      <c r="G16" s="117">
        <v>4687</v>
      </c>
      <c r="H16" s="118">
        <v>456</v>
      </c>
      <c r="I16" s="116"/>
      <c r="J16" s="115"/>
      <c r="K16" s="114"/>
      <c r="L16" s="119"/>
      <c r="M16" s="114"/>
      <c r="N16" s="98" t="s">
        <v>175</v>
      </c>
      <c r="R16" t="str">
        <f t="array" ref="R16">IFERROR(INDEX(D$2:D$100, SMALL(IF($N$2:$N$100="YES", ROW($N$2:$N$100)-MIN(ROW($N$2:$N$100))+1), ROW(13:13))), " ")</f>
        <v xml:space="preserve"> </v>
      </c>
      <c r="S16" t="str">
        <f t="array" ref="S16">IFERROR(INDEX(E$2:E$100, SMALL(IF($N$2:$N$100="YES", ROW($N$2:$N$100)-MIN(ROW($N$2:$N$100))+1), ROW(13:13))), " ")</f>
        <v xml:space="preserve"> </v>
      </c>
      <c r="T16" t="str">
        <f t="array" ref="T16">IFERROR(INDEX(F$2:F$100, SMALL(IF($N$2:$N$100="YES", ROW($N$2:$N$100)-MIN(ROW($N$2:$N$100))+1), ROW(13:13))), " ")</f>
        <v xml:space="preserve"> </v>
      </c>
      <c r="U16" t="str">
        <f t="array" ref="U16">IFERROR(INDEX(G$2:G$100, SMALL(IF($N$2:$N$100="YES", ROW($N$2:$N$100)-MIN(ROW($N$2:$N$100))+1), ROW(13:13))), " ")</f>
        <v xml:space="preserve"> </v>
      </c>
      <c r="V16" t="str">
        <f t="array" ref="V16">IFERROR(INDEX(H$2:H$100, SMALL(IF($N$2:$N$100="YES", ROW($N$2:$N$100)-MIN(ROW($N$2:$N$100))+1), ROW(13:13))), " ")</f>
        <v xml:space="preserve"> </v>
      </c>
    </row>
    <row r="17" spans="1:22" ht="16.5" customHeight="1" thickBot="1">
      <c r="A17">
        <v>14</v>
      </c>
      <c r="B17" s="114">
        <v>14</v>
      </c>
      <c r="C17" s="115" t="s">
        <v>179</v>
      </c>
      <c r="D17" s="148" t="s">
        <v>190</v>
      </c>
      <c r="E17" s="148" t="s">
        <v>148</v>
      </c>
      <c r="F17" s="150">
        <v>604599000000</v>
      </c>
      <c r="G17" s="117">
        <v>4685</v>
      </c>
      <c r="H17" s="118">
        <v>187</v>
      </c>
      <c r="I17" s="116"/>
      <c r="J17" s="115"/>
      <c r="K17" s="114"/>
      <c r="L17" s="119"/>
      <c r="M17" s="114"/>
      <c r="N17" s="98" t="s">
        <v>175</v>
      </c>
      <c r="R17" t="str">
        <f t="array" ref="R17">IFERROR(INDEX(D$2:D$100, SMALL(IF($N$2:$N$100="YES", ROW($N$2:$N$100)-MIN(ROW($N$2:$N$100))+1), ROW(14:14))), " ")</f>
        <v xml:space="preserve"> </v>
      </c>
      <c r="S17" t="str">
        <f t="array" ref="S17">IFERROR(INDEX(E$2:E$100, SMALL(IF($N$2:$N$100="YES", ROW($N$2:$N$100)-MIN(ROW($N$2:$N$100))+1), ROW(14:14))), " ")</f>
        <v xml:space="preserve"> </v>
      </c>
      <c r="T17" t="str">
        <f t="array" ref="T17">IFERROR(INDEX(F$2:F$100, SMALL(IF($N$2:$N$100="YES", ROW($N$2:$N$100)-MIN(ROW($N$2:$N$100))+1), ROW(14:14))), " ")</f>
        <v xml:space="preserve"> </v>
      </c>
      <c r="U17" t="str">
        <f t="array" ref="U17">IFERROR(INDEX(G$2:G$100, SMALL(IF($N$2:$N$100="YES", ROW($N$2:$N$100)-MIN(ROW($N$2:$N$100))+1), ROW(14:14))), " ")</f>
        <v xml:space="preserve"> </v>
      </c>
      <c r="V17" t="str">
        <f t="array" ref="V17">IFERROR(INDEX(H$2:H$100, SMALL(IF($N$2:$N$100="YES", ROW($N$2:$N$100)-MIN(ROW($N$2:$N$100))+1), ROW(14:14))), " ")</f>
        <v xml:space="preserve"> </v>
      </c>
    </row>
    <row r="18" spans="1:22" ht="16.5" customHeight="1" thickBot="1">
      <c r="A18">
        <v>15</v>
      </c>
      <c r="B18" s="114">
        <v>15</v>
      </c>
      <c r="C18" s="115" t="s">
        <v>179</v>
      </c>
      <c r="D18" s="148" t="s">
        <v>191</v>
      </c>
      <c r="E18" s="148" t="s">
        <v>148</v>
      </c>
      <c r="F18" s="150">
        <v>4269370000000000</v>
      </c>
      <c r="G18" s="117">
        <v>3039</v>
      </c>
      <c r="H18" s="118">
        <v>100</v>
      </c>
      <c r="I18" s="116"/>
      <c r="J18" s="115"/>
      <c r="K18" s="114"/>
      <c r="L18" s="119"/>
      <c r="M18" s="114"/>
      <c r="N18" s="98" t="s">
        <v>175</v>
      </c>
      <c r="R18" t="str">
        <f t="array" ref="R18">IFERROR(INDEX(D$2:D$100, SMALL(IF($N$2:$N$100="YES", ROW($N$2:$N$100)-MIN(ROW($N$2:$N$100))+1), ROW(15:15))), " ")</f>
        <v xml:space="preserve"> </v>
      </c>
      <c r="S18" t="str">
        <f t="array" ref="S18">IFERROR(INDEX(E$2:E$100, SMALL(IF($N$2:$N$100="YES", ROW($N$2:$N$100)-MIN(ROW($N$2:$N$100))+1), ROW(15:15))), " ")</f>
        <v xml:space="preserve"> </v>
      </c>
      <c r="T18" t="str">
        <f t="array" ref="T18">IFERROR(INDEX(F$2:F$100, SMALL(IF($N$2:$N$100="YES", ROW($N$2:$N$100)-MIN(ROW($N$2:$N$100))+1), ROW(15:15))), " ")</f>
        <v xml:space="preserve"> </v>
      </c>
      <c r="U18" t="str">
        <f t="array" ref="U18">IFERROR(INDEX(G$2:G$100, SMALL(IF($N$2:$N$100="YES", ROW($N$2:$N$100)-MIN(ROW($N$2:$N$100))+1), ROW(15:15))), " ")</f>
        <v xml:space="preserve"> </v>
      </c>
      <c r="V18" t="str">
        <f t="array" ref="V18">IFERROR(INDEX(H$2:H$100, SMALL(IF($N$2:$N$100="YES", ROW($N$2:$N$100)-MIN(ROW($N$2:$N$100))+1), ROW(15:15))), " ")</f>
        <v xml:space="preserve"> </v>
      </c>
    </row>
    <row r="19" spans="1:22" ht="16.5" customHeight="1" thickBot="1">
      <c r="A19">
        <v>16</v>
      </c>
      <c r="B19" s="114">
        <v>16</v>
      </c>
      <c r="C19" s="115" t="s">
        <v>176</v>
      </c>
      <c r="D19" s="148" t="s">
        <v>192</v>
      </c>
      <c r="E19" s="148" t="s">
        <v>148</v>
      </c>
      <c r="F19" s="150">
        <v>542418000000</v>
      </c>
      <c r="G19" s="117">
        <v>3012</v>
      </c>
      <c r="H19" s="118">
        <v>98</v>
      </c>
      <c r="I19" s="116"/>
      <c r="J19" s="115"/>
      <c r="K19" s="114"/>
      <c r="L19" s="119"/>
      <c r="M19" s="114"/>
      <c r="N19" s="98" t="s">
        <v>175</v>
      </c>
      <c r="R19" t="str">
        <f t="array" ref="R19">IFERROR(INDEX(D$2:D$100, SMALL(IF($N$2:$N$100="YES", ROW($N$2:$N$100)-MIN(ROW($N$2:$N$100))+1), ROW(16:16))), " ")</f>
        <v xml:space="preserve"> </v>
      </c>
      <c r="S19" t="str">
        <f t="array" ref="S19">IFERROR(INDEX(E$2:E$100, SMALL(IF($N$2:$N$100="YES", ROW($N$2:$N$100)-MIN(ROW($N$2:$N$100))+1), ROW(16:16))), " ")</f>
        <v xml:space="preserve"> </v>
      </c>
      <c r="T19" t="str">
        <f t="array" ref="T19">IFERROR(INDEX(F$2:F$100, SMALL(IF($N$2:$N$100="YES", ROW($N$2:$N$100)-MIN(ROW($N$2:$N$100))+1), ROW(16:16))), " ")</f>
        <v xml:space="preserve"> </v>
      </c>
      <c r="U19" t="str">
        <f t="array" ref="U19">IFERROR(INDEX(G$2:G$100, SMALL(IF($N$2:$N$100="YES", ROW($N$2:$N$100)-MIN(ROW($N$2:$N$100))+1), ROW(16:16))), " ")</f>
        <v xml:space="preserve"> </v>
      </c>
      <c r="V19" t="str">
        <f t="array" ref="V19">IFERROR(INDEX(H$2:H$100, SMALL(IF($N$2:$N$100="YES", ROW($N$2:$N$100)-MIN(ROW($N$2:$N$100))+1), ROW(16:16))), " ")</f>
        <v xml:space="preserve"> </v>
      </c>
    </row>
    <row r="20" spans="1:22" ht="16.5" customHeight="1" thickBot="1">
      <c r="A20">
        <v>17</v>
      </c>
      <c r="B20" s="114">
        <v>17</v>
      </c>
      <c r="C20" s="115" t="s">
        <v>179</v>
      </c>
      <c r="D20" s="148" t="s">
        <v>193</v>
      </c>
      <c r="E20" s="148" t="s">
        <v>147</v>
      </c>
      <c r="F20" s="150">
        <v>3.00002E+16</v>
      </c>
      <c r="G20" s="117">
        <v>3008</v>
      </c>
      <c r="H20" s="118">
        <v>0</v>
      </c>
      <c r="I20" s="116"/>
      <c r="J20" s="115"/>
      <c r="K20" s="114"/>
      <c r="L20" s="119"/>
      <c r="M20" s="114"/>
      <c r="N20" s="98" t="s">
        <v>175</v>
      </c>
      <c r="R20" t="str">
        <f t="array" ref="R20">IFERROR(INDEX(D$2:D$100, SMALL(IF($N$2:$N$100="YES", ROW($N$2:$N$100)-MIN(ROW($N$2:$N$100))+1), ROW(17:17))), " ")</f>
        <v xml:space="preserve"> </v>
      </c>
      <c r="S20" t="str">
        <f t="array" ref="S20">IFERROR(INDEX(E$2:E$100, SMALL(IF($N$2:$N$100="YES", ROW($N$2:$N$100)-MIN(ROW($N$2:$N$100))+1), ROW(17:17))), " ")</f>
        <v xml:space="preserve"> </v>
      </c>
      <c r="T20" t="str">
        <f t="array" ref="T20">IFERROR(INDEX(F$2:F$100, SMALL(IF($N$2:$N$100="YES", ROW($N$2:$N$100)-MIN(ROW($N$2:$N$100))+1), ROW(17:17))), " ")</f>
        <v xml:space="preserve"> </v>
      </c>
      <c r="U20" t="str">
        <f t="array" ref="U20">IFERROR(INDEX(G$2:G$100, SMALL(IF($N$2:$N$100="YES", ROW($N$2:$N$100)-MIN(ROW($N$2:$N$100))+1), ROW(17:17))), " ")</f>
        <v xml:space="preserve"> </v>
      </c>
      <c r="V20" t="str">
        <f t="array" ref="V20">IFERROR(INDEX(H$2:H$100, SMALL(IF($N$2:$N$100="YES", ROW($N$2:$N$100)-MIN(ROW($N$2:$N$100))+1), ROW(17:17))), " ")</f>
        <v xml:space="preserve"> </v>
      </c>
    </row>
    <row r="21" spans="1:22" ht="16.5" customHeight="1" thickBot="1">
      <c r="A21">
        <v>18</v>
      </c>
      <c r="B21" s="114">
        <v>18</v>
      </c>
      <c r="C21" s="115" t="s">
        <v>179</v>
      </c>
      <c r="D21" s="148" t="s">
        <v>194</v>
      </c>
      <c r="E21" s="148" t="s">
        <v>195</v>
      </c>
      <c r="F21" s="150">
        <v>4447960000000000</v>
      </c>
      <c r="G21" s="117">
        <v>2901</v>
      </c>
      <c r="H21" s="118">
        <v>116</v>
      </c>
      <c r="I21" s="116"/>
      <c r="J21" s="115"/>
      <c r="K21" s="114"/>
      <c r="L21" s="119"/>
      <c r="M21" s="114"/>
      <c r="N21" s="98" t="s">
        <v>175</v>
      </c>
      <c r="R21" t="str">
        <f t="array" ref="R21">IFERROR(INDEX(D$2:D$100, SMALL(IF($N$2:$N$100="YES", ROW($N$2:$N$100)-MIN(ROW($N$2:$N$100))+1), ROW(18:18))), " ")</f>
        <v xml:space="preserve"> </v>
      </c>
      <c r="S21" t="str">
        <f t="array" ref="S21">IFERROR(INDEX(E$2:E$100, SMALL(IF($N$2:$N$100="YES", ROW($N$2:$N$100)-MIN(ROW($N$2:$N$100))+1), ROW(18:18))), " ")</f>
        <v xml:space="preserve"> </v>
      </c>
      <c r="T21" t="str">
        <f t="array" ref="T21">IFERROR(INDEX(F$2:F$100, SMALL(IF($N$2:$N$100="YES", ROW($N$2:$N$100)-MIN(ROW($N$2:$N$100))+1), ROW(18:18))), " ")</f>
        <v xml:space="preserve"> </v>
      </c>
      <c r="U21" t="str">
        <f t="array" ref="U21">IFERROR(INDEX(G$2:G$100, SMALL(IF($N$2:$N$100="YES", ROW($N$2:$N$100)-MIN(ROW($N$2:$N$100))+1), ROW(18:18))), " ")</f>
        <v xml:space="preserve"> </v>
      </c>
      <c r="V21" t="str">
        <f t="array" ref="V21">IFERROR(INDEX(H$2:H$100, SMALL(IF($N$2:$N$100="YES", ROW($N$2:$N$100)-MIN(ROW($N$2:$N$100))+1), ROW(18:18))), " ")</f>
        <v xml:space="preserve"> </v>
      </c>
    </row>
    <row r="22" spans="1:22" ht="16.5" customHeight="1" thickBot="1">
      <c r="A22">
        <v>19</v>
      </c>
      <c r="B22" s="114">
        <v>19</v>
      </c>
      <c r="C22" s="115" t="s">
        <v>179</v>
      </c>
      <c r="D22" s="148" t="s">
        <v>185</v>
      </c>
      <c r="E22" s="149" t="s">
        <v>161</v>
      </c>
      <c r="F22" s="117">
        <v>113072876</v>
      </c>
      <c r="G22" s="117">
        <v>2025</v>
      </c>
      <c r="H22" s="118">
        <v>0</v>
      </c>
      <c r="I22" s="116"/>
      <c r="J22" s="115"/>
      <c r="K22" s="114"/>
      <c r="L22" s="119"/>
      <c r="M22" s="114"/>
      <c r="N22" s="98" t="s">
        <v>175</v>
      </c>
      <c r="R22" t="str">
        <f t="array" ref="R22">IFERROR(INDEX(D$2:D$100, SMALL(IF($N$2:$N$100="YES", ROW($N$2:$N$100)-MIN(ROW($N$2:$N$100))+1), ROW(19:19))), " ")</f>
        <v xml:space="preserve"> </v>
      </c>
      <c r="S22" t="str">
        <f t="array" ref="S22">IFERROR(INDEX(E$2:E$100, SMALL(IF($N$2:$N$100="YES", ROW($N$2:$N$100)-MIN(ROW($N$2:$N$100))+1), ROW(19:19))), " ")</f>
        <v xml:space="preserve"> </v>
      </c>
      <c r="T22" t="str">
        <f t="array" ref="T22">IFERROR(INDEX(F$2:F$100, SMALL(IF($N$2:$N$100="YES", ROW($N$2:$N$100)-MIN(ROW($N$2:$N$100))+1), ROW(19:19))), " ")</f>
        <v xml:space="preserve"> </v>
      </c>
      <c r="U22" t="str">
        <f t="array" ref="U22">IFERROR(INDEX(G$2:G$100, SMALL(IF($N$2:$N$100="YES", ROW($N$2:$N$100)-MIN(ROW($N$2:$N$100))+1), ROW(19:19))), " ")</f>
        <v xml:space="preserve"> </v>
      </c>
      <c r="V22" t="str">
        <f t="array" ref="V22">IFERROR(INDEX(H$2:H$100, SMALL(IF($N$2:$N$100="YES", ROW($N$2:$N$100)-MIN(ROW($N$2:$N$100))+1), ROW(19:19))), " ")</f>
        <v xml:space="preserve"> </v>
      </c>
    </row>
    <row r="23" spans="1:22" ht="16.5" customHeight="1" thickBot="1">
      <c r="A23">
        <v>20</v>
      </c>
      <c r="B23" s="114">
        <v>20</v>
      </c>
      <c r="C23" s="115" t="s">
        <v>179</v>
      </c>
      <c r="D23" s="115" t="s">
        <v>149</v>
      </c>
      <c r="E23" s="148" t="s">
        <v>148</v>
      </c>
      <c r="F23" s="150">
        <v>515677000000</v>
      </c>
      <c r="G23" s="117">
        <v>2024</v>
      </c>
      <c r="H23" s="118">
        <v>71</v>
      </c>
      <c r="I23" s="116"/>
      <c r="J23" s="115"/>
      <c r="K23" s="114"/>
      <c r="L23" s="119"/>
      <c r="M23" s="114"/>
      <c r="N23" s="98" t="s">
        <v>175</v>
      </c>
      <c r="R23" t="str">
        <f t="array" ref="R23">IFERROR(INDEX(D$2:D$100, SMALL(IF($N$2:$N$100="YES", ROW($N$2:$N$100)-MIN(ROW($N$2:$N$100))+1), ROW(20:20))), " ")</f>
        <v xml:space="preserve"> </v>
      </c>
      <c r="S23" t="str">
        <f t="array" ref="S23">IFERROR(INDEX(E$2:E$100, SMALL(IF($N$2:$N$100="YES", ROW($N$2:$N$100)-MIN(ROW($N$2:$N$100))+1), ROW(20:20))), " ")</f>
        <v xml:space="preserve"> </v>
      </c>
      <c r="T23" t="str">
        <f t="array" ref="T23">IFERROR(INDEX(F$2:F$100, SMALL(IF($N$2:$N$100="YES", ROW($N$2:$N$100)-MIN(ROW($N$2:$N$100))+1), ROW(20:20))), " ")</f>
        <v xml:space="preserve"> </v>
      </c>
      <c r="U23" t="str">
        <f t="array" ref="U23">IFERROR(INDEX(G$2:G$100, SMALL(IF($N$2:$N$100="YES", ROW($N$2:$N$100)-MIN(ROW($N$2:$N$100))+1), ROW(20:20))), " ")</f>
        <v xml:space="preserve"> </v>
      </c>
      <c r="V23" t="str">
        <f t="array" ref="V23">IFERROR(INDEX(H$2:H$100, SMALL(IF($N$2:$N$100="YES", ROW($N$2:$N$100)-MIN(ROW($N$2:$N$100))+1), ROW(20:20))), " ")</f>
        <v xml:space="preserve"> </v>
      </c>
    </row>
    <row r="24" spans="1:22" ht="16.5" customHeight="1" thickBot="1">
      <c r="A24">
        <v>21</v>
      </c>
      <c r="B24" s="114">
        <v>21</v>
      </c>
      <c r="C24" s="115" t="s">
        <v>176</v>
      </c>
      <c r="D24" s="148" t="s">
        <v>196</v>
      </c>
      <c r="E24" s="149" t="s">
        <v>147</v>
      </c>
      <c r="F24" s="117" t="s">
        <v>197</v>
      </c>
      <c r="G24" s="117">
        <v>1833</v>
      </c>
      <c r="H24" s="118">
        <v>389</v>
      </c>
      <c r="I24" s="116"/>
      <c r="J24" s="115"/>
      <c r="K24" s="114"/>
      <c r="L24" s="119"/>
      <c r="M24" s="114"/>
      <c r="N24" s="98" t="s">
        <v>175</v>
      </c>
      <c r="R24" t="str">
        <f t="array" ref="R24">IFERROR(INDEX(D$2:D$100, SMALL(IF($N$2:$N$100="YES", ROW($N$2:$N$100)-MIN(ROW($N$2:$N$100))+1), ROW(21:21))), " ")</f>
        <v xml:space="preserve"> </v>
      </c>
      <c r="S24" t="str">
        <f t="array" ref="S24">IFERROR(INDEX(E$2:E$100, SMALL(IF($N$2:$N$100="YES", ROW($N$2:$N$100)-MIN(ROW($N$2:$N$100))+1), ROW(21:21))), " ")</f>
        <v xml:space="preserve"> </v>
      </c>
      <c r="T24" t="str">
        <f t="array" ref="T24">IFERROR(INDEX(F$2:F$100, SMALL(IF($N$2:$N$100="YES", ROW($N$2:$N$100)-MIN(ROW($N$2:$N$100))+1), ROW(21:21))), " ")</f>
        <v xml:space="preserve"> </v>
      </c>
      <c r="U24" t="str">
        <f t="array" ref="U24">IFERROR(INDEX(G$2:G$100, SMALL(IF($N$2:$N$100="YES", ROW($N$2:$N$100)-MIN(ROW($N$2:$N$100))+1), ROW(21:21))), " ")</f>
        <v xml:space="preserve"> </v>
      </c>
      <c r="V24" t="str">
        <f t="array" ref="V24">IFERROR(INDEX(H$2:H$100, SMALL(IF($N$2:$N$100="YES", ROW($N$2:$N$100)-MIN(ROW($N$2:$N$100))+1), ROW(21:21))), " ")</f>
        <v xml:space="preserve"> </v>
      </c>
    </row>
    <row r="25" spans="1:22" ht="16.5" customHeight="1" thickBot="1">
      <c r="A25">
        <v>22</v>
      </c>
      <c r="B25" s="114">
        <v>22</v>
      </c>
      <c r="C25" s="115" t="s">
        <v>176</v>
      </c>
      <c r="D25" s="148" t="s">
        <v>198</v>
      </c>
      <c r="E25" s="148" t="s">
        <v>148</v>
      </c>
      <c r="F25" s="150">
        <v>5780970000000000</v>
      </c>
      <c r="G25" s="117">
        <v>1641</v>
      </c>
      <c r="H25" s="118">
        <v>58</v>
      </c>
      <c r="I25" s="116"/>
      <c r="J25" s="115"/>
      <c r="K25" s="114"/>
      <c r="L25" s="119"/>
      <c r="M25" s="114"/>
      <c r="N25" s="98" t="s">
        <v>175</v>
      </c>
      <c r="R25" t="str">
        <f t="array" ref="R25">IFERROR(INDEX(D$2:D$100, SMALL(IF($N$2:$N$100="YES", ROW($N$2:$N$100)-MIN(ROW($N$2:$N$100))+1), ROW(22:22))), " ")</f>
        <v xml:space="preserve"> </v>
      </c>
      <c r="S25" t="str">
        <f t="array" ref="S25">IFERROR(INDEX(E$2:E$100, SMALL(IF($N$2:$N$100="YES", ROW($N$2:$N$100)-MIN(ROW($N$2:$N$100))+1), ROW(22:22))), " ")</f>
        <v xml:space="preserve"> </v>
      </c>
      <c r="T25" t="str">
        <f t="array" ref="T25">IFERROR(INDEX(F$2:F$100, SMALL(IF($N$2:$N$100="YES", ROW($N$2:$N$100)-MIN(ROW($N$2:$N$100))+1), ROW(22:22))), " ")</f>
        <v xml:space="preserve"> </v>
      </c>
      <c r="U25" t="str">
        <f t="array" ref="U25">IFERROR(INDEX(G$2:G$100, SMALL(IF($N$2:$N$100="YES", ROW($N$2:$N$100)-MIN(ROW($N$2:$N$100))+1), ROW(22:22))), " ")</f>
        <v xml:space="preserve"> </v>
      </c>
      <c r="V25" t="str">
        <f t="array" ref="V25">IFERROR(INDEX(H$2:H$100, SMALL(IF($N$2:$N$100="YES", ROW($N$2:$N$100)-MIN(ROW($N$2:$N$100))+1), ROW(22:22))), " ")</f>
        <v xml:space="preserve"> </v>
      </c>
    </row>
    <row r="26" spans="1:22" ht="16.2" thickBot="1">
      <c r="A26">
        <v>23</v>
      </c>
      <c r="B26" s="114">
        <v>23</v>
      </c>
      <c r="C26" s="115" t="s">
        <v>179</v>
      </c>
      <c r="D26" s="115" t="s">
        <v>170</v>
      </c>
      <c r="E26" s="148" t="s">
        <v>148</v>
      </c>
      <c r="F26" s="150">
        <v>426684000000</v>
      </c>
      <c r="G26" s="117">
        <v>1388</v>
      </c>
      <c r="H26" s="118">
        <v>40</v>
      </c>
      <c r="I26" s="116"/>
      <c r="J26" s="115"/>
      <c r="K26" s="114"/>
      <c r="L26" s="119"/>
      <c r="M26" s="114"/>
      <c r="N26" s="98"/>
      <c r="R26" t="str">
        <f t="array" ref="R26">IFERROR(INDEX(D$2:D$100, SMALL(IF($N$2:$N$100="YES", ROW($N$2:$N$100)-MIN(ROW($N$2:$N$100))+1), ROW(23:23))), " ")</f>
        <v xml:space="preserve"> </v>
      </c>
      <c r="S26" t="str">
        <f t="array" ref="S26">IFERROR(INDEX(E$2:E$100, SMALL(IF($N$2:$N$100="YES", ROW($N$2:$N$100)-MIN(ROW($N$2:$N$100))+1), ROW(23:23))), " ")</f>
        <v xml:space="preserve"> </v>
      </c>
      <c r="T26" t="str">
        <f t="array" ref="T26">IFERROR(INDEX(F$2:F$100, SMALL(IF($N$2:$N$100="YES", ROW($N$2:$N$100)-MIN(ROW($N$2:$N$100))+1), ROW(23:23))), " ")</f>
        <v xml:space="preserve"> </v>
      </c>
      <c r="U26" t="str">
        <f t="array" ref="U26">IFERROR(INDEX(G$2:G$100, SMALL(IF($N$2:$N$100="YES", ROW($N$2:$N$100)-MIN(ROW($N$2:$N$100))+1), ROW(23:23))), " ")</f>
        <v xml:space="preserve"> </v>
      </c>
      <c r="V26" t="str">
        <f t="array" ref="V26">IFERROR(INDEX(H$2:H$100, SMALL(IF($N$2:$N$100="YES", ROW($N$2:$N$100)-MIN(ROW($N$2:$N$100))+1), ROW(23:23))), " ")</f>
        <v xml:space="preserve"> </v>
      </c>
    </row>
    <row r="27" spans="1:22" ht="16.2" thickBot="1">
      <c r="A27">
        <v>24</v>
      </c>
      <c r="B27" s="114">
        <v>24</v>
      </c>
      <c r="C27" s="115" t="s">
        <v>179</v>
      </c>
      <c r="D27" s="115" t="s">
        <v>158</v>
      </c>
      <c r="E27" s="148" t="s">
        <v>148</v>
      </c>
      <c r="F27" s="150">
        <v>-3499930000000000</v>
      </c>
      <c r="G27" s="117">
        <v>1045</v>
      </c>
      <c r="H27" s="118">
        <v>41</v>
      </c>
      <c r="I27" s="116"/>
      <c r="J27" s="115"/>
      <c r="K27" s="114"/>
      <c r="L27" s="119"/>
      <c r="M27" s="114"/>
      <c r="N27" s="98"/>
      <c r="R27" t="str">
        <f t="array" ref="R27">IFERROR(INDEX(D$2:D$100, SMALL(IF($N$2:$N$100="YES", ROW($N$2:$N$100)-MIN(ROW($N$2:$N$100))+1), ROW(24:24))), " ")</f>
        <v xml:space="preserve"> </v>
      </c>
      <c r="S27" t="str">
        <f t="array" ref="S27">IFERROR(INDEX(E$2:E$100, SMALL(IF($N$2:$N$100="YES", ROW($N$2:$N$100)-MIN(ROW($N$2:$N$100))+1), ROW(24:24))), " ")</f>
        <v xml:space="preserve"> </v>
      </c>
      <c r="T27" t="str">
        <f t="array" ref="T27">IFERROR(INDEX(F$2:F$100, SMALL(IF($N$2:$N$100="YES", ROW($N$2:$N$100)-MIN(ROW($N$2:$N$100))+1), ROW(24:24))), " ")</f>
        <v xml:space="preserve"> </v>
      </c>
      <c r="U27" t="str">
        <f t="array" ref="U27">IFERROR(INDEX(G$2:G$100, SMALL(IF($N$2:$N$100="YES", ROW($N$2:$N$100)-MIN(ROW($N$2:$N$100))+1), ROW(24:24))), " ")</f>
        <v xml:space="preserve"> </v>
      </c>
      <c r="V27" t="str">
        <f t="array" ref="V27">IFERROR(INDEX(H$2:H$100, SMALL(IF($N$2:$N$100="YES", ROW($N$2:$N$100)-MIN(ROW($N$2:$N$100))+1), ROW(24:24))), " ")</f>
        <v xml:space="preserve"> </v>
      </c>
    </row>
    <row r="28" spans="1:22" ht="16.2" thickBot="1">
      <c r="A28">
        <v>25</v>
      </c>
      <c r="B28" s="114">
        <v>25</v>
      </c>
      <c r="C28" s="115" t="s">
        <v>176</v>
      </c>
      <c r="D28" s="115" t="s">
        <v>158</v>
      </c>
      <c r="E28" s="148" t="s">
        <v>148</v>
      </c>
      <c r="F28" s="150">
        <v>-3499930000000000</v>
      </c>
      <c r="G28" s="117">
        <v>1045</v>
      </c>
      <c r="H28" s="118">
        <v>41</v>
      </c>
      <c r="I28" s="116"/>
      <c r="J28" s="115"/>
      <c r="K28" s="114"/>
      <c r="L28" s="119"/>
      <c r="M28" s="114"/>
      <c r="N28" s="98"/>
      <c r="R28" t="str">
        <f t="array" ref="R28">IFERROR(INDEX(D$2:D$100, SMALL(IF($N$2:$N$100="YES", ROW($N$2:$N$100)-MIN(ROW($N$2:$N$100))+1), ROW(25:25))), " ")</f>
        <v xml:space="preserve"> </v>
      </c>
      <c r="S28" t="str">
        <f t="array" ref="S28">IFERROR(INDEX(E$2:E$100, SMALL(IF($N$2:$N$100="YES", ROW($N$2:$N$100)-MIN(ROW($N$2:$N$100))+1), ROW(25:25))), " ")</f>
        <v xml:space="preserve"> </v>
      </c>
      <c r="T28" t="str">
        <f t="array" ref="T28">IFERROR(INDEX(F$2:F$100, SMALL(IF($N$2:$N$100="YES", ROW($N$2:$N$100)-MIN(ROW($N$2:$N$100))+1), ROW(25:25))), " ")</f>
        <v xml:space="preserve"> </v>
      </c>
      <c r="U28" t="str">
        <f t="array" ref="U28">IFERROR(INDEX(G$2:G$100, SMALL(IF($N$2:$N$100="YES", ROW($N$2:$N$100)-MIN(ROW($N$2:$N$100))+1), ROW(25:25))), " ")</f>
        <v xml:space="preserve"> </v>
      </c>
      <c r="V28" t="str">
        <f t="array" ref="V28">IFERROR(INDEX(H$2:H$100, SMALL(IF($N$2:$N$100="YES", ROW($N$2:$N$100)-MIN(ROW($N$2:$N$100))+1), ROW(25:25))), " ")</f>
        <v xml:space="preserve"> </v>
      </c>
    </row>
    <row r="29" spans="1:22" ht="16.2" thickBot="1">
      <c r="A29">
        <v>26</v>
      </c>
      <c r="B29" s="114">
        <v>26</v>
      </c>
      <c r="C29" s="115" t="s">
        <v>176</v>
      </c>
      <c r="D29" s="115" t="s">
        <v>199</v>
      </c>
      <c r="E29" s="148" t="s">
        <v>148</v>
      </c>
      <c r="F29" s="150">
        <v>4270830000000000</v>
      </c>
      <c r="G29" s="117">
        <v>876</v>
      </c>
      <c r="H29" s="118">
        <v>15</v>
      </c>
      <c r="I29" s="116"/>
      <c r="J29" s="115"/>
      <c r="K29" s="114"/>
      <c r="L29" s="119"/>
      <c r="M29" s="114"/>
      <c r="N29" s="98"/>
      <c r="R29" t="str">
        <f t="array" ref="R29">IFERROR(INDEX(D$2:D$100, SMALL(IF($N$2:$N$100="YES", ROW($N$2:$N$100)-MIN(ROW($N$2:$N$100))+1), ROW(26:26))), " ")</f>
        <v xml:space="preserve"> </v>
      </c>
      <c r="S29" t="str">
        <f t="array" ref="S29">IFERROR(INDEX(E$2:E$100, SMALL(IF($N$2:$N$100="YES", ROW($N$2:$N$100)-MIN(ROW($N$2:$N$100))+1), ROW(26:26))), " ")</f>
        <v xml:space="preserve"> </v>
      </c>
      <c r="T29" t="str">
        <f t="array" ref="T29">IFERROR(INDEX(F$2:F$100, SMALL(IF($N$2:$N$100="YES", ROW($N$2:$N$100)-MIN(ROW($N$2:$N$100))+1), ROW(26:26))), " ")</f>
        <v xml:space="preserve"> </v>
      </c>
      <c r="U29" t="str">
        <f t="array" ref="U29">IFERROR(INDEX(G$2:G$100, SMALL(IF($N$2:$N$100="YES", ROW($N$2:$N$100)-MIN(ROW($N$2:$N$100))+1), ROW(26:26))), " ")</f>
        <v xml:space="preserve"> </v>
      </c>
      <c r="V29" t="str">
        <f t="array" ref="V29">IFERROR(INDEX(H$2:H$100, SMALL(IF($N$2:$N$100="YES", ROW($N$2:$N$100)-MIN(ROW($N$2:$N$100))+1), ROW(26:26))), " ")</f>
        <v xml:space="preserve"> </v>
      </c>
    </row>
    <row r="30" spans="1:22" ht="16.2" thickBot="1">
      <c r="A30">
        <v>27</v>
      </c>
      <c r="B30" s="114">
        <v>27</v>
      </c>
      <c r="C30" s="115" t="s">
        <v>176</v>
      </c>
      <c r="D30" s="115" t="s">
        <v>149</v>
      </c>
      <c r="E30" s="148" t="s">
        <v>148</v>
      </c>
      <c r="F30" s="150">
        <v>400345000000</v>
      </c>
      <c r="G30" s="117">
        <v>491</v>
      </c>
      <c r="H30" s="118">
        <v>25</v>
      </c>
      <c r="I30" s="116"/>
      <c r="J30" s="115"/>
      <c r="K30" s="114"/>
      <c r="L30" s="119"/>
      <c r="M30" s="114"/>
      <c r="N30" s="98"/>
      <c r="R30" t="str">
        <f t="array" ref="R30">IFERROR(INDEX(D$2:D$100, SMALL(IF($N$2:$N$100="YES", ROW($N$2:$N$100)-MIN(ROW($N$2:$N$100))+1), ROW(27:27))), " ")</f>
        <v xml:space="preserve"> </v>
      </c>
      <c r="S30" t="str">
        <f t="array" ref="S30">IFERROR(INDEX(E$2:E$100, SMALL(IF($N$2:$N$100="YES", ROW($N$2:$N$100)-MIN(ROW($N$2:$N$100))+1), ROW(27:27))), " ")</f>
        <v xml:space="preserve"> </v>
      </c>
      <c r="T30" t="str">
        <f t="array" ref="T30">IFERROR(INDEX(F$2:F$100, SMALL(IF($N$2:$N$100="YES", ROW($N$2:$N$100)-MIN(ROW($N$2:$N$100))+1), ROW(27:27))), " ")</f>
        <v xml:space="preserve"> </v>
      </c>
      <c r="U30" t="str">
        <f t="array" ref="U30">IFERROR(INDEX(G$2:G$100, SMALL(IF($N$2:$N$100="YES", ROW($N$2:$N$100)-MIN(ROW($N$2:$N$100))+1), ROW(27:27))), " ")</f>
        <v xml:space="preserve"> </v>
      </c>
      <c r="V30" t="str">
        <f t="array" ref="V30">IFERROR(INDEX(H$2:H$100, SMALL(IF($N$2:$N$100="YES", ROW($N$2:$N$100)-MIN(ROW($N$2:$N$100))+1), ROW(27:27))), " ")</f>
        <v xml:space="preserve"> </v>
      </c>
    </row>
    <row r="31" spans="1:22" ht="16.2" thickBot="1">
      <c r="A31">
        <v>28</v>
      </c>
      <c r="B31" s="114">
        <v>28</v>
      </c>
      <c r="C31" s="115" t="s">
        <v>176</v>
      </c>
      <c r="D31" s="115" t="s">
        <v>171</v>
      </c>
      <c r="E31" s="148" t="s">
        <v>148</v>
      </c>
      <c r="F31" s="150">
        <v>5796740000000000</v>
      </c>
      <c r="G31" s="117">
        <v>471</v>
      </c>
      <c r="H31" s="118">
        <v>59</v>
      </c>
      <c r="I31" s="116"/>
      <c r="J31" s="115"/>
      <c r="K31" s="114"/>
      <c r="L31" s="119"/>
      <c r="M31" s="114"/>
      <c r="N31" s="98"/>
      <c r="R31" t="str">
        <f t="array" ref="R31">IFERROR(INDEX(D$2:D$100, SMALL(IF($N$2:$N$100="YES", ROW($N$2:$N$100)-MIN(ROW($N$2:$N$100))+1), ROW(28:28))), " ")</f>
        <v xml:space="preserve"> </v>
      </c>
      <c r="S31" t="str">
        <f t="array" ref="S31">IFERROR(INDEX(E$2:E$100, SMALL(IF($N$2:$N$100="YES", ROW($N$2:$N$100)-MIN(ROW($N$2:$N$100))+1), ROW(28:28))), " ")</f>
        <v xml:space="preserve"> </v>
      </c>
      <c r="T31" t="str">
        <f t="array" ref="T31">IFERROR(INDEX(F$2:F$100, SMALL(IF($N$2:$N$100="YES", ROW($N$2:$N$100)-MIN(ROW($N$2:$N$100))+1), ROW(28:28))), " ")</f>
        <v xml:space="preserve"> </v>
      </c>
      <c r="U31" t="str">
        <f t="array" ref="U31">IFERROR(INDEX(G$2:G$100, SMALL(IF($N$2:$N$100="YES", ROW($N$2:$N$100)-MIN(ROW($N$2:$N$100))+1), ROW(28:28))), " ")</f>
        <v xml:space="preserve"> </v>
      </c>
      <c r="V31" t="str">
        <f t="array" ref="V31">IFERROR(INDEX(H$2:H$100, SMALL(IF($N$2:$N$100="YES", ROW($N$2:$N$100)-MIN(ROW($N$2:$N$100))+1), ROW(28:28))), " ")</f>
        <v xml:space="preserve"> </v>
      </c>
    </row>
    <row r="32" spans="1:22" ht="16.2" thickBot="1">
      <c r="A32">
        <v>29</v>
      </c>
      <c r="B32" s="114">
        <v>29</v>
      </c>
      <c r="C32" s="115" t="s">
        <v>179</v>
      </c>
      <c r="D32" s="115" t="s">
        <v>200</v>
      </c>
      <c r="E32" s="148" t="s">
        <v>148</v>
      </c>
      <c r="F32" s="150">
        <v>6035340000000000</v>
      </c>
      <c r="G32" s="117">
        <v>29</v>
      </c>
      <c r="H32" s="118">
        <v>29</v>
      </c>
      <c r="I32" s="116"/>
      <c r="J32" s="115"/>
      <c r="K32" s="114"/>
      <c r="L32" s="119"/>
      <c r="M32" s="114"/>
      <c r="N32" s="98"/>
      <c r="R32" t="str">
        <f t="array" ref="R32">IFERROR(INDEX(D$2:D$100, SMALL(IF($N$2:$N$100="YES", ROW($N$2:$N$100)-MIN(ROW($N$2:$N$100))+1), ROW(29:29))), " ")</f>
        <v xml:space="preserve"> </v>
      </c>
      <c r="S32" t="str">
        <f t="array" ref="S32">IFERROR(INDEX(E$2:E$100, SMALL(IF($N$2:$N$100="YES", ROW($N$2:$N$100)-MIN(ROW($N$2:$N$100))+1), ROW(29:29))), " ")</f>
        <v xml:space="preserve"> </v>
      </c>
      <c r="T32" t="str">
        <f t="array" ref="T32">IFERROR(INDEX(F$2:F$100, SMALL(IF($N$2:$N$100="YES", ROW($N$2:$N$100)-MIN(ROW($N$2:$N$100))+1), ROW(29:29))), " ")</f>
        <v xml:space="preserve"> </v>
      </c>
      <c r="U32" t="str">
        <f t="array" ref="U32">IFERROR(INDEX(G$2:G$100, SMALL(IF($N$2:$N$100="YES", ROW($N$2:$N$100)-MIN(ROW($N$2:$N$100))+1), ROW(29:29))), " ")</f>
        <v xml:space="preserve"> </v>
      </c>
      <c r="V32" t="str">
        <f t="array" ref="V32">IFERROR(INDEX(H$2:H$100, SMALL(IF($N$2:$N$100="YES", ROW($N$2:$N$100)-MIN(ROW($N$2:$N$100))+1), ROW(29:29))), " ")</f>
        <v xml:space="preserve"> </v>
      </c>
    </row>
    <row r="33" spans="2:22" ht="16.2" thickBot="1">
      <c r="B33" s="114"/>
      <c r="C33" s="115"/>
      <c r="D33" s="115"/>
      <c r="E33" s="115"/>
      <c r="F33" s="116"/>
      <c r="G33" s="117"/>
      <c r="H33" s="118"/>
      <c r="I33" s="116"/>
      <c r="J33" s="115"/>
      <c r="K33" s="114"/>
      <c r="L33" s="119"/>
      <c r="M33" s="114"/>
      <c r="N33" s="98"/>
      <c r="R33" t="str">
        <f t="array" ref="R33">IFERROR(INDEX(D$2:D$100, SMALL(IF($N$2:$N$100="YES", ROW($N$2:$N$100)-MIN(ROW($N$2:$N$100))+1), ROW(30:30))), " ")</f>
        <v xml:space="preserve"> </v>
      </c>
      <c r="S33" t="str">
        <f t="array" ref="S33">IFERROR(INDEX(E$2:E$100, SMALL(IF($N$2:$N$100="YES", ROW($N$2:$N$100)-MIN(ROW($N$2:$N$100))+1), ROW(30:30))), " ")</f>
        <v xml:space="preserve"> </v>
      </c>
      <c r="T33" t="str">
        <f t="array" ref="T33">IFERROR(INDEX(F$2:F$100, SMALL(IF($N$2:$N$100="YES", ROW($N$2:$N$100)-MIN(ROW($N$2:$N$100))+1), ROW(30:30))), " ")</f>
        <v xml:space="preserve"> </v>
      </c>
      <c r="U33" t="str">
        <f t="array" ref="U33">IFERROR(INDEX(G$2:G$100, SMALL(IF($N$2:$N$100="YES", ROW($N$2:$N$100)-MIN(ROW($N$2:$N$100))+1), ROW(30:30))), " ")</f>
        <v xml:space="preserve"> </v>
      </c>
      <c r="V33" t="str">
        <f t="array" ref="V33">IFERROR(INDEX(H$2:H$100, SMALL(IF($N$2:$N$100="YES", ROW($N$2:$N$100)-MIN(ROW($N$2:$N$100))+1), ROW(30:30))), " ")</f>
        <v xml:space="preserve"> </v>
      </c>
    </row>
    <row r="34" spans="2:22" ht="16.2" thickBot="1">
      <c r="B34" s="114"/>
      <c r="C34" s="115"/>
      <c r="D34" s="115"/>
      <c r="E34" s="115"/>
      <c r="F34" s="116"/>
      <c r="G34" s="117"/>
      <c r="H34" s="118"/>
      <c r="I34" s="116"/>
      <c r="J34" s="115"/>
      <c r="K34" s="114"/>
      <c r="L34" s="119"/>
      <c r="M34" s="114"/>
      <c r="N34" s="98"/>
      <c r="R34" t="str">
        <f t="array" ref="R34">IFERROR(INDEX(D$2:D$100, SMALL(IF($N$2:$N$100="YES", ROW($N$2:$N$100)-MIN(ROW($N$2:$N$100))+1), ROW(31:31))), " ")</f>
        <v xml:space="preserve"> </v>
      </c>
      <c r="S34" t="str">
        <f t="array" ref="S34">IFERROR(INDEX(E$2:E$100, SMALL(IF($N$2:$N$100="YES", ROW($N$2:$N$100)-MIN(ROW($N$2:$N$100))+1), ROW(31:31))), " ")</f>
        <v xml:space="preserve"> </v>
      </c>
      <c r="T34" t="str">
        <f t="array" ref="T34">IFERROR(INDEX(F$2:F$100, SMALL(IF($N$2:$N$100="YES", ROW($N$2:$N$100)-MIN(ROW($N$2:$N$100))+1), ROW(31:31))), " ")</f>
        <v xml:space="preserve"> </v>
      </c>
      <c r="U34" t="str">
        <f t="array" ref="U34">IFERROR(INDEX(G$2:G$100, SMALL(IF($N$2:$N$100="YES", ROW($N$2:$N$100)-MIN(ROW($N$2:$N$100))+1), ROW(31:31))), " ")</f>
        <v xml:space="preserve"> </v>
      </c>
      <c r="V34" t="str">
        <f t="array" ref="V34">IFERROR(INDEX(H$2:H$100, SMALL(IF($N$2:$N$100="YES", ROW($N$2:$N$100)-MIN(ROW($N$2:$N$100))+1), ROW(31:31))), " ")</f>
        <v xml:space="preserve"> </v>
      </c>
    </row>
    <row r="35" spans="2:22" ht="16.2" thickBot="1">
      <c r="B35" s="114"/>
      <c r="C35" s="115"/>
      <c r="D35" s="115"/>
      <c r="E35" s="115"/>
      <c r="F35" s="116"/>
      <c r="G35" s="117"/>
      <c r="H35" s="118"/>
      <c r="I35" s="116"/>
      <c r="J35" s="115"/>
      <c r="K35" s="114"/>
      <c r="L35" s="119"/>
      <c r="M35" s="114"/>
      <c r="N35" s="98"/>
      <c r="R35" t="str">
        <f t="array" ref="R35">IFERROR(INDEX(D$2:D$100, SMALL(IF($N$2:$N$100="YES", ROW($N$2:$N$100)-MIN(ROW($N$2:$N$100))+1), ROW(32:32))), " ")</f>
        <v xml:space="preserve"> </v>
      </c>
      <c r="S35" t="str">
        <f t="array" ref="S35">IFERROR(INDEX(E$2:E$100, SMALL(IF($N$2:$N$100="YES", ROW($N$2:$N$100)-MIN(ROW($N$2:$N$100))+1), ROW(32:32))), " ")</f>
        <v xml:space="preserve"> </v>
      </c>
      <c r="T35" t="str">
        <f t="array" ref="T35">IFERROR(INDEX(F$2:F$100, SMALL(IF($N$2:$N$100="YES", ROW($N$2:$N$100)-MIN(ROW($N$2:$N$100))+1), ROW(32:32))), " ")</f>
        <v xml:space="preserve"> </v>
      </c>
      <c r="U35" t="str">
        <f t="array" ref="U35">IFERROR(INDEX(G$2:G$100, SMALL(IF($N$2:$N$100="YES", ROW($N$2:$N$100)-MIN(ROW($N$2:$N$100))+1), ROW(32:32))), " ")</f>
        <v xml:space="preserve"> </v>
      </c>
      <c r="V35" t="str">
        <f t="array" ref="V35">IFERROR(INDEX(H$2:H$100, SMALL(IF($N$2:$N$100="YES", ROW($N$2:$N$100)-MIN(ROW($N$2:$N$100))+1), ROW(32:32))), " ")</f>
        <v xml:space="preserve"> </v>
      </c>
    </row>
    <row r="36" spans="2:22" ht="16.2" thickBot="1">
      <c r="B36" s="114"/>
      <c r="C36" s="115"/>
      <c r="D36" s="115"/>
      <c r="E36" s="115"/>
      <c r="F36" s="116"/>
      <c r="G36" s="117"/>
      <c r="H36" s="118"/>
      <c r="I36" s="116"/>
      <c r="J36" s="115"/>
      <c r="K36" s="114"/>
      <c r="L36" s="119"/>
      <c r="M36" s="114"/>
      <c r="N36" s="98"/>
      <c r="R36" t="str">
        <f t="array" ref="R36">IFERROR(INDEX(D$2:D$100, SMALL(IF($N$2:$N$100="YES", ROW($N$2:$N$100)-MIN(ROW($N$2:$N$100))+1), ROW(33:33))), " ")</f>
        <v xml:space="preserve"> </v>
      </c>
      <c r="S36" t="str">
        <f t="array" ref="S36">IFERROR(INDEX(E$2:E$100, SMALL(IF($N$2:$N$100="YES", ROW($N$2:$N$100)-MIN(ROW($N$2:$N$100))+1), ROW(33:33))), " ")</f>
        <v xml:space="preserve"> </v>
      </c>
      <c r="T36" t="str">
        <f t="array" ref="T36">IFERROR(INDEX(F$2:F$100, SMALL(IF($N$2:$N$100="YES", ROW($N$2:$N$100)-MIN(ROW($N$2:$N$100))+1), ROW(33:33))), " ")</f>
        <v xml:space="preserve"> </v>
      </c>
      <c r="U36" t="str">
        <f t="array" ref="U36">IFERROR(INDEX(G$2:G$100, SMALL(IF($N$2:$N$100="YES", ROW($N$2:$N$100)-MIN(ROW($N$2:$N$100))+1), ROW(33:33))), " ")</f>
        <v xml:space="preserve"> </v>
      </c>
      <c r="V36" t="str">
        <f t="array" ref="V36">IFERROR(INDEX(H$2:H$100, SMALL(IF($N$2:$N$100="YES", ROW($N$2:$N$100)-MIN(ROW($N$2:$N$100))+1), ROW(33:33))), " ")</f>
        <v xml:space="preserve"> </v>
      </c>
    </row>
    <row r="37" spans="2:22" ht="16.2" thickBot="1">
      <c r="B37" s="114"/>
      <c r="C37" s="115"/>
      <c r="D37" s="115"/>
      <c r="E37" s="115"/>
      <c r="F37" s="116"/>
      <c r="G37" s="117"/>
      <c r="H37" s="118"/>
      <c r="I37" s="116"/>
      <c r="J37" s="115"/>
      <c r="K37" s="114"/>
      <c r="L37" s="119"/>
      <c r="M37" s="114"/>
      <c r="N37" s="98"/>
      <c r="R37" t="str">
        <f t="array" ref="R37">IFERROR(INDEX(D$2:D$100, SMALL(IF($N$2:$N$100="YES", ROW($N$2:$N$100)-MIN(ROW($N$2:$N$100))+1), ROW(34:34))), " ")</f>
        <v xml:space="preserve"> </v>
      </c>
      <c r="S37" t="str">
        <f t="array" ref="S37">IFERROR(INDEX(E$2:E$100, SMALL(IF($N$2:$N$100="YES", ROW($N$2:$N$100)-MIN(ROW($N$2:$N$100))+1), ROW(34:34))), " ")</f>
        <v xml:space="preserve"> </v>
      </c>
      <c r="T37" t="str">
        <f t="array" ref="T37">IFERROR(INDEX(F$2:F$100, SMALL(IF($N$2:$N$100="YES", ROW($N$2:$N$100)-MIN(ROW($N$2:$N$100))+1), ROW(34:34))), " ")</f>
        <v xml:space="preserve"> </v>
      </c>
      <c r="U37" t="str">
        <f t="array" ref="U37">IFERROR(INDEX(G$2:G$100, SMALL(IF($N$2:$N$100="YES", ROW($N$2:$N$100)-MIN(ROW($N$2:$N$100))+1), ROW(34:34))), " ")</f>
        <v xml:space="preserve"> </v>
      </c>
      <c r="V37" t="str">
        <f t="array" ref="V37">IFERROR(INDEX(H$2:H$100, SMALL(IF($N$2:$N$100="YES", ROW($N$2:$N$100)-MIN(ROW($N$2:$N$100))+1), ROW(34:34))), " ")</f>
        <v xml:space="preserve"> </v>
      </c>
    </row>
    <row r="38" spans="2:22" ht="16.2" thickBot="1">
      <c r="B38" s="114"/>
      <c r="C38" s="115"/>
      <c r="D38" s="115"/>
      <c r="E38" s="115"/>
      <c r="F38" s="116"/>
      <c r="G38" s="117"/>
      <c r="H38" s="118"/>
      <c r="I38" s="116"/>
      <c r="J38" s="115"/>
      <c r="K38" s="114"/>
      <c r="L38" s="119"/>
      <c r="M38" s="114"/>
      <c r="N38" s="98"/>
      <c r="R38" t="str">
        <f t="array" ref="R38">IFERROR(INDEX(D$2:D$100, SMALL(IF($N$2:$N$100="YES", ROW($N$2:$N$100)-MIN(ROW($N$2:$N$100))+1), ROW(35:35))), " ")</f>
        <v xml:space="preserve"> </v>
      </c>
      <c r="S38" t="str">
        <f t="array" ref="S38">IFERROR(INDEX(E$2:E$100, SMALL(IF($N$2:$N$100="YES", ROW($N$2:$N$100)-MIN(ROW($N$2:$N$100))+1), ROW(35:35))), " ")</f>
        <v xml:space="preserve"> </v>
      </c>
      <c r="T38" t="str">
        <f t="array" ref="T38">IFERROR(INDEX(F$2:F$100, SMALL(IF($N$2:$N$100="YES", ROW($N$2:$N$100)-MIN(ROW($N$2:$N$100))+1), ROW(35:35))), " ")</f>
        <v xml:space="preserve"> </v>
      </c>
      <c r="U38" t="str">
        <f t="array" ref="U38">IFERROR(INDEX(G$2:G$100, SMALL(IF($N$2:$N$100="YES", ROW($N$2:$N$100)-MIN(ROW($N$2:$N$100))+1), ROW(35:35))), " ")</f>
        <v xml:space="preserve"> </v>
      </c>
      <c r="V38" t="str">
        <f t="array" ref="V38">IFERROR(INDEX(H$2:H$100, SMALL(IF($N$2:$N$100="YES", ROW($N$2:$N$100)-MIN(ROW($N$2:$N$100))+1), ROW(35:35))), " ")</f>
        <v xml:space="preserve"> </v>
      </c>
    </row>
    <row r="39" spans="2:22" ht="16.2" thickBot="1">
      <c r="B39" s="114"/>
      <c r="C39" s="115"/>
      <c r="D39" s="115"/>
      <c r="E39" s="115"/>
      <c r="F39" s="116"/>
      <c r="G39" s="117"/>
      <c r="H39" s="118"/>
      <c r="I39" s="116"/>
      <c r="J39" s="115"/>
      <c r="K39" s="114"/>
      <c r="L39" s="119"/>
      <c r="M39" s="114"/>
      <c r="N39" s="98"/>
      <c r="R39" t="str">
        <f t="array" ref="R39">IFERROR(INDEX(D$2:D$100, SMALL(IF($N$2:$N$100="YES", ROW($N$2:$N$100)-MIN(ROW($N$2:$N$100))+1), ROW(36:36))), " ")</f>
        <v xml:space="preserve"> </v>
      </c>
      <c r="S39" t="str">
        <f t="array" ref="S39">IFERROR(INDEX(E$2:E$100, SMALL(IF($N$2:$N$100="YES", ROW($N$2:$N$100)-MIN(ROW($N$2:$N$100))+1), ROW(36:36))), " ")</f>
        <v xml:space="preserve"> </v>
      </c>
      <c r="T39" t="str">
        <f t="array" ref="T39">IFERROR(INDEX(F$2:F$100, SMALL(IF($N$2:$N$100="YES", ROW($N$2:$N$100)-MIN(ROW($N$2:$N$100))+1), ROW(36:36))), " ")</f>
        <v xml:space="preserve"> </v>
      </c>
      <c r="U39" t="str">
        <f t="array" ref="U39">IFERROR(INDEX(G$2:G$100, SMALL(IF($N$2:$N$100="YES", ROW($N$2:$N$100)-MIN(ROW($N$2:$N$100))+1), ROW(36:36))), " ")</f>
        <v xml:space="preserve"> </v>
      </c>
      <c r="V39" t="str">
        <f t="array" ref="V39">IFERROR(INDEX(H$2:H$100, SMALL(IF($N$2:$N$100="YES", ROW($N$2:$N$100)-MIN(ROW($N$2:$N$100))+1), ROW(36:36))), " ")</f>
        <v xml:space="preserve"> </v>
      </c>
    </row>
    <row r="40" spans="2:22" ht="16.2" thickBot="1">
      <c r="B40" s="114"/>
      <c r="C40" s="115"/>
      <c r="D40" s="115"/>
      <c r="E40" s="115"/>
      <c r="F40" s="116"/>
      <c r="G40" s="117"/>
      <c r="H40" s="118"/>
      <c r="I40" s="116"/>
      <c r="J40" s="115"/>
      <c r="K40" s="114"/>
      <c r="L40" s="119"/>
      <c r="M40" s="114"/>
      <c r="N40" s="98"/>
      <c r="R40" t="str">
        <f t="array" ref="R40">IFERROR(INDEX(D$2:D$100, SMALL(IF($N$2:$N$100="YES", ROW($N$2:$N$100)-MIN(ROW($N$2:$N$100))+1), ROW(37:37))), " ")</f>
        <v xml:space="preserve"> </v>
      </c>
      <c r="S40" t="str">
        <f t="array" ref="S40">IFERROR(INDEX(E$2:E$100, SMALL(IF($N$2:$N$100="YES", ROW($N$2:$N$100)-MIN(ROW($N$2:$N$100))+1), ROW(37:37))), " ")</f>
        <v xml:space="preserve"> </v>
      </c>
      <c r="T40" t="str">
        <f t="array" ref="T40">IFERROR(INDEX(F$2:F$100, SMALL(IF($N$2:$N$100="YES", ROW($N$2:$N$100)-MIN(ROW($N$2:$N$100))+1), ROW(37:37))), " ")</f>
        <v xml:space="preserve"> </v>
      </c>
      <c r="U40" t="str">
        <f t="array" ref="U40">IFERROR(INDEX(G$2:G$100, SMALL(IF($N$2:$N$100="YES", ROW($N$2:$N$100)-MIN(ROW($N$2:$N$100))+1), ROW(37:37))), " ")</f>
        <v xml:space="preserve"> </v>
      </c>
      <c r="V40" t="str">
        <f t="array" ref="V40">IFERROR(INDEX(H$2:H$100, SMALL(IF($N$2:$N$100="YES", ROW($N$2:$N$100)-MIN(ROW($N$2:$N$100))+1), ROW(37:37))), " ")</f>
        <v xml:space="preserve"> </v>
      </c>
    </row>
    <row r="41" spans="2:22" ht="16.2" thickBot="1">
      <c r="B41" s="114"/>
      <c r="C41" s="115"/>
      <c r="D41" s="115"/>
      <c r="E41" s="115"/>
      <c r="F41" s="116"/>
      <c r="G41" s="117"/>
      <c r="H41" s="118"/>
      <c r="I41" s="116"/>
      <c r="J41" s="115"/>
      <c r="K41" s="114"/>
      <c r="L41" s="119"/>
      <c r="M41" s="114"/>
      <c r="N41" s="98"/>
      <c r="R41" t="str">
        <f t="array" ref="R41">IFERROR(INDEX(D$2:D$100, SMALL(IF($N$2:$N$100="YES", ROW($N$2:$N$100)-MIN(ROW($N$2:$N$100))+1), ROW(38:38))), " ")</f>
        <v xml:space="preserve"> </v>
      </c>
      <c r="S41" t="str">
        <f t="array" ref="S41">IFERROR(INDEX(E$2:E$100, SMALL(IF($N$2:$N$100="YES", ROW($N$2:$N$100)-MIN(ROW($N$2:$N$100))+1), ROW(38:38))), " ")</f>
        <v xml:space="preserve"> </v>
      </c>
      <c r="T41" t="str">
        <f t="array" ref="T41">IFERROR(INDEX(F$2:F$100, SMALL(IF($N$2:$N$100="YES", ROW($N$2:$N$100)-MIN(ROW($N$2:$N$100))+1), ROW(38:38))), " ")</f>
        <v xml:space="preserve"> </v>
      </c>
      <c r="U41" t="str">
        <f t="array" ref="U41">IFERROR(INDEX(G$2:G$100, SMALL(IF($N$2:$N$100="YES", ROW($N$2:$N$100)-MIN(ROW($N$2:$N$100))+1), ROW(38:38))), " ")</f>
        <v xml:space="preserve"> </v>
      </c>
      <c r="V41" t="str">
        <f t="array" ref="V41">IFERROR(INDEX(H$2:H$100, SMALL(IF($N$2:$N$100="YES", ROW($N$2:$N$100)-MIN(ROW($N$2:$N$100))+1), ROW(38:38))), " ")</f>
        <v xml:space="preserve"> </v>
      </c>
    </row>
    <row r="42" spans="2:22" ht="16.2" thickBot="1">
      <c r="B42" s="114"/>
      <c r="C42" s="115"/>
      <c r="D42" s="115"/>
      <c r="E42" s="115"/>
      <c r="F42" s="116"/>
      <c r="G42" s="117"/>
      <c r="H42" s="118"/>
      <c r="I42" s="116"/>
      <c r="J42" s="115"/>
      <c r="K42" s="114"/>
      <c r="L42" s="119"/>
      <c r="M42" s="114"/>
      <c r="N42" s="98"/>
      <c r="R42" t="str">
        <f t="array" ref="R42">IFERROR(INDEX(D$2:D$100, SMALL(IF($N$2:$N$100="YES", ROW($N$2:$N$100)-MIN(ROW($N$2:$N$100))+1), ROW(39:39))), " ")</f>
        <v xml:space="preserve"> </v>
      </c>
      <c r="S42" t="str">
        <f t="array" ref="S42">IFERROR(INDEX(E$2:E$100, SMALL(IF($N$2:$N$100="YES", ROW($N$2:$N$100)-MIN(ROW($N$2:$N$100))+1), ROW(39:39))), " ")</f>
        <v xml:space="preserve"> </v>
      </c>
      <c r="T42" t="str">
        <f t="array" ref="T42">IFERROR(INDEX(F$2:F$100, SMALL(IF($N$2:$N$100="YES", ROW($N$2:$N$100)-MIN(ROW($N$2:$N$100))+1), ROW(39:39))), " ")</f>
        <v xml:space="preserve"> </v>
      </c>
      <c r="U42" t="str">
        <f t="array" ref="U42">IFERROR(INDEX(G$2:G$100, SMALL(IF($N$2:$N$100="YES", ROW($N$2:$N$100)-MIN(ROW($N$2:$N$100))+1), ROW(39:39))), " ")</f>
        <v xml:space="preserve"> </v>
      </c>
      <c r="V42" t="str">
        <f t="array" ref="V42">IFERROR(INDEX(H$2:H$100, SMALL(IF($N$2:$N$100="YES", ROW($N$2:$N$100)-MIN(ROW($N$2:$N$100))+1), ROW(39:39))), " ")</f>
        <v xml:space="preserve"> </v>
      </c>
    </row>
    <row r="43" spans="2:22" ht="16.2" thickBot="1">
      <c r="B43" s="114"/>
      <c r="C43" s="115"/>
      <c r="D43" s="115"/>
      <c r="E43" s="115"/>
      <c r="F43" s="116"/>
      <c r="G43" s="117"/>
      <c r="H43" s="118"/>
      <c r="I43" s="116"/>
      <c r="J43" s="115"/>
      <c r="K43" s="114"/>
      <c r="L43" s="119"/>
      <c r="M43" s="114"/>
      <c r="N43" s="98"/>
      <c r="R43" t="str">
        <f t="array" ref="R43">IFERROR(INDEX(D$2:D$100, SMALL(IF($N$2:$N$100="YES", ROW($N$2:$N$100)-MIN(ROW($N$2:$N$100))+1), ROW(40:40))), " ")</f>
        <v xml:space="preserve"> </v>
      </c>
      <c r="S43" t="str">
        <f t="array" ref="S43">IFERROR(INDEX(E$2:E$100, SMALL(IF($N$2:$N$100="YES", ROW($N$2:$N$100)-MIN(ROW($N$2:$N$100))+1), ROW(40:40))), " ")</f>
        <v xml:space="preserve"> </v>
      </c>
      <c r="T43" t="str">
        <f t="array" ref="T43">IFERROR(INDEX(F$2:F$100, SMALL(IF($N$2:$N$100="YES", ROW($N$2:$N$100)-MIN(ROW($N$2:$N$100))+1), ROW(40:40))), " ")</f>
        <v xml:space="preserve"> </v>
      </c>
      <c r="U43" t="str">
        <f t="array" ref="U43">IFERROR(INDEX(G$2:G$100, SMALL(IF($N$2:$N$100="YES", ROW($N$2:$N$100)-MIN(ROW($N$2:$N$100))+1), ROW(40:40))), " ")</f>
        <v xml:space="preserve"> </v>
      </c>
      <c r="V43" t="str">
        <f t="array" ref="V43">IFERROR(INDEX(H$2:H$100, SMALL(IF($N$2:$N$100="YES", ROW($N$2:$N$100)-MIN(ROW($N$2:$N$100))+1), ROW(40:40))), " ")</f>
        <v xml:space="preserve"> </v>
      </c>
    </row>
    <row r="44" spans="2:22" ht="16.2" thickBot="1">
      <c r="B44" s="114"/>
      <c r="C44" s="115"/>
      <c r="D44" s="115"/>
      <c r="E44" s="115"/>
      <c r="F44" s="116"/>
      <c r="G44" s="117"/>
      <c r="H44" s="118"/>
      <c r="I44" s="116"/>
      <c r="J44" s="115"/>
      <c r="K44" s="114"/>
      <c r="L44" s="119"/>
      <c r="M44" s="114"/>
      <c r="N44" s="98"/>
      <c r="R44" t="str">
        <f t="array" ref="R44">IFERROR(INDEX(D$2:D$100, SMALL(IF($N$2:$N$100="YES", ROW($N$2:$N$100)-MIN(ROW($N$2:$N$100))+1), ROW(41:41))), " ")</f>
        <v xml:space="preserve"> </v>
      </c>
      <c r="S44" t="str">
        <f t="array" ref="S44">IFERROR(INDEX(E$2:E$100, SMALL(IF($N$2:$N$100="YES", ROW($N$2:$N$100)-MIN(ROW($N$2:$N$100))+1), ROW(41:41))), " ")</f>
        <v xml:space="preserve"> </v>
      </c>
      <c r="T44" t="str">
        <f t="array" ref="T44">IFERROR(INDEX(F$2:F$100, SMALL(IF($N$2:$N$100="YES", ROW($N$2:$N$100)-MIN(ROW($N$2:$N$100))+1), ROW(41:41))), " ")</f>
        <v xml:space="preserve"> </v>
      </c>
      <c r="U44" t="str">
        <f t="array" ref="U44">IFERROR(INDEX(G$2:G$100, SMALL(IF($N$2:$N$100="YES", ROW($N$2:$N$100)-MIN(ROW($N$2:$N$100))+1), ROW(41:41))), " ")</f>
        <v xml:space="preserve"> </v>
      </c>
      <c r="V44" t="str">
        <f t="array" ref="V44">IFERROR(INDEX(H$2:H$100, SMALL(IF($N$2:$N$100="YES", ROW($N$2:$N$100)-MIN(ROW($N$2:$N$100))+1), ROW(41:41))), " ")</f>
        <v xml:space="preserve"> </v>
      </c>
    </row>
    <row r="45" spans="2:22" ht="16.2" thickBot="1">
      <c r="B45" s="114"/>
      <c r="C45" s="115"/>
      <c r="D45" s="115"/>
      <c r="E45" s="115"/>
      <c r="F45" s="116"/>
      <c r="G45" s="117"/>
      <c r="H45" s="118"/>
      <c r="I45" s="116"/>
      <c r="J45" s="115"/>
      <c r="K45" s="114"/>
      <c r="L45" s="119"/>
      <c r="M45" s="114"/>
      <c r="N45" s="98"/>
      <c r="R45" t="str">
        <f t="array" ref="R45">IFERROR(INDEX(D$2:D$100, SMALL(IF($N$2:$N$100="YES", ROW($N$2:$N$100)-MIN(ROW($N$2:$N$100))+1), ROW(42:42))), " ")</f>
        <v xml:space="preserve"> </v>
      </c>
      <c r="S45" t="str">
        <f t="array" ref="S45">IFERROR(INDEX(E$2:E$100, SMALL(IF($N$2:$N$100="YES", ROW($N$2:$N$100)-MIN(ROW($N$2:$N$100))+1), ROW(42:42))), " ")</f>
        <v xml:space="preserve"> </v>
      </c>
      <c r="T45" t="str">
        <f t="array" ref="T45">IFERROR(INDEX(F$2:F$100, SMALL(IF($N$2:$N$100="YES", ROW($N$2:$N$100)-MIN(ROW($N$2:$N$100))+1), ROW(42:42))), " ")</f>
        <v xml:space="preserve"> </v>
      </c>
      <c r="U45" t="str">
        <f t="array" ref="U45">IFERROR(INDEX(G$2:G$100, SMALL(IF($N$2:$N$100="YES", ROW($N$2:$N$100)-MIN(ROW($N$2:$N$100))+1), ROW(42:42))), " ")</f>
        <v xml:space="preserve"> </v>
      </c>
      <c r="V45" t="str">
        <f t="array" ref="V45">IFERROR(INDEX(H$2:H$100, SMALL(IF($N$2:$N$100="YES", ROW($N$2:$N$100)-MIN(ROW($N$2:$N$100))+1), ROW(42:42))), " ")</f>
        <v xml:space="preserve"> </v>
      </c>
    </row>
    <row r="46" spans="2:22" ht="16.2" thickBot="1">
      <c r="B46" s="114"/>
      <c r="C46" s="115"/>
      <c r="D46" s="115"/>
      <c r="E46" s="115"/>
      <c r="F46" s="116"/>
      <c r="G46" s="117"/>
      <c r="H46" s="118"/>
      <c r="I46" s="116"/>
      <c r="J46" s="115"/>
      <c r="K46" s="114"/>
      <c r="L46" s="119"/>
      <c r="M46" s="114"/>
      <c r="N46" s="98"/>
      <c r="R46" t="str">
        <f t="array" ref="R46">IFERROR(INDEX(D$2:D$100, SMALL(IF($N$2:$N$100="YES", ROW($N$2:$N$100)-MIN(ROW($N$2:$N$100))+1), ROW(43:43))), " ")</f>
        <v xml:space="preserve"> </v>
      </c>
      <c r="S46" t="str">
        <f t="array" ref="S46">IFERROR(INDEX(E$2:E$100, SMALL(IF($N$2:$N$100="YES", ROW($N$2:$N$100)-MIN(ROW($N$2:$N$100))+1), ROW(43:43))), " ")</f>
        <v xml:space="preserve"> </v>
      </c>
      <c r="T46" t="str">
        <f t="array" ref="T46">IFERROR(INDEX(F$2:F$100, SMALL(IF($N$2:$N$100="YES", ROW($N$2:$N$100)-MIN(ROW($N$2:$N$100))+1), ROW(43:43))), " ")</f>
        <v xml:space="preserve"> </v>
      </c>
      <c r="U46" t="str">
        <f t="array" ref="U46">IFERROR(INDEX(G$2:G$100, SMALL(IF($N$2:$N$100="YES", ROW($N$2:$N$100)-MIN(ROW($N$2:$N$100))+1), ROW(43:43))), " ")</f>
        <v xml:space="preserve"> </v>
      </c>
      <c r="V46" t="str">
        <f t="array" ref="V46">IFERROR(INDEX(H$2:H$100, SMALL(IF($N$2:$N$100="YES", ROW($N$2:$N$100)-MIN(ROW($N$2:$N$100))+1), ROW(43:43))), " ")</f>
        <v xml:space="preserve"> </v>
      </c>
    </row>
    <row r="47" spans="2:22" ht="16.2" thickBot="1">
      <c r="B47" s="114"/>
      <c r="C47" s="115"/>
      <c r="D47" s="115"/>
      <c r="E47" s="115"/>
      <c r="F47" s="116"/>
      <c r="G47" s="117"/>
      <c r="H47" s="118"/>
      <c r="I47" s="116"/>
      <c r="J47" s="115"/>
      <c r="K47" s="114"/>
      <c r="L47" s="119"/>
      <c r="M47" s="114"/>
      <c r="N47" s="98"/>
      <c r="R47" t="str">
        <f t="array" ref="R47">IFERROR(INDEX(D$2:D$100, SMALL(IF($N$2:$N$100="YES", ROW($N$2:$N$100)-MIN(ROW($N$2:$N$100))+1), ROW(44:44))), " ")</f>
        <v xml:space="preserve"> </v>
      </c>
      <c r="S47" t="str">
        <f t="array" ref="S47">IFERROR(INDEX(E$2:E$100, SMALL(IF($N$2:$N$100="YES", ROW($N$2:$N$100)-MIN(ROW($N$2:$N$100))+1), ROW(44:44))), " ")</f>
        <v xml:space="preserve"> </v>
      </c>
      <c r="T47" t="str">
        <f t="array" ref="T47">IFERROR(INDEX(F$2:F$100, SMALL(IF($N$2:$N$100="YES", ROW($N$2:$N$100)-MIN(ROW($N$2:$N$100))+1), ROW(44:44))), " ")</f>
        <v xml:space="preserve"> </v>
      </c>
      <c r="U47" t="str">
        <f t="array" ref="U47">IFERROR(INDEX(G$2:G$100, SMALL(IF($N$2:$N$100="YES", ROW($N$2:$N$100)-MIN(ROW($N$2:$N$100))+1), ROW(44:44))), " ")</f>
        <v xml:space="preserve"> </v>
      </c>
      <c r="V47" t="str">
        <f t="array" ref="V47">IFERROR(INDEX(H$2:H$100, SMALL(IF($N$2:$N$100="YES", ROW($N$2:$N$100)-MIN(ROW($N$2:$N$100))+1), ROW(44:44))), " ")</f>
        <v xml:space="preserve"> </v>
      </c>
    </row>
    <row r="48" spans="2:22" ht="16.2" thickBot="1">
      <c r="B48" s="114"/>
      <c r="C48" s="115"/>
      <c r="D48" s="115"/>
      <c r="E48" s="115"/>
      <c r="F48" s="116"/>
      <c r="G48" s="117"/>
      <c r="H48" s="118"/>
      <c r="I48" s="116"/>
      <c r="J48" s="115"/>
      <c r="K48" s="114"/>
      <c r="L48" s="119"/>
      <c r="M48" s="114"/>
      <c r="N48" s="98"/>
      <c r="R48" t="str">
        <f t="array" ref="R48">IFERROR(INDEX(D$2:D$100, SMALL(IF($N$2:$N$100="YES", ROW($N$2:$N$100)-MIN(ROW($N$2:$N$100))+1), ROW(45:45))), " ")</f>
        <v xml:space="preserve"> </v>
      </c>
      <c r="S48" t="str">
        <f t="array" ref="S48">IFERROR(INDEX(E$2:E$100, SMALL(IF($N$2:$N$100="YES", ROW($N$2:$N$100)-MIN(ROW($N$2:$N$100))+1), ROW(45:45))), " ")</f>
        <v xml:space="preserve"> </v>
      </c>
      <c r="T48" t="str">
        <f t="array" ref="T48">IFERROR(INDEX(F$2:F$100, SMALL(IF($N$2:$N$100="YES", ROW($N$2:$N$100)-MIN(ROW($N$2:$N$100))+1), ROW(45:45))), " ")</f>
        <v xml:space="preserve"> </v>
      </c>
      <c r="U48" t="str">
        <f t="array" ref="U48">IFERROR(INDEX(G$2:G$100, SMALL(IF($N$2:$N$100="YES", ROW($N$2:$N$100)-MIN(ROW($N$2:$N$100))+1), ROW(45:45))), " ")</f>
        <v xml:space="preserve"> </v>
      </c>
      <c r="V48" t="str">
        <f t="array" ref="V48">IFERROR(INDEX(H$2:H$100, SMALL(IF($N$2:$N$100="YES", ROW($N$2:$N$100)-MIN(ROW($N$2:$N$100))+1), ROW(45:45))), " ")</f>
        <v xml:space="preserve"> </v>
      </c>
    </row>
    <row r="49" spans="2:22" ht="16.2" thickBot="1">
      <c r="B49" s="114"/>
      <c r="C49" s="115"/>
      <c r="D49" s="115"/>
      <c r="E49" s="115"/>
      <c r="F49" s="116"/>
      <c r="G49" s="117"/>
      <c r="H49" s="118"/>
      <c r="I49" s="116"/>
      <c r="J49" s="115"/>
      <c r="K49" s="114"/>
      <c r="L49" s="119"/>
      <c r="M49" s="114"/>
      <c r="N49" s="98"/>
      <c r="R49" t="str">
        <f t="array" ref="R49">IFERROR(INDEX(D$2:D$100, SMALL(IF($N$2:$N$100="YES", ROW($N$2:$N$100)-MIN(ROW($N$2:$N$100))+1), ROW(46:46))), " ")</f>
        <v xml:space="preserve"> </v>
      </c>
      <c r="S49" t="str">
        <f t="array" ref="S49">IFERROR(INDEX(E$2:E$100, SMALL(IF($N$2:$N$100="YES", ROW($N$2:$N$100)-MIN(ROW($N$2:$N$100))+1), ROW(46:46))), " ")</f>
        <v xml:space="preserve"> </v>
      </c>
      <c r="T49" t="str">
        <f t="array" ref="T49">IFERROR(INDEX(F$2:F$100, SMALL(IF($N$2:$N$100="YES", ROW($N$2:$N$100)-MIN(ROW($N$2:$N$100))+1), ROW(46:46))), " ")</f>
        <v xml:space="preserve"> </v>
      </c>
      <c r="U49" t="str">
        <f t="array" ref="U49">IFERROR(INDEX(G$2:G$100, SMALL(IF($N$2:$N$100="YES", ROW($N$2:$N$100)-MIN(ROW($N$2:$N$100))+1), ROW(46:46))), " ")</f>
        <v xml:space="preserve"> </v>
      </c>
      <c r="V49" t="str">
        <f t="array" ref="V49">IFERROR(INDEX(H$2:H$100, SMALL(IF($N$2:$N$100="YES", ROW($N$2:$N$100)-MIN(ROW($N$2:$N$100))+1), ROW(46:46))), " ")</f>
        <v xml:space="preserve"> </v>
      </c>
    </row>
    <row r="50" spans="2:22" ht="16.2" thickBot="1">
      <c r="B50" s="114"/>
      <c r="C50" s="115"/>
      <c r="D50" s="115"/>
      <c r="E50" s="115"/>
      <c r="F50" s="116"/>
      <c r="G50" s="117"/>
      <c r="H50" s="118"/>
      <c r="I50" s="116"/>
      <c r="J50" s="115"/>
      <c r="K50" s="114"/>
      <c r="L50" s="119"/>
      <c r="M50" s="114"/>
      <c r="N50" s="98"/>
      <c r="R50" t="str">
        <f t="array" ref="R50">IFERROR(INDEX(D$2:D$100, SMALL(IF($N$2:$N$100="YES", ROW($N$2:$N$100)-MIN(ROW($N$2:$N$100))+1), ROW(47:47))), " ")</f>
        <v xml:space="preserve"> </v>
      </c>
      <c r="S50" t="str">
        <f t="array" ref="S50">IFERROR(INDEX(E$2:E$100, SMALL(IF($N$2:$N$100="YES", ROW($N$2:$N$100)-MIN(ROW($N$2:$N$100))+1), ROW(47:47))), " ")</f>
        <v xml:space="preserve"> </v>
      </c>
      <c r="T50" t="str">
        <f t="array" ref="T50">IFERROR(INDEX(F$2:F$100, SMALL(IF($N$2:$N$100="YES", ROW($N$2:$N$100)-MIN(ROW($N$2:$N$100))+1), ROW(47:47))), " ")</f>
        <v xml:space="preserve"> </v>
      </c>
      <c r="U50" t="str">
        <f t="array" ref="U50">IFERROR(INDEX(G$2:G$100, SMALL(IF($N$2:$N$100="YES", ROW($N$2:$N$100)-MIN(ROW($N$2:$N$100))+1), ROW(47:47))), " ")</f>
        <v xml:space="preserve"> </v>
      </c>
      <c r="V50" t="str">
        <f t="array" ref="V50">IFERROR(INDEX(H$2:H$100, SMALL(IF($N$2:$N$100="YES", ROW($N$2:$N$100)-MIN(ROW($N$2:$N$100))+1), ROW(47:47))), " ")</f>
        <v xml:space="preserve"> </v>
      </c>
    </row>
    <row r="51" spans="2:22" ht="16.2" thickBot="1">
      <c r="B51" s="114"/>
      <c r="C51" s="115"/>
      <c r="D51" s="115"/>
      <c r="E51" s="115"/>
      <c r="F51" s="116"/>
      <c r="G51" s="117"/>
      <c r="H51" s="118"/>
      <c r="I51" s="116"/>
      <c r="J51" s="115"/>
      <c r="K51" s="114"/>
      <c r="L51" s="119"/>
      <c r="M51" s="114"/>
      <c r="N51" s="98"/>
      <c r="R51" t="str">
        <f t="array" ref="R51">IFERROR(INDEX(D$2:D$100, SMALL(IF($N$2:$N$100="YES", ROW($N$2:$N$100)-MIN(ROW($N$2:$N$100))+1), ROW(48:48))), " ")</f>
        <v xml:space="preserve"> </v>
      </c>
      <c r="S51" t="str">
        <f t="array" ref="S51">IFERROR(INDEX(E$2:E$100, SMALL(IF($N$2:$N$100="YES", ROW($N$2:$N$100)-MIN(ROW($N$2:$N$100))+1), ROW(48:48))), " ")</f>
        <v xml:space="preserve"> </v>
      </c>
      <c r="T51" t="str">
        <f t="array" ref="T51">IFERROR(INDEX(F$2:F$100, SMALL(IF($N$2:$N$100="YES", ROW($N$2:$N$100)-MIN(ROW($N$2:$N$100))+1), ROW(48:48))), " ")</f>
        <v xml:space="preserve"> </v>
      </c>
      <c r="U51" t="str">
        <f t="array" ref="U51">IFERROR(INDEX(G$2:G$100, SMALL(IF($N$2:$N$100="YES", ROW($N$2:$N$100)-MIN(ROW($N$2:$N$100))+1), ROW(48:48))), " ")</f>
        <v xml:space="preserve"> </v>
      </c>
      <c r="V51" t="str">
        <f t="array" ref="V51">IFERROR(INDEX(H$2:H$100, SMALL(IF($N$2:$N$100="YES", ROW($N$2:$N$100)-MIN(ROW($N$2:$N$100))+1), ROW(48:48))), " ")</f>
        <v xml:space="preserve"> </v>
      </c>
    </row>
    <row r="52" spans="2:22" ht="15" thickBot="1">
      <c r="B52" s="114"/>
      <c r="C52" s="115"/>
      <c r="D52" s="115"/>
      <c r="E52" s="115"/>
      <c r="F52" s="116"/>
      <c r="G52" s="117"/>
      <c r="H52" s="118"/>
      <c r="I52" s="116"/>
      <c r="J52" s="115"/>
      <c r="K52" s="114"/>
      <c r="L52" s="119"/>
      <c r="M52" s="114"/>
    </row>
  </sheetData>
  <protectedRanges>
    <protectedRange sqref="N3" name="INPUT LIABILITIES_1_3"/>
  </protectedRanges>
  <mergeCells count="1">
    <mergeCell ref="B2:N2"/>
  </mergeCells>
  <conditionalFormatting sqref="N3">
    <cfRule type="cellIs" dxfId="73" priority="3" operator="equal">
      <formula>"YES"</formula>
    </cfRule>
  </conditionalFormatting>
  <conditionalFormatting sqref="N4">
    <cfRule type="cellIs" dxfId="72" priority="2" operator="equal">
      <formula>"YES"</formula>
    </cfRule>
  </conditionalFormatting>
  <conditionalFormatting sqref="N5:N51">
    <cfRule type="cellIs" dxfId="71" priority="1" operator="equal">
      <formula>"YES"</formula>
    </cfRule>
  </conditionalFormatting>
  <dataValidations count="1">
    <dataValidation type="list" allowBlank="1" showInputMessage="1" showErrorMessage="1" sqref="N4:N51" xr:uid="{00000000-0002-0000-0A00-000000000000}">
      <formula1>$O$1:$P$1</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70" r:id="rId3" name="Button 2">
              <controlPr defaultSize="0" print="0" autoFill="0" autoPict="0" macro="[0]!Paste2023LPC">
                <anchor moveWithCells="1" sizeWithCells="1">
                  <from>
                    <xdr:col>1</xdr:col>
                    <xdr:colOff>22860</xdr:colOff>
                    <xdr:row>1</xdr:row>
                    <xdr:rowOff>7620</xdr:rowOff>
                  </from>
                  <to>
                    <xdr:col>13</xdr:col>
                    <xdr:colOff>655320</xdr:colOff>
                    <xdr:row>1</xdr:row>
                    <xdr:rowOff>617220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4">
    <tabColor theme="4" tint="0.39997558519241921"/>
  </sheetPr>
  <dimension ref="A2:Z19"/>
  <sheetViews>
    <sheetView workbookViewId="0">
      <selection activeCell="F6" sqref="F6"/>
    </sheetView>
  </sheetViews>
  <sheetFormatPr defaultRowHeight="14.4"/>
  <cols>
    <col min="1" max="1" width="10.33203125" bestFit="1" customWidth="1"/>
    <col min="2" max="2" width="17.33203125" customWidth="1"/>
    <col min="4" max="4" width="16.44140625" customWidth="1"/>
    <col min="5" max="5" width="14.33203125" customWidth="1"/>
    <col min="6" max="6" width="15.6640625" customWidth="1"/>
    <col min="7" max="7" width="12.6640625" bestFit="1" customWidth="1"/>
    <col min="8" max="8" width="44.6640625" customWidth="1"/>
  </cols>
  <sheetData>
    <row r="2" spans="1:26" ht="25.8">
      <c r="H2" s="94" t="s">
        <v>109</v>
      </c>
    </row>
    <row r="3" spans="1:26" ht="57.6">
      <c r="A3" s="62" t="s">
        <v>27</v>
      </c>
      <c r="B3" s="62" t="s">
        <v>102</v>
      </c>
      <c r="C3" s="63" t="s">
        <v>1</v>
      </c>
      <c r="D3" s="62" t="s">
        <v>2</v>
      </c>
      <c r="E3" s="62" t="s">
        <v>3</v>
      </c>
      <c r="F3" s="62" t="s">
        <v>4</v>
      </c>
      <c r="G3" s="62" t="s">
        <v>5</v>
      </c>
      <c r="H3" s="62" t="s">
        <v>6</v>
      </c>
      <c r="I3" s="62" t="s">
        <v>7</v>
      </c>
      <c r="J3" s="62" t="s">
        <v>8</v>
      </c>
      <c r="K3" s="62" t="s">
        <v>9</v>
      </c>
      <c r="L3" s="62" t="s">
        <v>10</v>
      </c>
      <c r="M3" s="62" t="s">
        <v>11</v>
      </c>
      <c r="N3" s="64" t="s">
        <v>26</v>
      </c>
      <c r="O3" s="64" t="s">
        <v>13</v>
      </c>
      <c r="P3" s="65" t="s">
        <v>14</v>
      </c>
      <c r="Q3" s="64" t="s">
        <v>15</v>
      </c>
      <c r="R3" s="64" t="s">
        <v>16</v>
      </c>
      <c r="S3" s="65" t="s">
        <v>17</v>
      </c>
      <c r="T3" s="62" t="s">
        <v>18</v>
      </c>
      <c r="U3" s="62" t="s">
        <v>19</v>
      </c>
      <c r="V3" s="62" t="s">
        <v>20</v>
      </c>
      <c r="W3" s="62" t="s">
        <v>21</v>
      </c>
      <c r="X3" s="62" t="s">
        <v>22</v>
      </c>
      <c r="Y3" s="62" t="s">
        <v>23</v>
      </c>
      <c r="Z3" s="64" t="s">
        <v>24</v>
      </c>
    </row>
    <row r="4" spans="1:26">
      <c r="A4" t="str">
        <f t="array" ref="A4:Z19">_xlfn._xlws.FILTER(LEADS!A6:Z9923,LEADS!D6:D9923=$H$2,"No Data Found")</f>
        <v>No Data Found</v>
      </c>
      <c r="B4" t="str">
        <v>No Data Found</v>
      </c>
      <c r="C4" t="str">
        <v>No Data Found</v>
      </c>
      <c r="D4" t="str">
        <v>No Data Found</v>
      </c>
      <c r="E4" t="str">
        <v>No Data Found</v>
      </c>
      <c r="F4" t="str">
        <v>No Data Found</v>
      </c>
      <c r="G4" t="str">
        <v>No Data Found</v>
      </c>
      <c r="H4" t="str">
        <v>No Data Found</v>
      </c>
      <c r="I4" t="str">
        <v>No Data Found</v>
      </c>
      <c r="J4" t="str">
        <v>No Data Found</v>
      </c>
      <c r="K4" t="str">
        <v>No Data Found</v>
      </c>
      <c r="L4" t="str">
        <v>No Data Found</v>
      </c>
      <c r="M4" t="str">
        <v>No Data Found</v>
      </c>
      <c r="N4" t="str">
        <v>No Data Found</v>
      </c>
      <c r="O4" t="str">
        <v>No Data Found</v>
      </c>
      <c r="P4" t="str">
        <v>No Data Found</v>
      </c>
      <c r="Q4" t="str">
        <v>No Data Found</v>
      </c>
      <c r="R4" t="str">
        <v>No Data Found</v>
      </c>
      <c r="S4" t="str">
        <v>No Data Found</v>
      </c>
      <c r="T4" t="str">
        <v>No Data Found</v>
      </c>
      <c r="U4" t="str">
        <v>No Data Found</v>
      </c>
      <c r="V4" t="str">
        <v>No Data Found</v>
      </c>
      <c r="W4" t="str">
        <v>No Data Found</v>
      </c>
      <c r="X4" t="str">
        <v>No Data Found</v>
      </c>
      <c r="Y4" t="str">
        <v>No Data Found</v>
      </c>
      <c r="Z4" t="str">
        <v>No Data Found</v>
      </c>
    </row>
    <row r="5" spans="1:26">
      <c r="A5" t="str">
        <v>No Data Found</v>
      </c>
      <c r="B5" t="str">
        <v>No Data Found</v>
      </c>
      <c r="C5" t="str">
        <v>No Data Found</v>
      </c>
      <c r="D5" t="str">
        <v>No Data Found</v>
      </c>
      <c r="E5" t="str">
        <v>No Data Found</v>
      </c>
      <c r="F5" t="str">
        <v>No Data Found</v>
      </c>
      <c r="G5" t="str">
        <v>No Data Found</v>
      </c>
      <c r="H5" t="str">
        <v>No Data Found</v>
      </c>
      <c r="I5" t="str">
        <v>No Data Found</v>
      </c>
      <c r="J5" t="str">
        <v>No Data Found</v>
      </c>
      <c r="K5" t="str">
        <v>No Data Found</v>
      </c>
      <c r="L5" t="str">
        <v>No Data Found</v>
      </c>
      <c r="M5" t="str">
        <v>No Data Found</v>
      </c>
      <c r="N5" t="str">
        <v>No Data Found</v>
      </c>
      <c r="O5" t="str">
        <v>No Data Found</v>
      </c>
      <c r="P5" t="str">
        <v>No Data Found</v>
      </c>
      <c r="Q5" t="str">
        <v>No Data Found</v>
      </c>
      <c r="R5" t="str">
        <v>No Data Found</v>
      </c>
      <c r="S5" t="str">
        <v>No Data Found</v>
      </c>
      <c r="T5" t="str">
        <v>No Data Found</v>
      </c>
      <c r="U5" t="str">
        <v>No Data Found</v>
      </c>
      <c r="V5" t="str">
        <v>No Data Found</v>
      </c>
      <c r="W5" t="str">
        <v>No Data Found</v>
      </c>
      <c r="X5" t="str">
        <v>No Data Found</v>
      </c>
      <c r="Y5" t="str">
        <v>No Data Found</v>
      </c>
      <c r="Z5" t="str">
        <v>No Data Found</v>
      </c>
    </row>
    <row r="6" spans="1:26">
      <c r="A6" t="str">
        <v>No Data Found</v>
      </c>
      <c r="B6" t="str">
        <v>No Data Found</v>
      </c>
      <c r="C6" t="str">
        <v>No Data Found</v>
      </c>
      <c r="D6" t="str">
        <v>No Data Found</v>
      </c>
      <c r="E6" t="str">
        <v>No Data Found</v>
      </c>
      <c r="F6" t="str">
        <v>No Data Found</v>
      </c>
      <c r="G6" t="str">
        <v>No Data Found</v>
      </c>
      <c r="H6" t="str">
        <v>No Data Found</v>
      </c>
      <c r="I6" t="str">
        <v>No Data Found</v>
      </c>
      <c r="J6" t="str">
        <v>No Data Found</v>
      </c>
      <c r="K6" t="str">
        <v>No Data Found</v>
      </c>
      <c r="L6" t="str">
        <v>No Data Found</v>
      </c>
      <c r="M6" t="str">
        <v>No Data Found</v>
      </c>
      <c r="N6" t="str">
        <v>No Data Found</v>
      </c>
      <c r="O6" t="str">
        <v>No Data Found</v>
      </c>
      <c r="P6" t="str">
        <v>No Data Found</v>
      </c>
      <c r="Q6" t="str">
        <v>No Data Found</v>
      </c>
      <c r="R6" t="str">
        <v>No Data Found</v>
      </c>
      <c r="S6" t="str">
        <v>No Data Found</v>
      </c>
      <c r="T6" t="str">
        <v>No Data Found</v>
      </c>
      <c r="U6" t="str">
        <v>No Data Found</v>
      </c>
      <c r="V6" t="str">
        <v>No Data Found</v>
      </c>
      <c r="W6" t="str">
        <v>No Data Found</v>
      </c>
      <c r="X6" t="str">
        <v>No Data Found</v>
      </c>
      <c r="Y6" t="str">
        <v>No Data Found</v>
      </c>
      <c r="Z6" t="str">
        <v>No Data Found</v>
      </c>
    </row>
    <row r="7" spans="1:26">
      <c r="A7" t="str">
        <v>No Data Found</v>
      </c>
      <c r="B7" t="str">
        <v>No Data Found</v>
      </c>
      <c r="C7" t="str">
        <v>No Data Found</v>
      </c>
      <c r="D7" t="str">
        <v>No Data Found</v>
      </c>
      <c r="E7" t="str">
        <v>No Data Found</v>
      </c>
      <c r="F7" t="str">
        <v>No Data Found</v>
      </c>
      <c r="G7" t="str">
        <v>No Data Found</v>
      </c>
      <c r="H7" t="str">
        <v>No Data Found</v>
      </c>
      <c r="I7" t="str">
        <v>No Data Found</v>
      </c>
      <c r="J7" t="str">
        <v>No Data Found</v>
      </c>
      <c r="K7" t="str">
        <v>No Data Found</v>
      </c>
      <c r="L7" t="str">
        <v>No Data Found</v>
      </c>
      <c r="M7" t="str">
        <v>No Data Found</v>
      </c>
      <c r="N7" t="str">
        <v>No Data Found</v>
      </c>
      <c r="O7" t="str">
        <v>No Data Found</v>
      </c>
      <c r="P7" t="str">
        <v>No Data Found</v>
      </c>
      <c r="Q7" t="str">
        <v>No Data Found</v>
      </c>
      <c r="R7" t="str">
        <v>No Data Found</v>
      </c>
      <c r="S7" t="str">
        <v>No Data Found</v>
      </c>
      <c r="T7" t="str">
        <v>No Data Found</v>
      </c>
      <c r="U7" t="str">
        <v>No Data Found</v>
      </c>
      <c r="V7" t="str">
        <v>No Data Found</v>
      </c>
      <c r="W7" t="str">
        <v>No Data Found</v>
      </c>
      <c r="X7" t="str">
        <v>No Data Found</v>
      </c>
      <c r="Y7" t="str">
        <v>No Data Found</v>
      </c>
      <c r="Z7" t="str">
        <v>No Data Found</v>
      </c>
    </row>
    <row r="8" spans="1:26">
      <c r="A8" t="str">
        <v>No Data Found</v>
      </c>
      <c r="B8" t="str">
        <v>No Data Found</v>
      </c>
      <c r="C8" t="str">
        <v>No Data Found</v>
      </c>
      <c r="D8" t="str">
        <v>No Data Found</v>
      </c>
      <c r="E8" t="str">
        <v>No Data Found</v>
      </c>
      <c r="F8" t="str">
        <v>No Data Found</v>
      </c>
      <c r="G8" t="str">
        <v>No Data Found</v>
      </c>
      <c r="H8" t="str">
        <v>No Data Found</v>
      </c>
      <c r="I8" t="str">
        <v>No Data Found</v>
      </c>
      <c r="J8" t="str">
        <v>No Data Found</v>
      </c>
      <c r="K8" t="str">
        <v>No Data Found</v>
      </c>
      <c r="L8" t="str">
        <v>No Data Found</v>
      </c>
      <c r="M8" t="str">
        <v>No Data Found</v>
      </c>
      <c r="N8" t="str">
        <v>No Data Found</v>
      </c>
      <c r="O8" t="str">
        <v>No Data Found</v>
      </c>
      <c r="P8" t="str">
        <v>No Data Found</v>
      </c>
      <c r="Q8" t="str">
        <v>No Data Found</v>
      </c>
      <c r="R8" t="str">
        <v>No Data Found</v>
      </c>
      <c r="S8" t="str">
        <v>No Data Found</v>
      </c>
      <c r="T8" t="str">
        <v>No Data Found</v>
      </c>
      <c r="U8" t="str">
        <v>No Data Found</v>
      </c>
      <c r="V8" t="str">
        <v>No Data Found</v>
      </c>
      <c r="W8" t="str">
        <v>No Data Found</v>
      </c>
      <c r="X8" t="str">
        <v>No Data Found</v>
      </c>
      <c r="Y8" t="str">
        <v>No Data Found</v>
      </c>
      <c r="Z8" t="str">
        <v>No Data Found</v>
      </c>
    </row>
    <row r="9" spans="1:26">
      <c r="A9" t="str">
        <v>No Data Found</v>
      </c>
      <c r="B9" t="str">
        <v>No Data Found</v>
      </c>
      <c r="C9" t="str">
        <v>No Data Found</v>
      </c>
      <c r="D9" t="str">
        <v>No Data Found</v>
      </c>
      <c r="E9" t="str">
        <v>No Data Found</v>
      </c>
      <c r="F9" t="str">
        <v>No Data Found</v>
      </c>
      <c r="G9" t="str">
        <v>No Data Found</v>
      </c>
      <c r="H9" t="str">
        <v>No Data Found</v>
      </c>
      <c r="I9" t="str">
        <v>No Data Found</v>
      </c>
      <c r="J9" t="str">
        <v>No Data Found</v>
      </c>
      <c r="K9" t="str">
        <v>No Data Found</v>
      </c>
      <c r="L9" t="str">
        <v>No Data Found</v>
      </c>
      <c r="M9" t="str">
        <v>No Data Found</v>
      </c>
      <c r="N9" t="str">
        <v>No Data Found</v>
      </c>
      <c r="O9" t="str">
        <v>No Data Found</v>
      </c>
      <c r="P9" t="str">
        <v>No Data Found</v>
      </c>
      <c r="Q9" t="str">
        <v>No Data Found</v>
      </c>
      <c r="R9" t="str">
        <v>No Data Found</v>
      </c>
      <c r="S9" t="str">
        <v>No Data Found</v>
      </c>
      <c r="T9" t="str">
        <v>No Data Found</v>
      </c>
      <c r="U9" t="str">
        <v>No Data Found</v>
      </c>
      <c r="V9" t="str">
        <v>No Data Found</v>
      </c>
      <c r="W9" t="str">
        <v>No Data Found</v>
      </c>
      <c r="X9" t="str">
        <v>No Data Found</v>
      </c>
      <c r="Y9" t="str">
        <v>No Data Found</v>
      </c>
      <c r="Z9" t="str">
        <v>No Data Found</v>
      </c>
    </row>
    <row r="10" spans="1:26">
      <c r="A10" t="str">
        <v>No Data Found</v>
      </c>
      <c r="B10" t="str">
        <v>No Data Found</v>
      </c>
      <c r="C10" t="str">
        <v>No Data Found</v>
      </c>
      <c r="D10" t="str">
        <v>No Data Found</v>
      </c>
      <c r="E10" t="str">
        <v>No Data Found</v>
      </c>
      <c r="F10" t="str">
        <v>No Data Found</v>
      </c>
      <c r="G10" t="str">
        <v>No Data Found</v>
      </c>
      <c r="H10" t="str">
        <v>No Data Found</v>
      </c>
      <c r="I10" t="str">
        <v>No Data Found</v>
      </c>
      <c r="J10" t="str">
        <v>No Data Found</v>
      </c>
      <c r="K10" t="str">
        <v>No Data Found</v>
      </c>
      <c r="L10" t="str">
        <v>No Data Found</v>
      </c>
      <c r="M10" t="str">
        <v>No Data Found</v>
      </c>
      <c r="N10" t="str">
        <v>No Data Found</v>
      </c>
      <c r="O10" t="str">
        <v>No Data Found</v>
      </c>
      <c r="P10" t="str">
        <v>No Data Found</v>
      </c>
      <c r="Q10" t="str">
        <v>No Data Found</v>
      </c>
      <c r="R10" t="str">
        <v>No Data Found</v>
      </c>
      <c r="S10" t="str">
        <v>No Data Found</v>
      </c>
      <c r="T10" t="str">
        <v>No Data Found</v>
      </c>
      <c r="U10" t="str">
        <v>No Data Found</v>
      </c>
      <c r="V10" t="str">
        <v>No Data Found</v>
      </c>
      <c r="W10" t="str">
        <v>No Data Found</v>
      </c>
      <c r="X10" t="str">
        <v>No Data Found</v>
      </c>
      <c r="Y10" t="str">
        <v>No Data Found</v>
      </c>
      <c r="Z10" t="str">
        <v>No Data Found</v>
      </c>
    </row>
    <row r="11" spans="1:26">
      <c r="A11" t="str">
        <v>No Data Found</v>
      </c>
      <c r="B11" t="str">
        <v>No Data Found</v>
      </c>
      <c r="C11" t="str">
        <v>No Data Found</v>
      </c>
      <c r="D11" t="str">
        <v>No Data Found</v>
      </c>
      <c r="E11" t="str">
        <v>No Data Found</v>
      </c>
      <c r="F11" t="str">
        <v>No Data Found</v>
      </c>
      <c r="G11" t="str">
        <v>No Data Found</v>
      </c>
      <c r="H11" t="str">
        <v>No Data Found</v>
      </c>
      <c r="I11" t="str">
        <v>No Data Found</v>
      </c>
      <c r="J11" t="str">
        <v>No Data Found</v>
      </c>
      <c r="K11" t="str">
        <v>No Data Found</v>
      </c>
      <c r="L11" t="str">
        <v>No Data Found</v>
      </c>
      <c r="M11" t="str">
        <v>No Data Found</v>
      </c>
      <c r="N11" t="str">
        <v>No Data Found</v>
      </c>
      <c r="O11" t="str">
        <v>No Data Found</v>
      </c>
      <c r="P11" t="str">
        <v>No Data Found</v>
      </c>
      <c r="Q11" t="str">
        <v>No Data Found</v>
      </c>
      <c r="R11" t="str">
        <v>No Data Found</v>
      </c>
      <c r="S11" t="str">
        <v>No Data Found</v>
      </c>
      <c r="T11" t="str">
        <v>No Data Found</v>
      </c>
      <c r="U11" t="str">
        <v>No Data Found</v>
      </c>
      <c r="V11" t="str">
        <v>No Data Found</v>
      </c>
      <c r="W11" t="str">
        <v>No Data Found</v>
      </c>
      <c r="X11" t="str">
        <v>No Data Found</v>
      </c>
      <c r="Y11" t="str">
        <v>No Data Found</v>
      </c>
      <c r="Z11" t="str">
        <v>No Data Found</v>
      </c>
    </row>
    <row r="12" spans="1:26">
      <c r="A12" t="str">
        <v>No Data Found</v>
      </c>
      <c r="B12" t="str">
        <v>No Data Found</v>
      </c>
      <c r="C12" t="str">
        <v>No Data Found</v>
      </c>
      <c r="D12" t="str">
        <v>No Data Found</v>
      </c>
      <c r="E12" t="str">
        <v>No Data Found</v>
      </c>
      <c r="F12" t="str">
        <v>No Data Found</v>
      </c>
      <c r="G12" t="str">
        <v>No Data Found</v>
      </c>
      <c r="H12" t="str">
        <v>No Data Found</v>
      </c>
      <c r="I12" t="str">
        <v>No Data Found</v>
      </c>
      <c r="J12" t="str">
        <v>No Data Found</v>
      </c>
      <c r="K12" t="str">
        <v>No Data Found</v>
      </c>
      <c r="L12" t="str">
        <v>No Data Found</v>
      </c>
      <c r="M12" t="str">
        <v>No Data Found</v>
      </c>
      <c r="N12" t="str">
        <v>No Data Found</v>
      </c>
      <c r="O12" t="str">
        <v>No Data Found</v>
      </c>
      <c r="P12" t="str">
        <v>No Data Found</v>
      </c>
      <c r="Q12" t="str">
        <v>No Data Found</v>
      </c>
      <c r="R12" t="str">
        <v>No Data Found</v>
      </c>
      <c r="S12" t="str">
        <v>No Data Found</v>
      </c>
      <c r="T12" t="str">
        <v>No Data Found</v>
      </c>
      <c r="U12" t="str">
        <v>No Data Found</v>
      </c>
      <c r="V12" t="str">
        <v>No Data Found</v>
      </c>
      <c r="W12" t="str">
        <v>No Data Found</v>
      </c>
      <c r="X12" t="str">
        <v>No Data Found</v>
      </c>
      <c r="Y12" t="str">
        <v>No Data Found</v>
      </c>
      <c r="Z12" t="str">
        <v>No Data Found</v>
      </c>
    </row>
    <row r="13" spans="1:26">
      <c r="A13" t="str">
        <v>No Data Found</v>
      </c>
      <c r="B13" t="str">
        <v>No Data Found</v>
      </c>
      <c r="C13" t="str">
        <v>No Data Found</v>
      </c>
      <c r="D13" t="str">
        <v>No Data Found</v>
      </c>
      <c r="E13" t="str">
        <v>No Data Found</v>
      </c>
      <c r="F13" t="str">
        <v>No Data Found</v>
      </c>
      <c r="G13" t="str">
        <v>No Data Found</v>
      </c>
      <c r="H13" t="str">
        <v>No Data Found</v>
      </c>
      <c r="I13" t="str">
        <v>No Data Found</v>
      </c>
      <c r="J13" t="str">
        <v>No Data Found</v>
      </c>
      <c r="K13" t="str">
        <v>No Data Found</v>
      </c>
      <c r="L13" t="str">
        <v>No Data Found</v>
      </c>
      <c r="M13" t="str">
        <v>No Data Found</v>
      </c>
      <c r="N13" t="str">
        <v>No Data Found</v>
      </c>
      <c r="O13" t="str">
        <v>No Data Found</v>
      </c>
      <c r="P13" t="str">
        <v>No Data Found</v>
      </c>
      <c r="Q13" t="str">
        <v>No Data Found</v>
      </c>
      <c r="R13" t="str">
        <v>No Data Found</v>
      </c>
      <c r="S13" t="str">
        <v>No Data Found</v>
      </c>
      <c r="T13" t="str">
        <v>No Data Found</v>
      </c>
      <c r="U13" t="str">
        <v>No Data Found</v>
      </c>
      <c r="V13" t="str">
        <v>No Data Found</v>
      </c>
      <c r="W13" t="str">
        <v>No Data Found</v>
      </c>
      <c r="X13" t="str">
        <v>No Data Found</v>
      </c>
      <c r="Y13" t="str">
        <v>No Data Found</v>
      </c>
      <c r="Z13" t="str">
        <v>No Data Found</v>
      </c>
    </row>
    <row r="14" spans="1:26">
      <c r="A14" t="str">
        <v>No Data Found</v>
      </c>
      <c r="B14" t="str">
        <v>No Data Found</v>
      </c>
      <c r="C14" t="str">
        <v>No Data Found</v>
      </c>
      <c r="D14" t="str">
        <v>No Data Found</v>
      </c>
      <c r="E14" t="str">
        <v>No Data Found</v>
      </c>
      <c r="F14" t="str">
        <v>No Data Found</v>
      </c>
      <c r="G14" t="str">
        <v>No Data Found</v>
      </c>
      <c r="H14" t="str">
        <v>No Data Found</v>
      </c>
      <c r="I14" t="str">
        <v>No Data Found</v>
      </c>
      <c r="J14" t="str">
        <v>No Data Found</v>
      </c>
      <c r="K14" t="str">
        <v>No Data Found</v>
      </c>
      <c r="L14" t="str">
        <v>No Data Found</v>
      </c>
      <c r="M14" t="str">
        <v>No Data Found</v>
      </c>
      <c r="N14" t="str">
        <v>No Data Found</v>
      </c>
      <c r="O14" t="str">
        <v>No Data Found</v>
      </c>
      <c r="P14" t="str">
        <v>No Data Found</v>
      </c>
      <c r="Q14" t="str">
        <v>No Data Found</v>
      </c>
      <c r="R14" t="str">
        <v>No Data Found</v>
      </c>
      <c r="S14" t="str">
        <v>No Data Found</v>
      </c>
      <c r="T14" t="str">
        <v>No Data Found</v>
      </c>
      <c r="U14" t="str">
        <v>No Data Found</v>
      </c>
      <c r="V14" t="str">
        <v>No Data Found</v>
      </c>
      <c r="W14" t="str">
        <v>No Data Found</v>
      </c>
      <c r="X14" t="str">
        <v>No Data Found</v>
      </c>
      <c r="Y14" t="str">
        <v>No Data Found</v>
      </c>
      <c r="Z14" t="str">
        <v>No Data Found</v>
      </c>
    </row>
    <row r="15" spans="1:26">
      <c r="A15" t="str">
        <v>No Data Found</v>
      </c>
      <c r="B15" t="str">
        <v>No Data Found</v>
      </c>
      <c r="C15" t="str">
        <v>No Data Found</v>
      </c>
      <c r="D15" t="str">
        <v>No Data Found</v>
      </c>
      <c r="E15" t="str">
        <v>No Data Found</v>
      </c>
      <c r="F15" t="str">
        <v>No Data Found</v>
      </c>
      <c r="G15" t="str">
        <v>No Data Found</v>
      </c>
      <c r="H15" t="str">
        <v>No Data Found</v>
      </c>
      <c r="I15" t="str">
        <v>No Data Found</v>
      </c>
      <c r="J15" t="str">
        <v>No Data Found</v>
      </c>
      <c r="K15" t="str">
        <v>No Data Found</v>
      </c>
      <c r="L15" t="str">
        <v>No Data Found</v>
      </c>
      <c r="M15" t="str">
        <v>No Data Found</v>
      </c>
      <c r="N15" t="str">
        <v>No Data Found</v>
      </c>
      <c r="O15" t="str">
        <v>No Data Found</v>
      </c>
      <c r="P15" t="str">
        <v>No Data Found</v>
      </c>
      <c r="Q15" t="str">
        <v>No Data Found</v>
      </c>
      <c r="R15" t="str">
        <v>No Data Found</v>
      </c>
      <c r="S15" t="str">
        <v>No Data Found</v>
      </c>
      <c r="T15" t="str">
        <v>No Data Found</v>
      </c>
      <c r="U15" t="str">
        <v>No Data Found</v>
      </c>
      <c r="V15" t="str">
        <v>No Data Found</v>
      </c>
      <c r="W15" t="str">
        <v>No Data Found</v>
      </c>
      <c r="X15" t="str">
        <v>No Data Found</v>
      </c>
      <c r="Y15" t="str">
        <v>No Data Found</v>
      </c>
      <c r="Z15" t="str">
        <v>No Data Found</v>
      </c>
    </row>
    <row r="16" spans="1:26">
      <c r="A16" t="str">
        <v>No Data Found</v>
      </c>
      <c r="B16" t="str">
        <v>No Data Found</v>
      </c>
      <c r="C16" t="str">
        <v>No Data Found</v>
      </c>
      <c r="D16" t="str">
        <v>No Data Found</v>
      </c>
      <c r="E16" t="str">
        <v>No Data Found</v>
      </c>
      <c r="F16" t="str">
        <v>No Data Found</v>
      </c>
      <c r="G16" t="str">
        <v>No Data Found</v>
      </c>
      <c r="H16" t="str">
        <v>No Data Found</v>
      </c>
      <c r="I16" t="str">
        <v>No Data Found</v>
      </c>
      <c r="J16" t="str">
        <v>No Data Found</v>
      </c>
      <c r="K16" t="str">
        <v>No Data Found</v>
      </c>
      <c r="L16" t="str">
        <v>No Data Found</v>
      </c>
      <c r="M16" t="str">
        <v>No Data Found</v>
      </c>
      <c r="N16" t="str">
        <v>No Data Found</v>
      </c>
      <c r="O16" t="str">
        <v>No Data Found</v>
      </c>
      <c r="P16" t="str">
        <v>No Data Found</v>
      </c>
      <c r="Q16" t="str">
        <v>No Data Found</v>
      </c>
      <c r="R16" t="str">
        <v>No Data Found</v>
      </c>
      <c r="S16" t="str">
        <v>No Data Found</v>
      </c>
      <c r="T16" t="str">
        <v>No Data Found</v>
      </c>
      <c r="U16" t="str">
        <v>No Data Found</v>
      </c>
      <c r="V16" t="str">
        <v>No Data Found</v>
      </c>
      <c r="W16" t="str">
        <v>No Data Found</v>
      </c>
      <c r="X16" t="str">
        <v>No Data Found</v>
      </c>
      <c r="Y16" t="str">
        <v>No Data Found</v>
      </c>
      <c r="Z16" t="str">
        <v>No Data Found</v>
      </c>
    </row>
    <row r="17" spans="1:26">
      <c r="A17" t="str">
        <v>No Data Found</v>
      </c>
      <c r="B17" t="str">
        <v>No Data Found</v>
      </c>
      <c r="C17" t="str">
        <v>No Data Found</v>
      </c>
      <c r="D17" t="str">
        <v>No Data Found</v>
      </c>
      <c r="E17" t="str">
        <v>No Data Found</v>
      </c>
      <c r="F17" t="str">
        <v>No Data Found</v>
      </c>
      <c r="G17" t="str">
        <v>No Data Found</v>
      </c>
      <c r="H17" t="str">
        <v>No Data Found</v>
      </c>
      <c r="I17" t="str">
        <v>No Data Found</v>
      </c>
      <c r="J17" t="str">
        <v>No Data Found</v>
      </c>
      <c r="K17" t="str">
        <v>No Data Found</v>
      </c>
      <c r="L17" t="str">
        <v>No Data Found</v>
      </c>
      <c r="M17" t="str">
        <v>No Data Found</v>
      </c>
      <c r="N17" t="str">
        <v>No Data Found</v>
      </c>
      <c r="O17" t="str">
        <v>No Data Found</v>
      </c>
      <c r="P17" t="str">
        <v>No Data Found</v>
      </c>
      <c r="Q17" t="str">
        <v>No Data Found</v>
      </c>
      <c r="R17" t="str">
        <v>No Data Found</v>
      </c>
      <c r="S17" t="str">
        <v>No Data Found</v>
      </c>
      <c r="T17" t="str">
        <v>No Data Found</v>
      </c>
      <c r="U17" t="str">
        <v>No Data Found</v>
      </c>
      <c r="V17" t="str">
        <v>No Data Found</v>
      </c>
      <c r="W17" t="str">
        <v>No Data Found</v>
      </c>
      <c r="X17" t="str">
        <v>No Data Found</v>
      </c>
      <c r="Y17" t="str">
        <v>No Data Found</v>
      </c>
      <c r="Z17" t="str">
        <v>No Data Found</v>
      </c>
    </row>
    <row r="18" spans="1:26">
      <c r="A18" t="str">
        <v>No Data Found</v>
      </c>
      <c r="B18" t="str">
        <v>No Data Found</v>
      </c>
      <c r="C18" t="str">
        <v>No Data Found</v>
      </c>
      <c r="D18" t="str">
        <v>No Data Found</v>
      </c>
      <c r="E18" t="str">
        <v>No Data Found</v>
      </c>
      <c r="F18" t="str">
        <v>No Data Found</v>
      </c>
      <c r="G18" t="str">
        <v>No Data Found</v>
      </c>
      <c r="H18" t="str">
        <v>No Data Found</v>
      </c>
      <c r="I18" t="str">
        <v>No Data Found</v>
      </c>
      <c r="J18" t="str">
        <v>No Data Found</v>
      </c>
      <c r="K18" t="str">
        <v>No Data Found</v>
      </c>
      <c r="L18" t="str">
        <v>No Data Found</v>
      </c>
      <c r="M18" t="str">
        <v>No Data Found</v>
      </c>
      <c r="N18" t="str">
        <v>No Data Found</v>
      </c>
      <c r="O18" t="str">
        <v>No Data Found</v>
      </c>
      <c r="P18" t="str">
        <v>No Data Found</v>
      </c>
      <c r="Q18" t="str">
        <v>No Data Found</v>
      </c>
      <c r="R18" t="str">
        <v>No Data Found</v>
      </c>
      <c r="S18" t="str">
        <v>No Data Found</v>
      </c>
      <c r="T18" t="str">
        <v>No Data Found</v>
      </c>
      <c r="U18" t="str">
        <v>No Data Found</v>
      </c>
      <c r="V18" t="str">
        <v>No Data Found</v>
      </c>
      <c r="W18" t="str">
        <v>No Data Found</v>
      </c>
      <c r="X18" t="str">
        <v>No Data Found</v>
      </c>
      <c r="Y18" t="str">
        <v>No Data Found</v>
      </c>
      <c r="Z18" t="str">
        <v>No Data Found</v>
      </c>
    </row>
    <row r="19" spans="1:26">
      <c r="A19" t="str">
        <v>No Data Found</v>
      </c>
      <c r="B19" t="str">
        <v>No Data Found</v>
      </c>
      <c r="C19" t="str">
        <v>No Data Found</v>
      </c>
      <c r="D19" t="str">
        <v>No Data Found</v>
      </c>
      <c r="E19" t="str">
        <v>No Data Found</v>
      </c>
      <c r="F19" t="str">
        <v>No Data Found</v>
      </c>
      <c r="G19" t="str">
        <v>No Data Found</v>
      </c>
      <c r="H19" t="str">
        <v>No Data Found</v>
      </c>
      <c r="I19" t="str">
        <v>No Data Found</v>
      </c>
      <c r="J19" t="str">
        <v>No Data Found</v>
      </c>
      <c r="K19" t="str">
        <v>No Data Found</v>
      </c>
      <c r="L19" t="str">
        <v>No Data Found</v>
      </c>
      <c r="M19" t="str">
        <v>No Data Found</v>
      </c>
      <c r="N19" t="str">
        <v>No Data Found</v>
      </c>
      <c r="O19" t="str">
        <v>No Data Found</v>
      </c>
      <c r="P19" t="str">
        <v>No Data Found</v>
      </c>
      <c r="Q19" t="str">
        <v>No Data Found</v>
      </c>
      <c r="R19" t="str">
        <v>No Data Found</v>
      </c>
      <c r="S19" t="str">
        <v>No Data Found</v>
      </c>
      <c r="T19" t="str">
        <v>No Data Found</v>
      </c>
      <c r="U19" t="str">
        <v>No Data Found</v>
      </c>
      <c r="V19" t="str">
        <v>No Data Found</v>
      </c>
      <c r="W19" t="str">
        <v>No Data Found</v>
      </c>
      <c r="X19" t="str">
        <v>No Data Found</v>
      </c>
      <c r="Y19" t="str">
        <v>No Data Found</v>
      </c>
      <c r="Z19" t="str">
        <v>No Data Found</v>
      </c>
    </row>
  </sheetData>
  <conditionalFormatting sqref="A3">
    <cfRule type="containsText" dxfId="70" priority="1" operator="containsText" text="E-Mail Sent">
      <formula>NOT(ISERROR(SEARCH("E-Mail Sent",A3)))</formula>
    </cfRule>
    <cfRule type="containsText" dxfId="69" priority="2" operator="containsText" text="E Mail">
      <formula>NOT(ISERROR(SEARCH("E Mail",A3)))</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0000000}">
          <x14:formula1>
            <xm:f>WCL!$B$1:$B$21</xm:f>
          </x14:formula1>
          <xm:sqref>H2</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
  <dimension ref="A1:J47"/>
  <sheetViews>
    <sheetView topLeftCell="A17" zoomScale="110" zoomScaleNormal="110" workbookViewId="0">
      <selection activeCell="D28" sqref="D28"/>
    </sheetView>
  </sheetViews>
  <sheetFormatPr defaultRowHeight="14.4"/>
  <cols>
    <col min="2" max="2" width="25.88671875" bestFit="1" customWidth="1"/>
    <col min="3" max="3" width="12.44140625" bestFit="1" customWidth="1"/>
    <col min="4" max="4" width="18.44140625" bestFit="1" customWidth="1"/>
    <col min="8" max="8" width="72.109375" customWidth="1"/>
  </cols>
  <sheetData>
    <row r="1" spans="1:10" ht="16.2" thickBot="1">
      <c r="A1" t="s">
        <v>2</v>
      </c>
      <c r="B1" s="123" t="s">
        <v>125</v>
      </c>
      <c r="C1">
        <f>COUNTIF(LEADS!D:D, B1)</f>
        <v>0</v>
      </c>
      <c r="D1" s="33" t="s">
        <v>99</v>
      </c>
      <c r="H1" s="73" t="s">
        <v>103</v>
      </c>
      <c r="J1" s="2" t="s">
        <v>28</v>
      </c>
    </row>
    <row r="2" spans="1:10" ht="16.2" thickBot="1">
      <c r="B2" s="73" t="s">
        <v>103</v>
      </c>
      <c r="C2">
        <f>COUNTIF(LEADS!D:D, B2)</f>
        <v>0</v>
      </c>
      <c r="D2" t="s">
        <v>141</v>
      </c>
      <c r="H2" s="74" t="s">
        <v>104</v>
      </c>
      <c r="J2" s="3" t="s">
        <v>29</v>
      </c>
    </row>
    <row r="3" spans="1:10" ht="16.2" thickBot="1">
      <c r="B3" s="126" t="s">
        <v>130</v>
      </c>
      <c r="C3">
        <f>COUNTIF(LEADS!D:D, B3)</f>
        <v>0</v>
      </c>
      <c r="D3" t="s">
        <v>140</v>
      </c>
      <c r="H3" s="75" t="s">
        <v>105</v>
      </c>
      <c r="J3" s="4" t="s">
        <v>30</v>
      </c>
    </row>
    <row r="4" spans="1:10" ht="16.2" thickBot="1">
      <c r="B4" s="82" t="s">
        <v>112</v>
      </c>
      <c r="C4">
        <f>COUNTIF(LEADS!D:D, B4)</f>
        <v>0</v>
      </c>
      <c r="D4" s="32" t="s">
        <v>98</v>
      </c>
      <c r="H4" s="76" t="s">
        <v>106</v>
      </c>
      <c r="J4" s="5" t="s">
        <v>31</v>
      </c>
    </row>
    <row r="5" spans="1:10" ht="16.2" thickBot="1">
      <c r="B5" s="89" t="s">
        <v>119</v>
      </c>
      <c r="C5">
        <f>COUNTIF(LEADS!D:D, B5)</f>
        <v>0</v>
      </c>
      <c r="D5" t="s">
        <v>231</v>
      </c>
      <c r="H5" s="77" t="s">
        <v>107</v>
      </c>
      <c r="J5" s="6" t="s">
        <v>32</v>
      </c>
    </row>
    <row r="6" spans="1:10" ht="16.2" thickBot="1">
      <c r="B6" s="74" t="s">
        <v>104</v>
      </c>
      <c r="C6">
        <f>COUNTIF(LEADS!D:D, B6)</f>
        <v>0</v>
      </c>
      <c r="D6" t="s">
        <v>233</v>
      </c>
      <c r="H6" s="78" t="s">
        <v>108</v>
      </c>
      <c r="J6" s="7" t="s">
        <v>33</v>
      </c>
    </row>
    <row r="7" spans="1:10" ht="16.2" thickBot="1">
      <c r="B7" s="79" t="s">
        <v>109</v>
      </c>
      <c r="C7">
        <f>COUNTIF(LEADS!D:D, B7)</f>
        <v>0</v>
      </c>
      <c r="D7" t="s">
        <v>234</v>
      </c>
      <c r="H7" s="79" t="s">
        <v>109</v>
      </c>
    </row>
    <row r="8" spans="1:10" ht="16.2" thickBot="1">
      <c r="B8" s="93" t="s">
        <v>123</v>
      </c>
      <c r="C8">
        <f>COUNTIF(LEADS!D:D, B8)</f>
        <v>0</v>
      </c>
      <c r="D8" s="32" t="s">
        <v>232</v>
      </c>
      <c r="H8" s="80" t="s">
        <v>110</v>
      </c>
      <c r="J8" s="4" t="s">
        <v>34</v>
      </c>
    </row>
    <row r="9" spans="1:10" ht="16.2" thickBot="1">
      <c r="B9" s="81" t="s">
        <v>111</v>
      </c>
      <c r="C9">
        <f>COUNTIF(LEADS!D:D, B9)</f>
        <v>0</v>
      </c>
      <c r="H9" s="81" t="s">
        <v>111</v>
      </c>
      <c r="J9" s="5" t="s">
        <v>35</v>
      </c>
    </row>
    <row r="10" spans="1:10" ht="16.2" thickBot="1">
      <c r="B10" s="84" t="s">
        <v>114</v>
      </c>
      <c r="C10">
        <f>COUNTIF(LEADS!D:D, B10)</f>
        <v>0</v>
      </c>
      <c r="H10" s="82" t="s">
        <v>112</v>
      </c>
    </row>
    <row r="11" spans="1:10" ht="16.2" thickBot="1">
      <c r="B11" s="121" t="s">
        <v>137</v>
      </c>
      <c r="C11">
        <f>COUNTIF(LEADS!D:D, B11)</f>
        <v>0</v>
      </c>
      <c r="H11" s="83" t="s">
        <v>113</v>
      </c>
      <c r="J11" s="8" t="s">
        <v>36</v>
      </c>
    </row>
    <row r="12" spans="1:10" ht="16.2" thickBot="1">
      <c r="B12" s="80" t="s">
        <v>110</v>
      </c>
      <c r="C12">
        <f>COUNTIF(LEADS!D:D, B12)</f>
        <v>0</v>
      </c>
      <c r="H12" s="84" t="s">
        <v>114</v>
      </c>
      <c r="J12" s="9" t="s">
        <v>37</v>
      </c>
    </row>
    <row r="13" spans="1:10" ht="16.2" thickBot="1">
      <c r="B13" s="83" t="s">
        <v>113</v>
      </c>
      <c r="C13">
        <f>COUNTIF(LEADS!D:D, B13)</f>
        <v>0</v>
      </c>
      <c r="H13" s="85" t="s">
        <v>115</v>
      </c>
      <c r="J13" s="10" t="s">
        <v>38</v>
      </c>
    </row>
    <row r="14" spans="1:10" ht="16.2" thickBot="1">
      <c r="B14" s="78" t="s">
        <v>108</v>
      </c>
      <c r="C14">
        <f>COUNTIF(LEADS!D:D, B14)</f>
        <v>0</v>
      </c>
      <c r="H14" s="86" t="s">
        <v>116</v>
      </c>
    </row>
    <row r="15" spans="1:10" ht="16.2" thickBot="1">
      <c r="B15" s="122" t="s">
        <v>136</v>
      </c>
      <c r="C15">
        <f>COUNTIF(LEADS!D:D, B15)</f>
        <v>0</v>
      </c>
      <c r="H15" s="87" t="s">
        <v>117</v>
      </c>
      <c r="J15" s="11" t="s">
        <v>39</v>
      </c>
    </row>
    <row r="16" spans="1:10" ht="16.2" thickBot="1">
      <c r="B16" s="86" t="s">
        <v>116</v>
      </c>
      <c r="C16">
        <f>COUNTIF(LEADS!D:D, B16)</f>
        <v>0</v>
      </c>
      <c r="H16" s="88" t="s">
        <v>118</v>
      </c>
      <c r="J16" s="11" t="s">
        <v>40</v>
      </c>
    </row>
    <row r="17" spans="2:10" ht="31.8" thickBot="1">
      <c r="B17" s="85" t="s">
        <v>115</v>
      </c>
      <c r="C17">
        <f>COUNTIF(LEADS!D:D, B17)</f>
        <v>0</v>
      </c>
      <c r="H17" s="89" t="s">
        <v>119</v>
      </c>
      <c r="J17" s="11" t="s">
        <v>41</v>
      </c>
    </row>
    <row r="18" spans="2:10" ht="16.2" thickBot="1">
      <c r="B18" s="88" t="s">
        <v>124</v>
      </c>
      <c r="C18">
        <f>COUNTIF(LEADS!D:D, B18)</f>
        <v>0</v>
      </c>
      <c r="H18" s="90" t="s">
        <v>120</v>
      </c>
      <c r="J18" s="11" t="s">
        <v>42</v>
      </c>
    </row>
    <row r="19" spans="2:10" ht="16.2" thickBot="1">
      <c r="B19" s="76" t="s">
        <v>106</v>
      </c>
      <c r="C19">
        <f>COUNTIF(LEADS!D:D, B19)</f>
        <v>0</v>
      </c>
      <c r="H19" s="91" t="s">
        <v>121</v>
      </c>
      <c r="J19" s="11" t="s">
        <v>43</v>
      </c>
    </row>
    <row r="20" spans="2:10" ht="16.2" thickBot="1">
      <c r="B20" s="87" t="s">
        <v>117</v>
      </c>
      <c r="C20">
        <f>COUNTIF(LEADS!D:D, B20)</f>
        <v>0</v>
      </c>
      <c r="H20" s="92" t="s">
        <v>122</v>
      </c>
      <c r="J20" s="11" t="s">
        <v>44</v>
      </c>
    </row>
    <row r="21" spans="2:10" ht="31.8" thickBot="1">
      <c r="B21" s="90" t="s">
        <v>120</v>
      </c>
      <c r="C21">
        <f>COUNTIF(LEADS!D:D, B21)</f>
        <v>0</v>
      </c>
      <c r="H21" s="93" t="s">
        <v>123</v>
      </c>
      <c r="J21" s="11" t="s">
        <v>45</v>
      </c>
    </row>
    <row r="22" spans="2:10" ht="15.6">
      <c r="B22" s="124" t="s">
        <v>121</v>
      </c>
      <c r="C22">
        <f>COUNTIF(LEADS!D:D, B22)</f>
        <v>0</v>
      </c>
      <c r="J22" s="11" t="s">
        <v>46</v>
      </c>
    </row>
    <row r="23" spans="2:10" ht="15.6">
      <c r="B23" s="125" t="s">
        <v>107</v>
      </c>
      <c r="C23">
        <f>COUNTIF(LEADS!D:D, B23)</f>
        <v>0</v>
      </c>
      <c r="J23" s="11" t="s">
        <v>47</v>
      </c>
    </row>
    <row r="24" spans="2:10" ht="15.6">
      <c r="B24" s="128" t="s">
        <v>105</v>
      </c>
      <c r="C24">
        <f>COUNTIF(LEADS!D:D, B24)</f>
        <v>0</v>
      </c>
      <c r="J24" s="11" t="s">
        <v>48</v>
      </c>
    </row>
    <row r="25" spans="2:10" ht="15.6">
      <c r="B25" s="127" t="s">
        <v>122</v>
      </c>
      <c r="C25">
        <f>COUNTIF(LEADS!D:D, B25)</f>
        <v>0</v>
      </c>
      <c r="J25" s="11" t="s">
        <v>49</v>
      </c>
    </row>
    <row r="26" spans="2:10">
      <c r="B26" t="s">
        <v>152</v>
      </c>
      <c r="C26">
        <f>COUNTIF(LEADS!D:D, B26)</f>
        <v>0</v>
      </c>
      <c r="J26" s="11" t="s">
        <v>50</v>
      </c>
    </row>
    <row r="27" spans="2:10">
      <c r="B27" s="129" t="s">
        <v>151</v>
      </c>
      <c r="C27">
        <f>COUNTIF(LEADS!D:D, B27)</f>
        <v>0</v>
      </c>
      <c r="J27" s="11" t="s">
        <v>51</v>
      </c>
    </row>
    <row r="28" spans="2:10">
      <c r="B28" s="145" t="s">
        <v>204</v>
      </c>
      <c r="C28">
        <f>COUNTIF(LEADS!D:D, B28)</f>
        <v>0</v>
      </c>
      <c r="J28" s="11" t="s">
        <v>52</v>
      </c>
    </row>
    <row r="29" spans="2:10">
      <c r="B29" s="146" t="s">
        <v>207</v>
      </c>
      <c r="C29">
        <f>COUNTIF(LEADS!D:D, B29)</f>
        <v>0</v>
      </c>
      <c r="J29" s="11" t="s">
        <v>53</v>
      </c>
    </row>
    <row r="30" spans="2:10">
      <c r="B30" s="147" t="s">
        <v>205</v>
      </c>
      <c r="C30">
        <f>COUNTIF(LEADS!D:D, B30)</f>
        <v>0</v>
      </c>
      <c r="J30" s="12" t="s">
        <v>54</v>
      </c>
    </row>
    <row r="31" spans="2:10">
      <c r="B31" s="147" t="s">
        <v>206</v>
      </c>
      <c r="C31">
        <f>COUNTIF(LEADS!D:D, B31)</f>
        <v>0</v>
      </c>
      <c r="J31" s="12" t="s">
        <v>55</v>
      </c>
    </row>
    <row r="32" spans="2:10">
      <c r="B32" s="157" t="s">
        <v>237</v>
      </c>
      <c r="C32">
        <f>COUNTIF(LEADS!D:D, B32)</f>
        <v>0</v>
      </c>
    </row>
    <row r="33" spans="2:10">
      <c r="B33" s="156" t="s">
        <v>232</v>
      </c>
      <c r="C33">
        <f>COUNTIF(LEADS!D:D, B33)</f>
        <v>1</v>
      </c>
      <c r="J33" s="13" t="s">
        <v>56</v>
      </c>
    </row>
    <row r="34" spans="2:10">
      <c r="B34" s="13"/>
      <c r="J34" s="13" t="s">
        <v>57</v>
      </c>
    </row>
    <row r="35" spans="2:10">
      <c r="B35" s="13"/>
      <c r="J35" s="13" t="s">
        <v>58</v>
      </c>
    </row>
    <row r="36" spans="2:10">
      <c r="B36" s="13"/>
      <c r="J36" s="13" t="s">
        <v>59</v>
      </c>
    </row>
    <row r="37" spans="2:10">
      <c r="B37" s="14"/>
      <c r="J37" s="14" t="s">
        <v>60</v>
      </c>
    </row>
    <row r="39" spans="2:10">
      <c r="B39" s="15"/>
      <c r="J39" s="15" t="s">
        <v>61</v>
      </c>
    </row>
    <row r="40" spans="2:10">
      <c r="B40" s="15"/>
      <c r="J40" s="15" t="s">
        <v>62</v>
      </c>
    </row>
    <row r="41" spans="2:10">
      <c r="B41" s="16"/>
      <c r="J41" s="16" t="s">
        <v>63</v>
      </c>
    </row>
    <row r="42" spans="2:10">
      <c r="B42" s="16"/>
      <c r="J42" s="16" t="s">
        <v>64</v>
      </c>
    </row>
    <row r="43" spans="2:10">
      <c r="B43" s="16"/>
      <c r="J43" s="16" t="s">
        <v>65</v>
      </c>
    </row>
    <row r="44" spans="2:10">
      <c r="B44" s="16"/>
      <c r="J44" s="16" t="s">
        <v>66</v>
      </c>
    </row>
    <row r="45" spans="2:10">
      <c r="B45" s="16"/>
      <c r="J45" s="16" t="s">
        <v>67</v>
      </c>
    </row>
    <row r="46" spans="2:10">
      <c r="B46" s="17"/>
      <c r="J46" s="17" t="s">
        <v>68</v>
      </c>
    </row>
    <row r="47" spans="2:10">
      <c r="B47" s="18"/>
      <c r="J47" s="18" t="s">
        <v>69</v>
      </c>
    </row>
  </sheetData>
  <sortState xmlns:xlrd2="http://schemas.microsoft.com/office/spreadsheetml/2017/richdata2" ref="B1:C27">
    <sortCondition descending="1" ref="C1:C27"/>
  </sortState>
  <conditionalFormatting sqref="B22">
    <cfRule type="expression" dxfId="68" priority="6">
      <formula>$D22="0 - MessageError!"</formula>
    </cfRule>
    <cfRule type="expression" dxfId="67" priority="7">
      <formula>$D22="9- Changed Mind"</formula>
    </cfRule>
    <cfRule type="expression" dxfId="66" priority="8">
      <formula>$D22="8- Home Values"</formula>
    </cfRule>
    <cfRule type="expression" dxfId="65" priority="9">
      <formula>$D22="7- Market Drop"</formula>
    </cfRule>
    <cfRule type="expression" dxfId="64" priority="10">
      <formula>$D22="6- Another Lender"</formula>
    </cfRule>
    <cfRule type="expression" dxfId="63" priority="11">
      <formula>$D22="5- ChangedMind?"</formula>
    </cfRule>
    <cfRule type="expression" dxfId="62" priority="12">
      <formula>$D22="4- Don'tQualify"</formula>
    </cfRule>
    <cfRule type="expression" dxfId="61" priority="13">
      <formula>$D22="3- CashOut"</formula>
    </cfRule>
    <cfRule type="expression" dxfId="60" priority="14">
      <formula>$D22="2- RevisedQuote"</formula>
    </cfRule>
    <cfRule type="expression" dxfId="59" priority="15">
      <formula>$D22="1- FollowUp"</formula>
    </cfRule>
    <cfRule type="expression" dxfId="58" priority="16" stopIfTrue="1">
      <formula>$D22="Responded"</formula>
    </cfRule>
    <cfRule type="expression" dxfId="57" priority="17">
      <formula>$D22="Locked!"</formula>
    </cfRule>
    <cfRule type="expression" dxfId="56" priority="18">
      <formula>$D22="E-signed!"</formula>
    </cfRule>
    <cfRule type="expression" dxfId="55" priority="19">
      <formula>$D22="Docs Received!"</formula>
    </cfRule>
    <cfRule type="expression" dxfId="54" priority="20">
      <formula>$D22="Disclosures Going Out..."</formula>
    </cfRule>
    <cfRule type="expression" dxfId="53" priority="21">
      <formula>$D22="Disclosures Sent!"</formula>
    </cfRule>
    <cfRule type="expression" dxfId="52" priority="22">
      <formula>$D22="FIGURE - Link Sent!"</formula>
    </cfRule>
    <cfRule type="expression" dxfId="51" priority="23">
      <formula>$D22="Hard Money Opportunity"</formula>
    </cfRule>
    <cfRule type="expression" dxfId="50" priority="24">
      <formula>$D22="Communicating..."</formula>
    </cfRule>
    <cfRule type="expression" dxfId="49" priority="25">
      <formula>$D22="Not Interested"</formula>
    </cfRule>
    <cfRule type="expression" dxfId="48" priority="26">
      <formula>$D22="APP - Pitched &gt; Follow up"</formula>
    </cfRule>
    <cfRule type="expression" dxfId="47" priority="27">
      <formula>$D22="Appt Scheduled"</formula>
    </cfRule>
    <cfRule type="expression" dxfId="46" priority="28">
      <formula>$D22="Reverse Mortgage Opportunity"</formula>
    </cfRule>
    <cfRule type="expression" dxfId="45" priority="29">
      <formula>$D22="Purchase"</formula>
    </cfRule>
    <cfRule type="expression" dxfId="44" priority="30">
      <formula>$D22="Verified Approval Letter"</formula>
    </cfRule>
    <cfRule type="expression" dxfId="43" priority="31">
      <formula>$D22="*Thinking about it*"</formula>
    </cfRule>
    <cfRule type="expression" dxfId="42" priority="32">
      <formula>$D22="DNQ"</formula>
    </cfRule>
    <cfRule type="expression" dxfId="41" priority="33">
      <formula>$D22="Commercial/Business Loan"</formula>
    </cfRule>
    <cfRule type="expression" dxfId="40" priority="34">
      <formula>$D22="Credit - Wayfinder"</formula>
    </cfRule>
    <cfRule type="expression" dxfId="39" priority="35">
      <formula>$D22="Match or Beat"</formula>
    </cfRule>
    <cfRule type="expression" dxfId="38" priority="36">
      <formula>$D22="Future Deal"</formula>
    </cfRule>
    <cfRule type="expression" dxfId="37" priority="37">
      <formula>$D22="No Longer Interested"</formula>
    </cfRule>
    <cfRule type="expression" dxfId="36" priority="38">
      <formula>$D22="Cold - Rate Watch"</formula>
    </cfRule>
    <cfRule type="expression" dxfId="35" priority="39">
      <formula>$D22="Cold - Unresponsive"</formula>
    </cfRule>
    <cfRule type="expression" dxfId="34" priority="40">
      <formula>$D22="Cold - Wrong Number"</formula>
    </cfRule>
    <cfRule type="expression" dxfId="33" priority="41">
      <formula>$D22="Called 3x"</formula>
    </cfRule>
    <cfRule type="expression" dxfId="32" priority="42">
      <formula>$D22="Called 2x"</formula>
    </cfRule>
    <cfRule type="expression" dxfId="31" priority="43">
      <formula>$D22="T15 - MessageError!"</formula>
    </cfRule>
    <cfRule type="expression" dxfId="30" priority="44">
      <formula>$D22="T14 - Right Person?"</formula>
    </cfRule>
    <cfRule type="expression" dxfId="29" priority="45">
      <formula>$D22="T13 - Email"</formula>
    </cfRule>
    <cfRule type="expression" dxfId="28" priority="46">
      <formula>$D22="T12 - Blown Up"</formula>
    </cfRule>
    <cfRule type="expression" dxfId="27" priority="47">
      <formula>$D22="T11 - More Time?"</formula>
    </cfRule>
    <cfRule type="expression" dxfId="26" priority="48">
      <formula>$D22="T10 - Really Busy"</formula>
    </cfRule>
    <cfRule type="expression" dxfId="25" priority="49">
      <formula>$D22="T9 - Majority of Clients"</formula>
    </cfRule>
    <cfRule type="expression" dxfId="24" priority="50">
      <formula>$D22="T8 - STOP Contact"</formula>
    </cfRule>
    <cfRule type="expression" dxfId="23" priority="51">
      <formula>$D22="T7 - Another Lender"</formula>
    </cfRule>
    <cfRule type="expression" dxfId="22" priority="52">
      <formula>$D22="T6 - Don’t Qualify?"</formula>
    </cfRule>
    <cfRule type="expression" dxfId="21" priority="53">
      <formula>$D22="T5 - Debt Consolidation"</formula>
    </cfRule>
    <cfRule type="expression" dxfId="20" priority="54">
      <formula>$D22="T4 - Debt / Home"</formula>
    </cfRule>
    <cfRule type="expression" dxfId="19" priority="55">
      <formula>$D22="T3 - Correct Cash"</formula>
    </cfRule>
    <cfRule type="expression" dxfId="18" priority="56">
      <formula>$D22="T2 - Revised"</formula>
    </cfRule>
    <cfRule type="expression" dxfId="17" priority="57">
      <formula>$D22="T1 - Follow Up"</formula>
    </cfRule>
    <cfRule type="expression" dxfId="16" priority="58">
      <formula>$D22="APP - LOCKED!"</formula>
    </cfRule>
    <cfRule type="expression" dxfId="15" priority="59">
      <formula>$D22="LOCKED!"</formula>
    </cfRule>
    <cfRule type="expression" dxfId="14" priority="60">
      <formula>$D22="APP - Pitched &gt; Follow Up!"</formula>
    </cfRule>
    <cfRule type="expression" dxfId="13" priority="61">
      <formula>$D22="Pitched &gt; FOLLOW UP!"</formula>
    </cfRule>
    <cfRule type="expression" dxfId="12" priority="62">
      <formula>$D22="APP - Application Taken"</formula>
    </cfRule>
    <cfRule type="expression" dxfId="11" priority="63">
      <formula>$D22="AL - HOT!"</formula>
    </cfRule>
    <cfRule type="expression" dxfId="10" priority="64">
      <formula>$D22="AL - Responded"</formula>
    </cfRule>
    <cfRule type="expression" dxfId="9" priority="65">
      <formula>$D22="Prospect - Appt Scheduled"</formula>
    </cfRule>
    <cfRule type="expression" dxfId="8" priority="66">
      <formula>$D22="Appt Scheduled"</formula>
    </cfRule>
    <cfRule type="expression" dxfId="7" priority="67">
      <formula>$D22="Prospect - Follow Up"</formula>
    </cfRule>
    <cfRule type="expression" dxfId="6" priority="68">
      <formula>$D22="Prospect - HOT!"</formula>
    </cfRule>
    <cfRule type="expression" dxfId="5" priority="69">
      <formula>$D22="Prospect - Warm"</formula>
    </cfRule>
  </conditionalFormatting>
  <conditionalFormatting sqref="D1">
    <cfRule type="containsText" dxfId="4" priority="4" operator="containsText" text="E-Mail Sent">
      <formula>NOT(ISERROR(SEARCH("E-Mail Sent",D1)))</formula>
    </cfRule>
    <cfRule type="containsText" dxfId="3" priority="5" operator="containsText" text="E Mail">
      <formula>NOT(ISERROR(SEARCH("E Mail",D1)))</formula>
    </cfRule>
  </conditionalFormatting>
  <conditionalFormatting sqref="D4">
    <cfRule type="containsText" dxfId="2" priority="2" operator="containsText" text="E-Mail Sent">
      <formula>NOT(ISERROR(SEARCH("E-Mail Sent",D4)))</formula>
    </cfRule>
    <cfRule type="containsText" dxfId="1" priority="3" operator="containsText" text="E Mail">
      <formula>NOT(ISERROR(SEARCH("E Mail",D4)))</formula>
    </cfRule>
  </conditionalFormatting>
  <conditionalFormatting sqref="D8">
    <cfRule type="containsText" dxfId="0" priority="1" operator="containsText" text="Quote Sent">
      <formula>NOT(ISERROR(SEARCH("Quote Sent",D8)))</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
  <dimension ref="A1:Z81"/>
  <sheetViews>
    <sheetView topLeftCell="A56" workbookViewId="0">
      <selection activeCell="B70" sqref="B70"/>
    </sheetView>
  </sheetViews>
  <sheetFormatPr defaultRowHeight="14.4"/>
  <cols>
    <col min="1" max="1" width="44.109375" bestFit="1" customWidth="1"/>
    <col min="2" max="2" width="29.44140625" bestFit="1" customWidth="1"/>
    <col min="4" max="4" width="29.44140625" bestFit="1" customWidth="1"/>
    <col min="5" max="6" width="20.6640625" bestFit="1" customWidth="1"/>
    <col min="7" max="7" width="29.44140625" bestFit="1" customWidth="1"/>
    <col min="9" max="9" width="39.5546875" bestFit="1" customWidth="1"/>
  </cols>
  <sheetData>
    <row r="1" spans="1:26" ht="43.2">
      <c r="A1" s="42" t="s">
        <v>0</v>
      </c>
      <c r="B1" s="43" t="s">
        <v>1</v>
      </c>
      <c r="C1" s="42" t="s">
        <v>2</v>
      </c>
      <c r="D1" s="42" t="s">
        <v>3</v>
      </c>
      <c r="E1" s="42" t="s">
        <v>4</v>
      </c>
      <c r="F1" s="42" t="s">
        <v>5</v>
      </c>
      <c r="G1" s="42" t="s">
        <v>6</v>
      </c>
      <c r="H1" s="42" t="s">
        <v>7</v>
      </c>
      <c r="I1" s="42" t="s">
        <v>90</v>
      </c>
      <c r="J1" s="42" t="s">
        <v>9</v>
      </c>
      <c r="K1" s="42" t="s">
        <v>91</v>
      </c>
      <c r="L1" s="44" t="s">
        <v>11</v>
      </c>
      <c r="M1" s="45" t="s">
        <v>12</v>
      </c>
      <c r="N1" s="45" t="s">
        <v>13</v>
      </c>
      <c r="O1" s="46" t="s">
        <v>14</v>
      </c>
      <c r="P1" s="45" t="s">
        <v>15</v>
      </c>
      <c r="Q1" s="45" t="s">
        <v>16</v>
      </c>
      <c r="R1" s="46" t="s">
        <v>17</v>
      </c>
      <c r="S1" s="42" t="s">
        <v>18</v>
      </c>
      <c r="T1" s="42" t="s">
        <v>19</v>
      </c>
      <c r="U1" s="42" t="s">
        <v>20</v>
      </c>
      <c r="V1" s="42" t="s">
        <v>21</v>
      </c>
      <c r="W1" s="42" t="s">
        <v>86</v>
      </c>
      <c r="X1" s="42" t="s">
        <v>23</v>
      </c>
      <c r="Y1" s="45" t="s">
        <v>24</v>
      </c>
      <c r="Z1" s="42" t="s">
        <v>92</v>
      </c>
    </row>
    <row r="2" spans="1:26">
      <c r="A2" s="22"/>
      <c r="B2" s="23">
        <f ca="1">TODAY()</f>
        <v>45715</v>
      </c>
      <c r="C2" s="22" t="s">
        <v>28</v>
      </c>
      <c r="D2" s="22" t="str">
        <f>B59</f>
        <v>Jane</v>
      </c>
      <c r="E2" s="22" t="str">
        <f>B60</f>
        <v>Kim</v>
      </c>
      <c r="F2" s="24" t="str">
        <f>B61</f>
        <v>(808)885-0390</v>
      </c>
      <c r="G2" s="22" t="str">
        <f>B62</f>
        <v>jkim12350@gmail.com</v>
      </c>
      <c r="H2" s="22" t="str">
        <f>B64</f>
        <v>HI</v>
      </c>
      <c r="I2" s="22" t="str">
        <f>B63</f>
        <v>64-5259 Puanuanu Place, Kamuela, HI, 96743</v>
      </c>
      <c r="J2" s="22" t="str">
        <f>B71</f>
        <v>Single Family</v>
      </c>
      <c r="K2" s="22" t="str">
        <f>B78</f>
        <v>2</v>
      </c>
      <c r="L2" s="25" t="str">
        <f>B79</f>
        <v>N/A</v>
      </c>
      <c r="M2" s="25" t="e">
        <f>B65</f>
        <v>#VALUE!</v>
      </c>
      <c r="N2" s="25">
        <f>B66</f>
        <v>155000</v>
      </c>
      <c r="O2" s="26">
        <f>B67</f>
        <v>0</v>
      </c>
      <c r="P2" s="25">
        <f>B68</f>
        <v>0</v>
      </c>
      <c r="Q2" s="27">
        <f>B69</f>
        <v>155000</v>
      </c>
      <c r="R2" s="26">
        <f>B70</f>
        <v>0</v>
      </c>
      <c r="S2" s="22" t="str">
        <f>B73</f>
        <v>Good</v>
      </c>
      <c r="T2" s="22" t="str">
        <f>B72</f>
        <v>Not Provided</v>
      </c>
      <c r="U2" s="22" t="str">
        <f>B74</f>
        <v>no</v>
      </c>
      <c r="V2" s="22" t="str">
        <f>B75</f>
        <v>no</v>
      </c>
      <c r="W2" s="22" t="str">
        <f>B76</f>
        <v>no</v>
      </c>
      <c r="X2" s="22" t="e">
        <f>B80</f>
        <v>#VALUE!</v>
      </c>
      <c r="Y2" s="27">
        <f>B77</f>
        <v>17</v>
      </c>
      <c r="Z2" s="27">
        <f>Z5+Y2</f>
        <v>17</v>
      </c>
    </row>
    <row r="3" spans="1:26">
      <c r="H3" s="1"/>
    </row>
    <row r="4" spans="1:26">
      <c r="H4" s="1"/>
    </row>
    <row r="5" spans="1:26">
      <c r="H5" s="1"/>
    </row>
    <row r="6" spans="1:26" ht="15" thickBot="1">
      <c r="H6" s="1"/>
    </row>
    <row r="7" spans="1:26" ht="24" thickBot="1">
      <c r="A7" s="315"/>
      <c r="B7" s="316"/>
      <c r="C7" s="316"/>
      <c r="D7" s="316"/>
      <c r="E7" s="316"/>
      <c r="F7" s="316"/>
      <c r="G7" s="316"/>
      <c r="H7" s="316"/>
      <c r="I7" s="316"/>
      <c r="J7" s="316"/>
      <c r="K7" s="316"/>
      <c r="L7" s="316"/>
      <c r="M7" s="316"/>
      <c r="N7" s="316"/>
      <c r="O7" s="316"/>
      <c r="P7" s="316"/>
      <c r="Q7" s="317"/>
    </row>
    <row r="8" spans="1:26">
      <c r="A8" s="47" t="s">
        <v>302</v>
      </c>
      <c r="B8" s="48"/>
      <c r="C8" s="48"/>
      <c r="D8" s="48"/>
      <c r="E8" s="48"/>
      <c r="F8" s="48"/>
      <c r="G8" s="48"/>
      <c r="H8" s="49"/>
      <c r="I8" s="48"/>
      <c r="J8" s="48"/>
      <c r="K8" s="48"/>
      <c r="L8" s="48"/>
      <c r="M8" s="48"/>
      <c r="N8" s="48"/>
      <c r="O8" s="48"/>
      <c r="P8" s="48"/>
      <c r="Q8" s="318"/>
    </row>
    <row r="9" spans="1:26">
      <c r="A9" s="48" t="s">
        <v>303</v>
      </c>
      <c r="B9" s="48"/>
      <c r="C9" s="48"/>
      <c r="D9" s="48" t="s">
        <v>72</v>
      </c>
      <c r="E9" s="48" t="s">
        <v>73</v>
      </c>
      <c r="F9" s="48"/>
      <c r="G9" s="48"/>
      <c r="H9" s="49"/>
      <c r="I9" s="48"/>
      <c r="J9" s="48"/>
      <c r="K9" s="48"/>
      <c r="L9" s="48"/>
      <c r="M9" s="48"/>
      <c r="N9" s="48"/>
      <c r="O9" s="48"/>
      <c r="P9" s="48"/>
      <c r="Q9" s="318"/>
    </row>
    <row r="10" spans="1:26">
      <c r="A10" s="47"/>
      <c r="B10" s="48" t="s">
        <v>89</v>
      </c>
      <c r="C10" s="50"/>
      <c r="D10" s="48" t="e">
        <f>TRIM(RIGHT(A10,LEN(A10)-FIND("=",A10)))</f>
        <v>#VALUE!</v>
      </c>
      <c r="E10" s="48" t="e">
        <f>LEFT(D10,FIND(":",D10)-1)</f>
        <v>#VALUE!</v>
      </c>
      <c r="F10" s="48" t="e">
        <f>IFERROR(LEFT(D10,FIND("-",D10)-1), IFERROR(LEFT(D10,FIND(":",D10)-1), D10))</f>
        <v>#VALUE!</v>
      </c>
      <c r="G10" s="48" t="e">
        <f>IF(ISNUMBER(SEARCH("FRU", D10)), E10, IF(ISNUMBER(SEARCH("Tandem", D10)), "Tandem", LEFT(D10, IFERROR(FIND(".",D10)-1, LEN(D10)))))</f>
        <v>#VALUE!</v>
      </c>
      <c r="H10" s="49"/>
      <c r="I10" s="48"/>
      <c r="J10" s="48"/>
      <c r="K10" s="48"/>
      <c r="L10" s="48"/>
      <c r="M10" s="48"/>
      <c r="N10" s="48"/>
      <c r="O10" s="48"/>
      <c r="P10" s="48"/>
      <c r="Q10" s="318"/>
    </row>
    <row r="11" spans="1:26">
      <c r="A11" s="48" t="s">
        <v>304</v>
      </c>
      <c r="B11" s="48"/>
      <c r="C11" s="48"/>
      <c r="D11" s="48"/>
      <c r="E11" s="48"/>
      <c r="F11" s="48"/>
      <c r="G11" s="48"/>
      <c r="H11" s="49"/>
      <c r="I11" s="48"/>
      <c r="J11" s="48"/>
      <c r="K11" s="48"/>
      <c r="L11" s="48"/>
      <c r="M11" s="48"/>
      <c r="N11" s="48"/>
      <c r="O11" s="48"/>
      <c r="P11" s="48"/>
      <c r="Q11" s="318"/>
    </row>
    <row r="12" spans="1:26">
      <c r="A12" s="47" t="s">
        <v>270</v>
      </c>
      <c r="B12" s="48"/>
      <c r="C12" s="48"/>
      <c r="D12" s="48" t="str">
        <f>TRIM(RIGHT(A12,LEN(A12)-FIND("=",A12)))</f>
        <v>Jane.</v>
      </c>
      <c r="E12" s="48" t="str">
        <f>SUBSTITUTE(D12,".","")</f>
        <v>Jane</v>
      </c>
      <c r="F12" s="48"/>
      <c r="G12" s="48"/>
      <c r="H12" s="49"/>
      <c r="I12" s="48"/>
      <c r="J12" s="48"/>
      <c r="K12" s="48"/>
      <c r="L12" s="48"/>
      <c r="M12" s="48"/>
      <c r="N12" s="48"/>
      <c r="O12" s="48"/>
      <c r="P12" s="48"/>
      <c r="Q12" s="318"/>
    </row>
    <row r="13" spans="1:26">
      <c r="A13" s="47" t="s">
        <v>271</v>
      </c>
      <c r="B13" s="48"/>
      <c r="C13" s="48"/>
      <c r="D13" s="48" t="str">
        <f>TRIM(RIGHT(A13,LEN(A13)-FIND("=",A13)))</f>
        <v>Kim.</v>
      </c>
      <c r="E13" s="48" t="str">
        <f>SUBSTITUTE(D13,".","")</f>
        <v>Kim</v>
      </c>
      <c r="F13" s="48"/>
      <c r="G13" s="48"/>
      <c r="H13" s="49"/>
      <c r="I13" s="48"/>
      <c r="J13" s="48"/>
      <c r="K13" s="48"/>
      <c r="L13" s="48"/>
      <c r="M13" s="48"/>
      <c r="N13" s="48"/>
      <c r="O13" s="48"/>
      <c r="P13" s="48"/>
      <c r="Q13" s="318"/>
    </row>
    <row r="14" spans="1:26">
      <c r="A14" s="47" t="s">
        <v>272</v>
      </c>
      <c r="B14" s="48"/>
      <c r="C14" s="48"/>
      <c r="D14" s="48" t="str">
        <f>TRIM(RIGHT(A14,LEN(A14)-FIND("=",A14)))</f>
        <v>(808)885-0390.</v>
      </c>
      <c r="E14" s="48" t="str">
        <f>SUBSTITUTE(D14,".","")</f>
        <v>(808)885-0390</v>
      </c>
      <c r="F14" s="48"/>
      <c r="G14" s="48"/>
      <c r="H14" s="49"/>
      <c r="I14" s="48"/>
      <c r="J14" s="48"/>
      <c r="K14" s="48"/>
      <c r="L14" s="48"/>
      <c r="M14" s="48"/>
      <c r="N14" s="48"/>
      <c r="O14" s="48"/>
      <c r="P14" s="48"/>
      <c r="Q14" s="318"/>
    </row>
    <row r="15" spans="1:26">
      <c r="A15" s="51" t="s">
        <v>273</v>
      </c>
      <c r="B15" s="48"/>
      <c r="C15" s="48"/>
      <c r="D15" s="48" t="str">
        <f>TRIM(RIGHT(A15,LEN(A15)-FIND("=",A15)))</f>
        <v>jkim12350@gmail.com</v>
      </c>
      <c r="E15" s="48"/>
      <c r="F15" s="48"/>
      <c r="G15" s="48"/>
      <c r="H15" s="49"/>
      <c r="I15" s="48"/>
      <c r="J15" s="48"/>
      <c r="K15" s="48"/>
      <c r="L15" s="48"/>
      <c r="M15" s="48"/>
      <c r="N15" s="48"/>
      <c r="O15" s="48"/>
      <c r="P15" s="48"/>
      <c r="Q15" s="318"/>
    </row>
    <row r="16" spans="1:26">
      <c r="A16" s="48"/>
      <c r="B16" s="48"/>
      <c r="C16" s="48"/>
      <c r="D16" s="48"/>
      <c r="E16" s="48"/>
      <c r="F16" s="48"/>
      <c r="G16" s="48"/>
      <c r="H16" s="49"/>
      <c r="I16" s="48"/>
      <c r="J16" s="48"/>
      <c r="K16" s="48"/>
      <c r="L16" s="48"/>
      <c r="M16" s="48"/>
      <c r="N16" s="48"/>
      <c r="O16" s="48"/>
      <c r="P16" s="48"/>
      <c r="Q16" s="318"/>
    </row>
    <row r="17" spans="1:17">
      <c r="A17" s="47" t="s">
        <v>274</v>
      </c>
      <c r="B17" s="48"/>
      <c r="C17" s="48"/>
      <c r="D17" s="48" t="str">
        <f>TRIM(RIGHT(A17,LEN(A17)-FIND("=",A17)))</f>
        <v>64-5259 Puanuanu Place.</v>
      </c>
      <c r="E17" s="48" t="str">
        <f>SUBSTITUTE(D17,".","")</f>
        <v>64-5259 Puanuanu Place</v>
      </c>
      <c r="F17" s="48" t="str">
        <f>IF(E17="","N/A",E17)</f>
        <v>64-5259 Puanuanu Place</v>
      </c>
      <c r="G17" s="48"/>
      <c r="H17" s="49"/>
      <c r="I17" s="48" t="str">
        <f>F17&amp;", "&amp;F18&amp;", "&amp;F19&amp;", "&amp;F20</f>
        <v>64-5259 Puanuanu Place, Kamuela, HI, 96743</v>
      </c>
      <c r="J17" s="48"/>
      <c r="K17" s="48"/>
      <c r="L17" s="48"/>
      <c r="M17" s="48"/>
      <c r="N17" s="48" t="str">
        <f>_xlfn.TEXTJOIN(" ",TRUE,_xlfn.UNIQUE(_xlfn.FILTERXML("&lt;t&gt;&lt;s&gt;"&amp;SUBSTITUTE(TRIM(I17)," ","&lt;/s&gt;&lt;s&gt;")&amp;"&lt;/s&gt;&lt;/t&gt;","//s")))</f>
        <v>64-5259 Puanuanu Place, Kamuela, HI, 96743</v>
      </c>
      <c r="O17" s="48"/>
      <c r="P17" s="48"/>
      <c r="Q17" s="318"/>
    </row>
    <row r="18" spans="1:17">
      <c r="A18" s="47" t="s">
        <v>275</v>
      </c>
      <c r="B18" s="48"/>
      <c r="C18" s="48"/>
      <c r="D18" s="48" t="str">
        <f>TRIM(RIGHT(A18,LEN(A18)-FIND("=",A18)))</f>
        <v>Kamuela.</v>
      </c>
      <c r="E18" s="48" t="str">
        <f>SUBSTITUTE(D18,".","")</f>
        <v>Kamuela</v>
      </c>
      <c r="F18" s="48" t="str">
        <f>IF(E18="","N/A",E18)</f>
        <v>Kamuela</v>
      </c>
      <c r="G18" s="48"/>
      <c r="H18" s="49"/>
      <c r="I18" s="48"/>
      <c r="J18" s="48"/>
      <c r="K18" s="48"/>
      <c r="L18" s="48"/>
      <c r="M18" s="48"/>
      <c r="N18" s="48"/>
      <c r="O18" s="48"/>
      <c r="P18" s="48"/>
      <c r="Q18" s="318"/>
    </row>
    <row r="19" spans="1:17">
      <c r="A19" s="47" t="s">
        <v>276</v>
      </c>
      <c r="B19" s="48"/>
      <c r="C19" s="48"/>
      <c r="D19" s="48" t="str">
        <f>TRIM(RIGHT(A19,LEN(A19)-FIND("=",A19)))</f>
        <v>HI.</v>
      </c>
      <c r="E19" s="48" t="str">
        <f>SUBSTITUTE(D19,".","")</f>
        <v>HI</v>
      </c>
      <c r="F19" s="48" t="str">
        <f>IF(E19="","N/A",E19)</f>
        <v>HI</v>
      </c>
      <c r="G19" s="48"/>
      <c r="H19" s="49"/>
      <c r="I19" s="48"/>
      <c r="J19" s="48"/>
      <c r="K19" s="48"/>
      <c r="L19" s="48"/>
      <c r="M19" s="48"/>
      <c r="N19" s="48"/>
      <c r="O19" s="48"/>
      <c r="P19" s="48"/>
      <c r="Q19" s="318"/>
    </row>
    <row r="20" spans="1:17">
      <c r="A20" s="47" t="s">
        <v>277</v>
      </c>
      <c r="B20" s="48"/>
      <c r="C20" s="48"/>
      <c r="D20" s="48" t="str">
        <f>TRIM(RIGHT(A20,LEN(A20)-FIND("=",A20)))</f>
        <v>96743.</v>
      </c>
      <c r="E20" s="48" t="str">
        <f>SUBSTITUTE(D20,".","")</f>
        <v>96743</v>
      </c>
      <c r="F20" s="48" t="str">
        <f>IF(E20="","N/A",E20)</f>
        <v>96743</v>
      </c>
      <c r="G20" s="48"/>
      <c r="H20" s="49"/>
      <c r="I20" s="48"/>
      <c r="J20" s="48"/>
      <c r="K20" s="48"/>
      <c r="L20" s="48"/>
      <c r="M20" s="48"/>
      <c r="N20" s="48"/>
      <c r="O20" s="48"/>
      <c r="P20" s="48"/>
      <c r="Q20" s="318"/>
    </row>
    <row r="21" spans="1:17">
      <c r="A21" s="48"/>
      <c r="B21" s="48"/>
      <c r="C21" s="48"/>
      <c r="D21" s="48"/>
      <c r="E21" s="48"/>
      <c r="F21" s="48"/>
      <c r="G21" s="48"/>
      <c r="H21" s="49"/>
      <c r="I21" s="48"/>
      <c r="J21" s="48"/>
      <c r="K21" s="48"/>
      <c r="L21" s="48"/>
      <c r="M21" s="48"/>
      <c r="N21" s="48"/>
      <c r="O21" s="48"/>
      <c r="P21" s="48"/>
      <c r="Q21" s="318"/>
    </row>
    <row r="22" spans="1:17">
      <c r="A22" s="47" t="s">
        <v>278</v>
      </c>
      <c r="B22" s="48"/>
      <c r="C22" s="48"/>
      <c r="D22" s="48" t="str">
        <f>TRIM(RIGHT(A22,LEN(A22)-FIND("=",A22)))</f>
        <v>64-5259 Puanuanu Place.</v>
      </c>
      <c r="E22" s="48" t="str">
        <f>SUBSTITUTE(D22,".","")</f>
        <v>64-5259 Puanuanu Place</v>
      </c>
      <c r="F22" s="48" t="str">
        <f>IF(E22="","N/A",E22)</f>
        <v>64-5259 Puanuanu Place</v>
      </c>
      <c r="G22" s="48"/>
      <c r="H22" s="49"/>
      <c r="I22" s="48" t="str">
        <f>F22&amp;", "&amp;F23&amp;", "&amp;F24&amp;", "&amp;F25</f>
        <v>64-5259 Puanuanu Place, Kamuela, HI, 96743</v>
      </c>
      <c r="J22" s="48"/>
      <c r="K22" s="48"/>
      <c r="L22" s="48"/>
      <c r="M22" s="48"/>
      <c r="N22" s="48" t="str">
        <f>_xlfn.TEXTJOIN(" ",TRUE,_xlfn.UNIQUE(_xlfn.FILTERXML("&lt;t&gt;&lt;s&gt;"&amp;SUBSTITUTE(TRIM(I22)," ","&lt;/s&gt;&lt;s&gt;")&amp;"&lt;/s&gt;&lt;/t&gt;","//s")))</f>
        <v>64-5259 Puanuanu Place, Kamuela, HI, 96743</v>
      </c>
      <c r="O22" s="48"/>
      <c r="P22" s="48"/>
      <c r="Q22" s="318"/>
    </row>
    <row r="23" spans="1:17">
      <c r="A23" s="47" t="s">
        <v>279</v>
      </c>
      <c r="B23" s="48"/>
      <c r="C23" s="48"/>
      <c r="D23" s="48" t="str">
        <f>TRIM(RIGHT(A23,LEN(A23)-FIND("=",A23)))</f>
        <v>Kamuela.</v>
      </c>
      <c r="E23" s="48" t="str">
        <f>SUBSTITUTE(D23,".","")</f>
        <v>Kamuela</v>
      </c>
      <c r="F23" s="48" t="str">
        <f>IF(E23="","N/A",E23)</f>
        <v>Kamuela</v>
      </c>
      <c r="G23" s="48"/>
      <c r="H23" s="49"/>
      <c r="I23" s="48"/>
      <c r="J23" s="48"/>
      <c r="K23" s="48"/>
      <c r="L23" s="48"/>
      <c r="M23" s="48"/>
      <c r="N23" s="48"/>
      <c r="O23" s="48"/>
      <c r="P23" s="48"/>
      <c r="Q23" s="318"/>
    </row>
    <row r="24" spans="1:17">
      <c r="A24" s="47" t="s">
        <v>280</v>
      </c>
      <c r="B24" s="48"/>
      <c r="C24" s="48"/>
      <c r="D24" s="48" t="str">
        <f>TRIM(RIGHT(A24,LEN(A24)-FIND("=",A24)))</f>
        <v>HI.</v>
      </c>
      <c r="E24" s="48" t="str">
        <f>SUBSTITUTE(D24,".","")</f>
        <v>HI</v>
      </c>
      <c r="F24" s="48" t="str">
        <f>IF(E24="","N/A",E24)</f>
        <v>HI</v>
      </c>
      <c r="G24" s="48"/>
      <c r="H24" s="49"/>
      <c r="I24" s="48"/>
      <c r="J24" s="48"/>
      <c r="K24" s="48"/>
      <c r="L24" s="48"/>
      <c r="M24" s="48"/>
      <c r="N24" s="48"/>
      <c r="O24" s="48"/>
      <c r="P24" s="48"/>
      <c r="Q24" s="318"/>
    </row>
    <row r="25" spans="1:17">
      <c r="A25" s="47" t="s">
        <v>281</v>
      </c>
      <c r="B25" s="48"/>
      <c r="C25" s="48"/>
      <c r="D25" s="48" t="str">
        <f>TRIM(RIGHT(A25,LEN(A25)-FIND("=",A25)))</f>
        <v>96743.</v>
      </c>
      <c r="E25" s="48" t="str">
        <f>SUBSTITUTE(D25,".","")</f>
        <v>96743</v>
      </c>
      <c r="F25" s="48" t="str">
        <f>IF(E25="","N/A",E25)</f>
        <v>96743</v>
      </c>
      <c r="G25" s="48"/>
      <c r="H25" s="49"/>
      <c r="I25" s="48"/>
      <c r="J25" s="48"/>
      <c r="K25" s="48"/>
      <c r="L25" s="48"/>
      <c r="M25" s="48"/>
      <c r="N25" s="48"/>
      <c r="O25" s="48"/>
      <c r="P25" s="48"/>
      <c r="Q25" s="318"/>
    </row>
    <row r="26" spans="1:17">
      <c r="A26" s="48"/>
      <c r="B26" s="48"/>
      <c r="C26" s="48"/>
      <c r="D26" s="48"/>
      <c r="E26" s="48"/>
      <c r="F26" s="48"/>
      <c r="G26" s="48"/>
      <c r="H26" s="49"/>
      <c r="I26" s="48"/>
      <c r="J26" s="48"/>
      <c r="K26" s="48"/>
      <c r="L26" s="48"/>
      <c r="M26" s="48"/>
      <c r="N26" s="48"/>
      <c r="O26" s="48"/>
      <c r="P26" s="48"/>
      <c r="Q26" s="318"/>
    </row>
    <row r="27" spans="1:17">
      <c r="A27" s="47" t="s">
        <v>263</v>
      </c>
      <c r="B27" s="48"/>
      <c r="C27" s="48"/>
      <c r="D27" s="48" t="str">
        <f>TRIM(RIGHT(A27,LEN(A27)-FIND("=",A27)))</f>
        <v>2.</v>
      </c>
      <c r="E27" s="48" t="str">
        <f>SUBSTITUTE(D27,".","")</f>
        <v>2</v>
      </c>
      <c r="F27" s="48" t="str">
        <f>IF(OR(E27="15-Yr Fixed", E27="30-Yr Fixed", E27="Don't Know", E27="MORTGAGE", E27="refinance"), "Refinance", IF(E27="HOMEEQUITY", "Home Equity", IF(E27="purchase", "Purchase", E27)))</f>
        <v>2</v>
      </c>
      <c r="G27" s="48"/>
      <c r="H27" s="49"/>
      <c r="I27" s="48"/>
      <c r="J27" s="48"/>
      <c r="K27" s="48"/>
      <c r="L27" s="48"/>
      <c r="M27" s="48"/>
      <c r="N27" s="48"/>
      <c r="O27" s="48"/>
      <c r="P27" s="48"/>
      <c r="Q27" s="318"/>
    </row>
    <row r="28" spans="1:17">
      <c r="A28" s="47" t="s">
        <v>129</v>
      </c>
      <c r="B28" s="48"/>
      <c r="C28" s="48"/>
      <c r="D28" s="48" t="str">
        <f>TRIM(RIGHT(A28,LEN(A28)-FIND("=",A28)))</f>
        <v>.</v>
      </c>
      <c r="E28" s="48" t="str">
        <f>SUBSTITUTE(D28,".","")</f>
        <v/>
      </c>
      <c r="F28" s="48" t="str">
        <f>IF(E28="","N/A",E28)</f>
        <v>N/A</v>
      </c>
      <c r="G28" s="48"/>
      <c r="H28" s="49"/>
      <c r="I28" s="48"/>
      <c r="J28" s="48"/>
      <c r="K28" s="48"/>
      <c r="L28" s="48"/>
      <c r="M28" s="48"/>
      <c r="N28" s="48"/>
      <c r="O28" s="48"/>
      <c r="P28" s="48"/>
      <c r="Q28" s="318"/>
    </row>
    <row r="29" spans="1:17">
      <c r="A29" s="47" t="s">
        <v>264</v>
      </c>
      <c r="B29" s="48"/>
      <c r="C29" s="48"/>
      <c r="D29" s="48" t="str">
        <f>TRIM(RIGHT(A29,LEN(A29)-FIND("=",A29)))</f>
        <v>.</v>
      </c>
      <c r="E29" s="48" t="str">
        <f>SUBSTITUTE(D29,".","")</f>
        <v/>
      </c>
      <c r="F29" s="48" t="str">
        <f>IF(E29="","Not Provided",E29)</f>
        <v>Not Provided</v>
      </c>
      <c r="G29" s="48"/>
      <c r="H29" s="49"/>
      <c r="I29" s="48"/>
      <c r="J29" s="48"/>
      <c r="K29" s="48"/>
      <c r="L29" s="48"/>
      <c r="M29" s="48"/>
      <c r="N29" s="48"/>
      <c r="O29" s="48"/>
      <c r="P29" s="48"/>
      <c r="Q29" s="318"/>
    </row>
    <row r="30" spans="1:17">
      <c r="A30" s="47" t="s">
        <v>265</v>
      </c>
      <c r="B30" s="48"/>
      <c r="C30" s="48"/>
      <c r="D30" s="48" t="str">
        <f>TRIM(RIGHT(A30,LEN(A30)-FIND("=",A30)))</f>
        <v>Single Family.</v>
      </c>
      <c r="E30" s="48" t="str">
        <f>SUBSTITUTE(D30,".","")</f>
        <v>Single Family</v>
      </c>
      <c r="F30" s="48" t="str">
        <f>IF(OR(E30="Condo", E30="Condominium w/4 or fewer stories"), "Condo", IF(E30="Manufactured", "Manufactured", IF(OR(E30="2-4 Units", E30="Multi", E30="multi_fam", E30="Multiple_fam", E30="Multiple-family"), "2-4 Units", IF(OR(E30="Single", E30="Single_fam", E30="Single-family", E30="Single-Family Detached"), "SFR", IF(OR(E30="Town home", E30="Town House"), "Townhome", E30)))))</f>
        <v>Single Family</v>
      </c>
      <c r="G30" s="48"/>
      <c r="H30" s="49"/>
      <c r="I30" s="48"/>
      <c r="J30" s="48"/>
      <c r="K30" s="48"/>
      <c r="L30" s="48"/>
      <c r="M30" s="48"/>
      <c r="N30" s="48"/>
      <c r="O30" s="48"/>
      <c r="P30" s="48"/>
      <c r="Q30" s="318"/>
    </row>
    <row r="31" spans="1:17">
      <c r="A31" s="47" t="s">
        <v>282</v>
      </c>
      <c r="B31" s="48"/>
      <c r="C31" s="48"/>
      <c r="D31" s="48" t="str">
        <f>TRIM(RIGHT(A31,LEN(A31)-FIND("=",A31)))</f>
        <v>Good.</v>
      </c>
      <c r="E31" s="48" t="str">
        <f>SUBSTITUTE(D31,".","")</f>
        <v>Good</v>
      </c>
      <c r="F31" s="48"/>
      <c r="G31" s="48"/>
      <c r="H31" s="49"/>
      <c r="I31" s="48"/>
      <c r="J31" s="48"/>
      <c r="K31" s="48"/>
      <c r="L31" s="48"/>
      <c r="M31" s="48"/>
      <c r="N31" s="48"/>
      <c r="O31" s="48"/>
      <c r="P31" s="48"/>
      <c r="Q31" s="318"/>
    </row>
    <row r="32" spans="1:17">
      <c r="A32" s="47" t="s">
        <v>154</v>
      </c>
      <c r="B32" s="48"/>
      <c r="C32" s="48"/>
      <c r="D32" s="52">
        <f>IF(TRIM(RIGHT(A32,LEN(A32)-FIND("=",A32)))="{addl_PrimaryMortgageBalance}",0,TRIM(RIGHT(A32,LEN(A32)-FIND("=",A32))))</f>
        <v>0</v>
      </c>
      <c r="E32" s="52">
        <f>VALUE(D32)</f>
        <v>0</v>
      </c>
      <c r="F32" s="48"/>
      <c r="G32" s="48"/>
      <c r="H32" s="49"/>
      <c r="I32" s="48"/>
      <c r="J32" s="48"/>
      <c r="K32" s="48"/>
      <c r="L32" s="48"/>
      <c r="M32" s="48"/>
      <c r="N32" s="48"/>
      <c r="O32" s="48"/>
      <c r="P32" s="48"/>
      <c r="Q32" s="318"/>
    </row>
    <row r="33" spans="1:17">
      <c r="A33" s="47" t="s">
        <v>283</v>
      </c>
      <c r="B33" s="48"/>
      <c r="C33" s="48"/>
      <c r="D33" s="53" t="str">
        <f>TRIM(RIGHT(A33,LEN(A33)-FIND("=",A33)))</f>
        <v>325000</v>
      </c>
      <c r="E33" s="52">
        <f>IFERROR(VALUE(D33),0)</f>
        <v>325000</v>
      </c>
      <c r="F33" s="48"/>
      <c r="G33" s="48"/>
      <c r="H33" s="49"/>
      <c r="I33" s="48"/>
      <c r="J33" s="48"/>
      <c r="K33" s="48"/>
      <c r="L33" s="48"/>
      <c r="M33" s="48"/>
      <c r="N33" s="48"/>
      <c r="O33" s="48"/>
      <c r="P33" s="48"/>
      <c r="Q33" s="318"/>
    </row>
    <row r="34" spans="1:17">
      <c r="A34" s="47" t="s">
        <v>284</v>
      </c>
      <c r="B34" s="48"/>
      <c r="C34" s="48"/>
      <c r="D34" s="53" t="str">
        <f>TRIM(RIGHT(A34,LEN(A34)-FIND("=",A34)))</f>
        <v>155000</v>
      </c>
      <c r="E34" s="52">
        <f>IFERROR(VALUE(D34),0)</f>
        <v>155000</v>
      </c>
      <c r="F34" s="53"/>
      <c r="G34" s="48"/>
      <c r="H34" s="49"/>
      <c r="I34" s="48"/>
      <c r="J34" s="48"/>
      <c r="K34" s="48"/>
      <c r="L34" s="48"/>
      <c r="M34" s="48"/>
      <c r="N34" s="48"/>
      <c r="O34" s="48"/>
      <c r="P34" s="48"/>
      <c r="Q34" s="318"/>
    </row>
    <row r="35" spans="1:17">
      <c r="A35" s="47" t="s">
        <v>266</v>
      </c>
      <c r="B35" s="48"/>
      <c r="C35" s="48"/>
      <c r="D35" s="48" t="str">
        <f>TRIM(RIGHT(A35,LEN(A35)-FIND("=",A35)))</f>
        <v/>
      </c>
      <c r="E35" s="54" t="e">
        <f>VALUE(D35/100)</f>
        <v>#VALUE!</v>
      </c>
      <c r="F35" s="48"/>
      <c r="G35" s="48"/>
      <c r="H35" s="49"/>
      <c r="I35" s="48" t="e">
        <f>970000*D35</f>
        <v>#VALUE!</v>
      </c>
      <c r="J35" s="48"/>
      <c r="K35" s="48"/>
      <c r="L35" s="48"/>
      <c r="M35" s="48"/>
      <c r="N35" s="48"/>
      <c r="O35" s="48"/>
      <c r="P35" s="48"/>
      <c r="Q35" s="318"/>
    </row>
    <row r="36" spans="1:17">
      <c r="A36" s="48"/>
      <c r="B36" s="48"/>
      <c r="C36" s="48"/>
      <c r="D36" s="48"/>
      <c r="E36" s="48"/>
      <c r="F36" s="48"/>
      <c r="G36" s="48"/>
      <c r="H36" s="49"/>
      <c r="I36" s="48"/>
      <c r="J36" s="48"/>
      <c r="K36" s="48"/>
      <c r="L36" s="48"/>
      <c r="M36" s="48"/>
      <c r="N36" s="48"/>
      <c r="O36" s="48"/>
      <c r="P36" s="48"/>
      <c r="Q36" s="318"/>
    </row>
    <row r="37" spans="1:17">
      <c r="A37" s="47" t="s">
        <v>267</v>
      </c>
      <c r="B37" s="48"/>
      <c r="C37" s="48"/>
      <c r="D37" s="48" t="str">
        <f>TRIM(RIGHT(A37,LEN(A37)-FIND("=",A37)))</f>
        <v>0</v>
      </c>
      <c r="E37" s="52">
        <f>IFERROR(VALUE(D37),0)</f>
        <v>0</v>
      </c>
      <c r="F37" s="48"/>
      <c r="G37" s="48"/>
      <c r="H37" s="49"/>
      <c r="I37" s="48"/>
      <c r="J37" s="48"/>
      <c r="K37" s="48"/>
      <c r="L37" s="48"/>
      <c r="M37" s="48"/>
      <c r="N37" s="48"/>
      <c r="O37" s="48"/>
      <c r="P37" s="48"/>
      <c r="Q37" s="318"/>
    </row>
    <row r="38" spans="1:17">
      <c r="A38" s="47" t="s">
        <v>155</v>
      </c>
      <c r="B38" s="48"/>
      <c r="C38" s="48"/>
      <c r="D38" s="52">
        <f>IF(TRIM(RIGHT(A38,LEN(A38)-FIND("=",A38)))="{addl_HomeEquityAddlCash}",0,TRIM(RIGHT(A38,LEN(A38)-FIND("=",A38))))</f>
        <v>0</v>
      </c>
      <c r="E38" s="52">
        <f>VALUE(D38)</f>
        <v>0</v>
      </c>
      <c r="F38" s="55">
        <f>VALUE(SUBSTITUTE(E38,"/",""))</f>
        <v>0</v>
      </c>
      <c r="G38" s="48"/>
      <c r="H38" s="49"/>
      <c r="I38" s="48"/>
      <c r="J38" s="48"/>
      <c r="K38" s="48"/>
      <c r="L38" s="48"/>
      <c r="M38" s="48"/>
      <c r="N38" s="48"/>
      <c r="O38" s="48"/>
      <c r="P38" s="48"/>
      <c r="Q38" s="318"/>
    </row>
    <row r="39" spans="1:17">
      <c r="A39" s="47" t="s">
        <v>285</v>
      </c>
      <c r="B39" s="48"/>
      <c r="C39" s="48"/>
      <c r="D39" s="48" t="str">
        <f>TRIM(RIGHT(A39,LEN(A39)-FIND("=",A39)))</f>
        <v>155000</v>
      </c>
      <c r="E39" s="52">
        <f>IFERROR(VALUE(D39),0)</f>
        <v>155000</v>
      </c>
      <c r="F39" s="48"/>
      <c r="G39" s="48"/>
      <c r="H39" s="49"/>
      <c r="I39" s="48"/>
      <c r="J39" s="48"/>
      <c r="K39" s="48"/>
      <c r="L39" s="48"/>
      <c r="M39" s="48"/>
      <c r="N39" s="48"/>
      <c r="O39" s="48"/>
      <c r="P39" s="48"/>
      <c r="Q39" s="318"/>
    </row>
    <row r="40" spans="1:17">
      <c r="A40" s="48"/>
      <c r="B40" s="48"/>
      <c r="C40" s="48"/>
      <c r="D40" s="48"/>
      <c r="E40" s="48"/>
      <c r="F40" s="48"/>
      <c r="G40" s="48"/>
      <c r="H40" s="49"/>
      <c r="I40" s="48"/>
      <c r="J40" s="48"/>
      <c r="K40" s="48"/>
      <c r="L40" s="48"/>
      <c r="M40" s="48"/>
      <c r="N40" s="48"/>
      <c r="O40" s="48"/>
      <c r="P40" s="48"/>
      <c r="Q40" s="318"/>
    </row>
    <row r="41" spans="1:17">
      <c r="A41" s="47" t="s">
        <v>268</v>
      </c>
      <c r="B41" s="48"/>
      <c r="C41" s="48"/>
      <c r="D41" s="48" t="str">
        <f>TRIM(RIGHT(A41,LEN(A41)-FIND("=",A41)))</f>
        <v>.</v>
      </c>
      <c r="E41" s="48" t="str">
        <f>SUBSTITUTE(D41,".","")</f>
        <v/>
      </c>
      <c r="F41" s="48" t="str">
        <f>IF(E41="","no",E41)</f>
        <v>no</v>
      </c>
      <c r="G41" s="48"/>
      <c r="H41" s="49"/>
      <c r="I41" s="48"/>
      <c r="J41" s="48"/>
      <c r="K41" s="48"/>
      <c r="L41" s="48"/>
      <c r="M41" s="48"/>
      <c r="N41" s="48"/>
      <c r="O41" s="48"/>
      <c r="P41" s="48"/>
      <c r="Q41" s="318"/>
    </row>
    <row r="42" spans="1:17">
      <c r="A42" s="47" t="s">
        <v>150</v>
      </c>
      <c r="B42" s="48"/>
      <c r="C42" s="48"/>
      <c r="D42" s="48" t="str">
        <f>TRIM(RIGHT(A42,LEN(A42)-FIND("=",A42)))</f>
        <v>.</v>
      </c>
      <c r="E42" s="48" t="str">
        <f>SUBSTITUTE(D42,".","")</f>
        <v/>
      </c>
      <c r="F42" s="48" t="str">
        <f>IF(E42="","no",E42)</f>
        <v>no</v>
      </c>
      <c r="G42" s="48"/>
      <c r="H42" s="49"/>
      <c r="I42" s="48"/>
      <c r="J42" s="48"/>
      <c r="K42" s="48"/>
      <c r="L42" s="48"/>
      <c r="M42" s="48"/>
      <c r="N42" s="48"/>
      <c r="O42" s="48"/>
      <c r="P42" s="48"/>
      <c r="Q42" s="318"/>
    </row>
    <row r="43" spans="1:17">
      <c r="A43" s="47" t="s">
        <v>160</v>
      </c>
      <c r="B43" s="48"/>
      <c r="C43" s="48"/>
      <c r="D43" s="48" t="str">
        <f>TRIM(RIGHT(A43,LEN(A43)-FIND("=",A43)))</f>
        <v>.</v>
      </c>
      <c r="E43" s="48" t="str">
        <f>SUBSTITUTE(D43,".","")</f>
        <v/>
      </c>
      <c r="F43" s="48" t="str">
        <f>IF(E43="","no",E43)</f>
        <v>no</v>
      </c>
      <c r="G43" s="48"/>
      <c r="H43" s="49"/>
      <c r="I43" s="48"/>
      <c r="J43" s="48"/>
      <c r="K43" s="48"/>
      <c r="L43" s="48"/>
      <c r="M43" s="48"/>
      <c r="N43" s="48"/>
      <c r="O43" s="48"/>
      <c r="P43" s="48"/>
      <c r="Q43" s="318"/>
    </row>
    <row r="44" spans="1:17">
      <c r="A44" s="48"/>
      <c r="B44" s="48"/>
      <c r="C44" s="48"/>
      <c r="D44" s="48"/>
      <c r="E44" s="48"/>
      <c r="F44" s="48"/>
      <c r="G44" s="48"/>
      <c r="H44" s="49"/>
      <c r="I44" s="48"/>
      <c r="J44" s="48"/>
      <c r="K44" s="48"/>
      <c r="L44" s="48"/>
      <c r="M44" s="48"/>
      <c r="N44" s="48"/>
      <c r="O44" s="48"/>
      <c r="P44" s="48"/>
      <c r="Q44" s="318"/>
    </row>
    <row r="45" spans="1:17">
      <c r="A45" s="47" t="s">
        <v>269</v>
      </c>
      <c r="B45" s="48"/>
      <c r="C45" s="48"/>
      <c r="D45" s="48" t="str">
        <f>TRIM(RIGHT(A45,LEN(A45)-FIND("=",A45)))</f>
        <v>17</v>
      </c>
      <c r="E45" s="52">
        <f>IFERROR(VALUE(D45),0)</f>
        <v>17</v>
      </c>
      <c r="F45" s="48"/>
      <c r="G45" s="48"/>
      <c r="H45" s="49"/>
      <c r="I45" s="48"/>
      <c r="J45" s="48"/>
      <c r="K45" s="48"/>
      <c r="L45" s="48"/>
      <c r="M45" s="48"/>
      <c r="N45" s="48"/>
      <c r="O45" s="48"/>
      <c r="P45" s="48"/>
      <c r="Q45" s="318"/>
    </row>
    <row r="46" spans="1:17">
      <c r="A46" s="48" t="s">
        <v>100</v>
      </c>
      <c r="B46" s="48"/>
      <c r="C46" s="48"/>
      <c r="D46" s="48"/>
      <c r="E46" s="48"/>
      <c r="F46" s="48"/>
      <c r="G46" s="48"/>
      <c r="H46" s="49"/>
      <c r="I46" s="48" t="s">
        <v>74</v>
      </c>
      <c r="J46" s="48"/>
      <c r="K46" s="48"/>
      <c r="L46" s="48"/>
      <c r="M46" s="48"/>
      <c r="N46" s="48"/>
      <c r="O46" s="48"/>
      <c r="P46" s="48"/>
      <c r="Q46" s="318"/>
    </row>
    <row r="47" spans="1:17">
      <c r="A47" s="47" t="s">
        <v>70</v>
      </c>
      <c r="B47" s="48"/>
      <c r="C47" s="48"/>
      <c r="D47" s="48" t="str">
        <f>TRIM(RIGHT(A47,LEN(A47)-FIND("=",A47)))</f>
        <v>.</v>
      </c>
      <c r="E47" s="48" t="str">
        <f>IF(D47="","N/A",D47)</f>
        <v>.</v>
      </c>
      <c r="F47" s="48" t="str">
        <f>SUBSTITUTE(E47,".","")</f>
        <v/>
      </c>
      <c r="G47" s="48"/>
      <c r="H47" s="49"/>
      <c r="I47" s="56" t="e">
        <f>E39/E35</f>
        <v>#VALUE!</v>
      </c>
      <c r="J47" s="48"/>
      <c r="K47" s="48"/>
      <c r="L47" s="48"/>
      <c r="M47" s="48"/>
      <c r="N47" s="48"/>
      <c r="O47" s="48"/>
      <c r="P47" s="48"/>
      <c r="Q47" s="318"/>
    </row>
    <row r="48" spans="1:17">
      <c r="A48" s="47" t="s">
        <v>71</v>
      </c>
      <c r="B48" s="48"/>
      <c r="C48" s="48"/>
      <c r="D48" s="48" t="str">
        <f>TRIM(RIGHT(A48,LEN(A48)-FIND("=",A48)))</f>
        <v>.</v>
      </c>
      <c r="E48" s="48" t="str">
        <f>IF(D48="","N/A",D48)</f>
        <v>.</v>
      </c>
      <c r="F48" s="48" t="str">
        <f>SUBSTITUTE(E48,".","")</f>
        <v/>
      </c>
      <c r="G48" s="48"/>
      <c r="H48" s="49"/>
      <c r="I48" s="48"/>
      <c r="J48" s="48"/>
      <c r="K48" s="48"/>
      <c r="L48" s="48"/>
      <c r="M48" s="48"/>
      <c r="N48" s="48"/>
      <c r="O48" s="48"/>
      <c r="P48" s="48"/>
      <c r="Q48" s="318"/>
    </row>
    <row r="49" spans="1:17">
      <c r="A49" s="48" t="s">
        <v>100</v>
      </c>
      <c r="B49" s="48"/>
      <c r="C49" s="48"/>
      <c r="D49" s="48"/>
      <c r="E49" s="48"/>
      <c r="F49" s="48"/>
      <c r="G49" s="48"/>
      <c r="H49" s="49"/>
      <c r="I49" s="48"/>
      <c r="J49" s="48"/>
      <c r="K49" s="48"/>
      <c r="L49" s="48"/>
      <c r="M49" s="48"/>
      <c r="N49" s="48"/>
      <c r="O49" s="48"/>
      <c r="P49" s="48"/>
      <c r="Q49" s="318"/>
    </row>
    <row r="50" spans="1:17">
      <c r="A50" s="51" t="s">
        <v>286</v>
      </c>
      <c r="B50" s="48"/>
      <c r="C50" s="48"/>
      <c r="D50" s="48"/>
      <c r="E50" s="48"/>
      <c r="F50" s="48"/>
      <c r="G50" s="48"/>
      <c r="H50" s="49"/>
      <c r="I50" s="48"/>
      <c r="J50" s="48"/>
      <c r="K50" s="48"/>
      <c r="L50" s="48"/>
      <c r="M50" s="48"/>
      <c r="N50" s="48"/>
      <c r="O50" s="48"/>
      <c r="P50" s="48"/>
      <c r="Q50" s="318"/>
    </row>
    <row r="51" spans="1:17">
      <c r="A51" s="48"/>
      <c r="B51" s="48"/>
      <c r="C51" s="48"/>
      <c r="D51" s="48"/>
      <c r="E51" s="48"/>
      <c r="F51" s="48"/>
      <c r="G51" s="48"/>
      <c r="H51" s="48"/>
      <c r="I51" s="48"/>
      <c r="J51" s="48"/>
      <c r="K51" s="48"/>
      <c r="L51" s="48"/>
      <c r="M51" s="48"/>
      <c r="N51" s="48"/>
      <c r="O51" s="48"/>
      <c r="P51" s="48"/>
      <c r="Q51" s="318"/>
    </row>
    <row r="52" spans="1:17">
      <c r="A52" s="57"/>
      <c r="B52" s="48"/>
      <c r="C52" s="48"/>
      <c r="D52" s="48"/>
      <c r="E52" s="48"/>
      <c r="F52" s="48"/>
      <c r="G52" s="48"/>
      <c r="H52" s="48"/>
      <c r="I52" s="48"/>
      <c r="J52" s="48"/>
      <c r="K52" s="48"/>
      <c r="L52" s="48"/>
      <c r="M52" s="48"/>
      <c r="N52" s="48"/>
      <c r="O52" s="48"/>
      <c r="P52" s="48"/>
      <c r="Q52" s="318"/>
    </row>
    <row r="53" spans="1:17">
      <c r="A53" s="48"/>
      <c r="B53" s="48"/>
      <c r="C53" s="48"/>
      <c r="D53" s="48"/>
      <c r="E53" s="48"/>
      <c r="F53" s="48"/>
      <c r="G53" s="48"/>
      <c r="H53" s="48"/>
      <c r="I53" s="48"/>
      <c r="J53" s="48"/>
      <c r="K53" s="48"/>
      <c r="L53" s="48"/>
      <c r="M53" s="48"/>
      <c r="N53" s="48"/>
      <c r="O53" s="48"/>
      <c r="P53" s="48"/>
      <c r="Q53" s="318"/>
    </row>
    <row r="54" spans="1:17">
      <c r="A54" s="48"/>
      <c r="B54" s="48"/>
      <c r="C54" s="48"/>
      <c r="D54" s="48"/>
      <c r="E54" s="48"/>
      <c r="F54" s="48"/>
      <c r="G54" s="48"/>
      <c r="H54" s="48"/>
      <c r="I54" s="48"/>
      <c r="J54" s="48"/>
      <c r="K54" s="48"/>
      <c r="L54" s="48"/>
      <c r="M54" s="48"/>
      <c r="N54" s="48"/>
      <c r="O54" s="48"/>
      <c r="P54" s="48"/>
      <c r="Q54" s="318"/>
    </row>
    <row r="55" spans="1:17">
      <c r="A55" s="48"/>
      <c r="B55" s="48"/>
      <c r="C55" s="48"/>
      <c r="D55" s="48"/>
      <c r="E55" s="48"/>
      <c r="F55" s="48"/>
      <c r="G55" s="48"/>
      <c r="H55" s="48"/>
      <c r="I55" s="48"/>
      <c r="J55" s="48"/>
      <c r="K55" s="48"/>
      <c r="L55" s="48"/>
      <c r="M55" s="48"/>
      <c r="N55" s="48"/>
      <c r="O55" s="48"/>
      <c r="P55" s="48"/>
      <c r="Q55" s="318"/>
    </row>
    <row r="56" spans="1:17" ht="15" thickBot="1">
      <c r="A56" s="48"/>
      <c r="B56" s="48"/>
      <c r="C56" s="48"/>
      <c r="D56" s="48"/>
      <c r="E56" s="48"/>
      <c r="F56" s="48"/>
      <c r="G56" s="48"/>
      <c r="H56" s="48"/>
      <c r="I56" s="48"/>
      <c r="J56" s="48"/>
      <c r="K56" s="48"/>
      <c r="L56" s="48"/>
      <c r="M56" s="48"/>
      <c r="N56" s="48"/>
      <c r="O56" s="48"/>
      <c r="P56" s="48"/>
      <c r="Q56" s="318"/>
    </row>
    <row r="57" spans="1:17" ht="16.2" thickBot="1">
      <c r="A57" s="320"/>
      <c r="B57" s="321"/>
      <c r="C57" s="321"/>
      <c r="D57" s="321"/>
      <c r="E57" s="321"/>
      <c r="F57" s="321"/>
      <c r="G57" s="321"/>
      <c r="H57" s="321"/>
      <c r="I57" s="321"/>
      <c r="J57" s="321"/>
      <c r="K57" s="321"/>
      <c r="L57" s="321"/>
      <c r="M57" s="321"/>
      <c r="N57" s="321"/>
      <c r="O57" s="321"/>
      <c r="P57" s="321"/>
      <c r="Q57" s="319"/>
    </row>
    <row r="58" spans="1:17" ht="16.2" thickBot="1">
      <c r="A58" s="322"/>
      <c r="B58" s="323"/>
      <c r="C58" s="323"/>
      <c r="D58" s="323"/>
      <c r="E58" s="323"/>
      <c r="F58" s="323"/>
      <c r="G58" s="323"/>
      <c r="H58" s="323"/>
      <c r="I58" s="323"/>
      <c r="J58" s="323"/>
      <c r="K58" s="323"/>
      <c r="L58" s="323"/>
      <c r="M58" s="323"/>
      <c r="N58" s="323"/>
      <c r="O58" s="323"/>
      <c r="P58" s="323"/>
      <c r="Q58" s="324"/>
    </row>
    <row r="59" spans="1:17">
      <c r="A59" s="58" t="s">
        <v>75</v>
      </c>
      <c r="B59" s="59" t="str">
        <f>E12</f>
        <v>Jane</v>
      </c>
      <c r="F59" s="20"/>
      <c r="Q59" s="325"/>
    </row>
    <row r="60" spans="1:17">
      <c r="A60" s="58" t="s">
        <v>76</v>
      </c>
      <c r="B60" s="59" t="str">
        <f>E13</f>
        <v>Kim</v>
      </c>
      <c r="F60" s="20"/>
      <c r="Q60" s="325"/>
    </row>
    <row r="61" spans="1:17">
      <c r="A61" s="58" t="s">
        <v>5</v>
      </c>
      <c r="B61" s="59" t="str">
        <f>E14</f>
        <v>(808)885-0390</v>
      </c>
      <c r="F61" s="20"/>
      <c r="Q61" s="325"/>
    </row>
    <row r="62" spans="1:17">
      <c r="A62" s="58" t="s">
        <v>77</v>
      </c>
      <c r="B62" s="59" t="str">
        <f>D15</f>
        <v>jkim12350@gmail.com</v>
      </c>
      <c r="F62" s="20"/>
      <c r="Q62" s="325"/>
    </row>
    <row r="63" spans="1:17">
      <c r="A63" s="58" t="s">
        <v>78</v>
      </c>
      <c r="B63" s="59" t="str">
        <f>I17</f>
        <v>64-5259 Puanuanu Place, Kamuela, HI, 96743</v>
      </c>
      <c r="F63" s="20"/>
      <c r="Q63" s="325"/>
    </row>
    <row r="64" spans="1:17">
      <c r="A64" s="58" t="s">
        <v>7</v>
      </c>
      <c r="B64" s="59" t="str">
        <f>F24</f>
        <v>HI</v>
      </c>
      <c r="F64" s="20"/>
      <c r="Q64" s="325"/>
    </row>
    <row r="65" spans="1:17">
      <c r="A65" s="58" t="s">
        <v>12</v>
      </c>
      <c r="B65" s="60" t="e">
        <f>IF(D10="LT:LF Refinance - Long Form 590-680.",D34/D35,E33)</f>
        <v>#VALUE!</v>
      </c>
      <c r="F65" s="20"/>
      <c r="Q65" s="325"/>
    </row>
    <row r="66" spans="1:17">
      <c r="A66" s="58" t="s">
        <v>79</v>
      </c>
      <c r="B66" s="60">
        <f>E34+E32</f>
        <v>155000</v>
      </c>
      <c r="F66" s="20"/>
      <c r="Q66" s="325"/>
    </row>
    <row r="67" spans="1:17">
      <c r="A67" s="58" t="s">
        <v>14</v>
      </c>
      <c r="B67" s="61">
        <f>IFERROR(B66/B65,0)</f>
        <v>0</v>
      </c>
      <c r="F67" s="20"/>
      <c r="Q67" s="325"/>
    </row>
    <row r="68" spans="1:17">
      <c r="A68" s="58" t="s">
        <v>80</v>
      </c>
      <c r="B68" s="60">
        <f>IF(IF(E37=0,E39-E34,E37+F38) &lt; 0, 50000, IF(E37=0,E39-E34,E37+F38))</f>
        <v>0</v>
      </c>
      <c r="F68" s="21"/>
      <c r="Q68" s="325"/>
    </row>
    <row r="69" spans="1:17">
      <c r="A69" s="58" t="s">
        <v>81</v>
      </c>
      <c r="B69" s="60">
        <f>E39</f>
        <v>155000</v>
      </c>
      <c r="F69" s="20"/>
      <c r="Q69" s="325"/>
    </row>
    <row r="70" spans="1:17">
      <c r="A70" s="58" t="s">
        <v>17</v>
      </c>
      <c r="B70" s="61">
        <f>IFERROR((B68+B66)/B65,0)</f>
        <v>0</v>
      </c>
      <c r="F70" s="20"/>
      <c r="Q70" s="325"/>
    </row>
    <row r="71" spans="1:17">
      <c r="A71" s="58" t="s">
        <v>9</v>
      </c>
      <c r="B71" s="59" t="str">
        <f>F30</f>
        <v>Single Family</v>
      </c>
      <c r="F71" s="20"/>
      <c r="Q71" s="325"/>
    </row>
    <row r="72" spans="1:17">
      <c r="A72" s="58" t="s">
        <v>82</v>
      </c>
      <c r="B72" s="59" t="str">
        <f>F29</f>
        <v>Not Provided</v>
      </c>
      <c r="F72" s="20"/>
      <c r="Q72" s="325"/>
    </row>
    <row r="73" spans="1:17">
      <c r="A73" s="58" t="s">
        <v>83</v>
      </c>
      <c r="B73" s="59" t="str">
        <f>E31</f>
        <v>Good</v>
      </c>
      <c r="F73" s="20"/>
      <c r="Q73" s="325"/>
    </row>
    <row r="74" spans="1:17">
      <c r="A74" s="58" t="s">
        <v>84</v>
      </c>
      <c r="B74" s="59" t="str">
        <f>F43</f>
        <v>no</v>
      </c>
      <c r="F74" s="20"/>
      <c r="Q74" s="325"/>
    </row>
    <row r="75" spans="1:17">
      <c r="A75" s="58" t="s">
        <v>85</v>
      </c>
      <c r="B75" s="59" t="str">
        <f>F42</f>
        <v>no</v>
      </c>
      <c r="F75" s="20"/>
      <c r="H75" s="1"/>
      <c r="Q75" s="325"/>
    </row>
    <row r="76" spans="1:17">
      <c r="A76" s="58" t="s">
        <v>86</v>
      </c>
      <c r="B76" s="59" t="str">
        <f>F41</f>
        <v>no</v>
      </c>
      <c r="F76" s="20"/>
      <c r="H76" s="1"/>
      <c r="Q76" s="325"/>
    </row>
    <row r="77" spans="1:17">
      <c r="A77" s="58" t="s">
        <v>87</v>
      </c>
      <c r="B77" s="60">
        <f>E45</f>
        <v>17</v>
      </c>
      <c r="F77" s="20"/>
      <c r="H77" s="1"/>
      <c r="Q77" s="325"/>
    </row>
    <row r="78" spans="1:17">
      <c r="A78" s="58" t="s">
        <v>88</v>
      </c>
      <c r="B78" s="59" t="str">
        <f>F27</f>
        <v>2</v>
      </c>
      <c r="H78" s="1"/>
      <c r="Q78" s="325"/>
    </row>
    <row r="79" spans="1:17">
      <c r="A79" s="58" t="s">
        <v>11</v>
      </c>
      <c r="B79" s="59" t="str">
        <f>IF(F47="","N/A",F47)</f>
        <v>N/A</v>
      </c>
      <c r="H79" s="1"/>
      <c r="Q79" s="325"/>
    </row>
    <row r="80" spans="1:17" ht="15" thickBot="1">
      <c r="A80" s="58" t="s">
        <v>23</v>
      </c>
      <c r="B80" s="59" t="e">
        <f>G10</f>
        <v>#VALUE!</v>
      </c>
      <c r="H80" s="1"/>
      <c r="Q80" s="325"/>
    </row>
    <row r="81" spans="1:17" ht="16.2" thickBot="1">
      <c r="A81" s="322"/>
      <c r="B81" s="323"/>
      <c r="C81" s="323"/>
      <c r="D81" s="323"/>
      <c r="E81" s="323"/>
      <c r="F81" s="323"/>
      <c r="G81" s="323"/>
      <c r="H81" s="323"/>
      <c r="I81" s="323"/>
      <c r="J81" s="323"/>
      <c r="K81" s="323"/>
      <c r="L81" s="323"/>
      <c r="M81" s="323"/>
      <c r="N81" s="323"/>
      <c r="O81" s="323"/>
      <c r="P81" s="323"/>
      <c r="Q81" s="326"/>
    </row>
  </sheetData>
  <protectedRanges>
    <protectedRange sqref="J3:N6 I5:I6 I3 G3:H6 E4:F6 D3:D6" name="Lead Entry_3_2_3"/>
    <protectedRange sqref="E33:E35 E37:E39 G36 E40:G40 E42:G46 E41:F41 J8:P56 F33:F39 H8:H56 I12:I45 I8:I10 G8:G32 E11:F32 A8:C56 D8:F9 D10:D56 I48:I56 E49:G56 E47:E48 G47:G48" name="Lead Entry_3_2_3_1"/>
    <protectedRange sqref="I46:I47" name="Lead Entry_3_2_1_1_1"/>
    <protectedRange sqref="F47:F48" name="Lead Entry_3_2_2_1_1"/>
  </protectedRanges>
  <mergeCells count="6">
    <mergeCell ref="A7:P7"/>
    <mergeCell ref="Q7:Q57"/>
    <mergeCell ref="A57:P57"/>
    <mergeCell ref="A58:P58"/>
    <mergeCell ref="Q58:Q81"/>
    <mergeCell ref="A81:P81"/>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5"/>
  <dimension ref="A1:F16"/>
  <sheetViews>
    <sheetView workbookViewId="0">
      <selection activeCell="A3" sqref="A3"/>
    </sheetView>
  </sheetViews>
  <sheetFormatPr defaultRowHeight="14.4"/>
  <cols>
    <col min="6" max="6" width="8.88671875" customWidth="1"/>
  </cols>
  <sheetData>
    <row r="1" spans="1:6">
      <c r="A1" t="s">
        <v>252</v>
      </c>
    </row>
    <row r="2" spans="1:6">
      <c r="A2" t="s">
        <v>292</v>
      </c>
    </row>
    <row r="3" spans="1:6">
      <c r="A3" t="s">
        <v>253</v>
      </c>
    </row>
    <row r="16" spans="1:6" ht="17.399999999999999">
      <c r="F16" s="95"/>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942999C6A3BD5743A9FD8698B9793C6D" ma:contentTypeVersion="18" ma:contentTypeDescription="Create a new document." ma:contentTypeScope="" ma:versionID="79880eea007cba0a9749586f5e142ecf">
  <xsd:schema xmlns:xsd="http://www.w3.org/2001/XMLSchema" xmlns:xs="http://www.w3.org/2001/XMLSchema" xmlns:p="http://schemas.microsoft.com/office/2006/metadata/properties" xmlns:ns2="13c1863e-bbca-4d25-adb3-8cc2bb4fc1d9" xmlns:ns3="7fdac560-af8a-41c5-bc1d-e709a54abaf4" targetNamespace="http://schemas.microsoft.com/office/2006/metadata/properties" ma:root="true" ma:fieldsID="3457a91ef9044160178672138ac7146a" ns2:_="" ns3:_="">
    <xsd:import namespace="13c1863e-bbca-4d25-adb3-8cc2bb4fc1d9"/>
    <xsd:import namespace="7fdac560-af8a-41c5-bc1d-e709a54abaf4"/>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DateTaken" minOccurs="0"/>
                <xsd:element ref="ns3:MediaServiceLocation" minOccurs="0"/>
                <xsd:element ref="ns3:MediaServiceAutoKeyPoints" minOccurs="0"/>
                <xsd:element ref="ns3:MediaServiceKeyPoints" minOccurs="0"/>
                <xsd:element ref="ns3:MediaLengthInSeconds" minOccurs="0"/>
                <xsd:element ref="ns3:lcf76f155ced4ddcb4097134ff3c332f" minOccurs="0"/>
                <xsd:element ref="ns2:TaxCatchAll" minOccurs="0"/>
                <xsd:element ref="ns3:MediaServiceObjectDetectorVersion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c1863e-bbca-4d25-adb3-8cc2bb4fc1d9"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TaxCatchAll" ma:index="23" nillable="true" ma:displayName="Taxonomy Catch All Column" ma:hidden="true" ma:list="{6c3684e1-045b-4cb3-b522-d210a6171069}" ma:internalName="TaxCatchAll" ma:showField="CatchAllData" ma:web="13c1863e-bbca-4d25-adb3-8cc2bb4fc1d9">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7fdac560-af8a-41c5-bc1d-e709a54abaf4"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MediaLengthInSeconds" ma:hidden="true"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a45a3593-47a7-4488-ba71-981a605baace"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7fdac560-af8a-41c5-bc1d-e709a54abaf4">
      <Terms xmlns="http://schemas.microsoft.com/office/infopath/2007/PartnerControls"/>
    </lcf76f155ced4ddcb4097134ff3c332f>
    <TaxCatchAll xmlns="13c1863e-bbca-4d25-adb3-8cc2bb4fc1d9"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943F6D9-A678-4240-8531-C6974D2B683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c1863e-bbca-4d25-adb3-8cc2bb4fc1d9"/>
    <ds:schemaRef ds:uri="7fdac560-af8a-41c5-bc1d-e709a54ab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D0579945-AF53-413A-BBC2-A8073F9B46E0}">
  <ds:schemaRefs>
    <ds:schemaRef ds:uri="http://schemas.openxmlformats.org/package/2006/metadata/core-properties"/>
    <ds:schemaRef ds:uri="http://schemas.microsoft.com/office/2006/metadata/properties"/>
    <ds:schemaRef ds:uri="7fdac560-af8a-41c5-bc1d-e709a54abaf4"/>
    <ds:schemaRef ds:uri="http://purl.org/dc/terms/"/>
    <ds:schemaRef ds:uri="http://purl.org/dc/elements/1.1/"/>
    <ds:schemaRef ds:uri="13c1863e-bbca-4d25-adb3-8cc2bb4fc1d9"/>
    <ds:schemaRef ds:uri="http://schemas.microsoft.com/office/2006/documentManagement/types"/>
    <ds:schemaRef ds:uri="http://www.w3.org/XML/1998/namespace"/>
    <ds:schemaRef ds:uri="http://purl.org/dc/dcmitype/"/>
    <ds:schemaRef ds:uri="http://schemas.microsoft.com/office/infopath/2007/PartnerControls"/>
  </ds:schemaRefs>
</ds:datastoreItem>
</file>

<file path=customXml/itemProps3.xml><?xml version="1.0" encoding="utf-8"?>
<ds:datastoreItem xmlns:ds="http://schemas.openxmlformats.org/officeDocument/2006/customXml" ds:itemID="{D971DE89-465A-4821-A2A5-D6A0FC8E2286}">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LEADS</vt:lpstr>
      <vt:lpstr>Quote</vt:lpstr>
      <vt:lpstr>Active Pipeline</vt:lpstr>
      <vt:lpstr>Hot Hot</vt:lpstr>
      <vt:lpstr>Funded</vt:lpstr>
      <vt:lpstr>Cancel-Decline</vt:lpstr>
      <vt:lpstr>Rocket Credit Pre-Register x</vt:lpstr>
      <vt:lpstr>Rocket Credit Post-Register</vt:lpstr>
      <vt:lpstr>Rocket Credit Pre-Register</vt:lpstr>
      <vt:lpstr>Benefit Analysis</vt:lpstr>
      <vt:lpstr>Lending Pad 2021 Credit</vt:lpstr>
      <vt:lpstr>Lending Pad 2023 Credit</vt:lpstr>
      <vt:lpstr>Analysis Sheet</vt:lpstr>
      <vt:lpstr>WCL</vt:lpstr>
      <vt:lpstr>RawProc</vt:lpstr>
      <vt:lpstr>settings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Umair Sarwar</dc:creator>
  <cp:lastModifiedBy>Muzammil Nawaz</cp:lastModifiedBy>
  <cp:lastPrinted>2024-12-18T18:19:53Z</cp:lastPrinted>
  <dcterms:created xsi:type="dcterms:W3CDTF">2015-06-05T18:17:20Z</dcterms:created>
  <dcterms:modified xsi:type="dcterms:W3CDTF">2025-02-26T19:58:51Z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0x010100942999C6A3BD5743A9FD8698B9793C6D</vt:lpwstr>
  </property>
  <property fmtid="{D5CDD505-2E9C-101B-9397-08002B2CF9AE}" pid="3" name="MediaServiceImageTags">
    <vt:lpwstr/>
  </property>
</Properties>
</file>